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uition Guide" sheetId="1" state="visible" r:id="rId1"/>
    <sheet xmlns:r="http://schemas.openxmlformats.org/officeDocument/2006/relationships" name="Case Prompt" sheetId="2" state="visible" r:id="rId2"/>
    <sheet xmlns:r="http://schemas.openxmlformats.org/officeDocument/2006/relationships" name="IC Memo" sheetId="3" state="visible" r:id="rId3"/>
    <sheet xmlns:r="http://schemas.openxmlformats.org/officeDocument/2006/relationships" name="Model_Quick" sheetId="4" state="visible" r:id="rId4"/>
    <sheet xmlns:r="http://schemas.openxmlformats.org/officeDocument/2006/relationships" name="Model_Standard" sheetId="5" state="visible" r:id="rId5"/>
    <sheet xmlns:r="http://schemas.openxmlformats.org/officeDocument/2006/relationships" name="Model_Full" sheetId="6" state="visible" r:id="rId6"/>
  </sheets>
  <definedNames/>
  <calcPr calcId="124519" fullCalcOnLoad="1"/>
</workbook>
</file>

<file path=xl/styles.xml><?xml version="1.0" encoding="utf-8"?>
<styleSheet xmlns="http://schemas.openxmlformats.org/spreadsheetml/2006/main">
  <numFmts count="4">
    <numFmt numFmtId="164" formatCode="#,##0.0_);(#,##0.0)"/>
    <numFmt numFmtId="165" formatCode="0.00&quot;x&quot;"/>
    <numFmt numFmtId="166" formatCode="0.0%"/>
    <numFmt numFmtId="167" formatCode="#,##0.0"/>
  </numFmts>
  <fonts count="16">
    <font>
      <name val="Calibri"/>
      <family val="2"/>
      <color theme="1"/>
      <sz val="11"/>
      <scheme val="minor"/>
    </font>
    <font>
      <b val="1"/>
      <sz val="14"/>
    </font>
    <font>
      <b val="1"/>
      <color rgb="00000000"/>
    </font>
    <font>
      <b val="1"/>
      <color rgb="00FFFFFF"/>
    </font>
    <font>
      <color rgb="00000000"/>
    </font>
    <font>
      <i val="1"/>
      <color rgb="00666666"/>
    </font>
    <font>
      <b val="1"/>
      <color rgb="000000FF"/>
    </font>
    <font>
      <b val="1"/>
    </font>
    <font>
      <i val="1"/>
      <color rgb="000066CC"/>
    </font>
    <font>
      <b val="1"/>
      <sz val="12"/>
    </font>
    <font>
      <b val="1"/>
      <sz val="11"/>
    </font>
    <font>
      <b val="1"/>
      <color rgb="001F4E79"/>
      <sz val="14"/>
    </font>
    <font>
      <sz val="10"/>
    </font>
    <font>
      <b val="1"/>
      <color rgb="001F4E79"/>
      <sz val="12"/>
    </font>
    <font/>
    <font>
      <b val="1"/>
      <i val="1"/>
      <color rgb="00666666"/>
    </font>
  </fonts>
  <fills count="7">
    <fill>
      <patternFill/>
    </fill>
    <fill>
      <patternFill patternType="gray125"/>
    </fill>
    <fill>
      <patternFill patternType="solid">
        <fgColor rgb="001F4E79"/>
        <bgColor rgb="001F4E79"/>
      </patternFill>
    </fill>
    <fill>
      <patternFill patternType="solid">
        <fgColor rgb="00FFFFC7"/>
        <bgColor rgb="00FFFFC7"/>
      </patternFill>
    </fill>
    <fill>
      <patternFill patternType="solid">
        <fgColor rgb="00C6EFCE"/>
        <bgColor rgb="00C6EFCE"/>
      </patternFill>
    </fill>
    <fill>
      <patternFill patternType="solid">
        <fgColor rgb="00FCE4D6"/>
        <bgColor rgb="00FCE4D6"/>
      </patternFill>
    </fill>
    <fill>
      <patternFill patternType="solid">
        <fgColor rgb="00DEEAF6"/>
        <bgColor rgb="00DEEAF6"/>
      </patternFill>
    </fill>
  </fills>
  <borders count="2">
    <border>
      <left/>
      <right/>
      <top/>
      <bottom/>
      <diagonal/>
    </border>
    <border>
      <left style="thin"/>
      <right style="thin"/>
      <top style="thin"/>
      <bottom style="thin"/>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applyAlignment="1" pivotButton="0" quotePrefix="0" xfId="0">
      <alignment horizontal="center"/>
    </xf>
    <xf numFmtId="0" fontId="3" fillId="2" borderId="0" applyAlignment="1" pivotButton="0" quotePrefix="0" xfId="0">
      <alignment horizontal="left"/>
    </xf>
    <xf numFmtId="0" fontId="0" fillId="2" borderId="0" pivotButton="0" quotePrefix="0" xfId="0"/>
    <xf numFmtId="0" fontId="4" fillId="0" borderId="0" pivotButton="0" quotePrefix="0" xfId="0"/>
    <xf numFmtId="0" fontId="5" fillId="0" borderId="0" pivotButton="0" quotePrefix="0" xfId="0"/>
    <xf numFmtId="164" fontId="2" fillId="4" borderId="1" pivotButton="0" quotePrefix="0" xfId="0"/>
    <xf numFmtId="165" fontId="2" fillId="4" borderId="1" pivotButton="0" quotePrefix="0" xfId="0"/>
    <xf numFmtId="166" fontId="2" fillId="4" borderId="1" pivotButton="0" quotePrefix="0" xfId="0"/>
    <xf numFmtId="0" fontId="2" fillId="4" borderId="1" pivotButton="0" quotePrefix="0" xfId="0"/>
    <xf numFmtId="164" fontId="6" fillId="3" borderId="1" pivotButton="0" quotePrefix="0" xfId="0"/>
    <xf numFmtId="166" fontId="6" fillId="3" borderId="1" pivotButton="0" quotePrefix="0" xfId="0"/>
    <xf numFmtId="165" fontId="6" fillId="3" borderId="1" pivotButton="0" quotePrefix="0" xfId="0"/>
    <xf numFmtId="3" fontId="6" fillId="3" borderId="1" pivotButton="0" quotePrefix="0" xfId="0"/>
    <xf numFmtId="4" fontId="6" fillId="3" borderId="1" pivotButton="0" quotePrefix="0" xfId="0"/>
    <xf numFmtId="167" fontId="4" fillId="0" borderId="1" pivotButton="0" quotePrefix="0" xfId="0"/>
    <xf numFmtId="3" fontId="4" fillId="0" borderId="1" pivotButton="0" quotePrefix="0" xfId="0"/>
    <xf numFmtId="164" fontId="4" fillId="0" borderId="1" pivotButton="0" quotePrefix="0" xfId="0"/>
    <xf numFmtId="4" fontId="4" fillId="0" borderId="1" pivotButton="0" quotePrefix="0" xfId="0"/>
    <xf numFmtId="164" fontId="2" fillId="0" borderId="1" pivotButton="0" quotePrefix="0" xfId="0"/>
    <xf numFmtId="164" fontId="4" fillId="5" borderId="1" pivotButton="0" quotePrefix="0" xfId="0"/>
    <xf numFmtId="0" fontId="4" fillId="0" borderId="1" pivotButton="0" quotePrefix="0" xfId="0"/>
    <xf numFmtId="0" fontId="2" fillId="0" borderId="0" pivotButton="0" quotePrefix="0" xfId="0"/>
    <xf numFmtId="0" fontId="4" fillId="0" borderId="0" applyAlignment="1" pivotButton="0" quotePrefix="0" xfId="0">
      <alignment wrapText="1"/>
    </xf>
    <xf numFmtId="0" fontId="2" fillId="0" borderId="0" applyAlignment="1" pivotButton="0" quotePrefix="0" xfId="0">
      <alignment wrapText="1"/>
    </xf>
    <xf numFmtId="0" fontId="3" fillId="2" borderId="0" pivotButton="0" quotePrefix="0" xfId="0"/>
    <xf numFmtId="0" fontId="0" fillId="2" borderId="0" applyAlignment="1" pivotButton="0" quotePrefix="0" xfId="0">
      <alignment wrapText="1"/>
    </xf>
    <xf numFmtId="0" fontId="2" fillId="6" borderId="0" pivotButton="0" quotePrefix="0" xfId="0"/>
    <xf numFmtId="0" fontId="4" fillId="6" borderId="0" applyAlignment="1" pivotButton="0" quotePrefix="0" xfId="0">
      <alignment wrapText="1"/>
    </xf>
    <xf numFmtId="165" fontId="2" fillId="4" borderId="1" pivotButton="0" quotePrefix="0" xfId="0"/>
    <xf numFmtId="166" fontId="2" fillId="4" borderId="1" pivotButton="0" quotePrefix="0" xfId="0"/>
    <xf numFmtId="166" fontId="6" fillId="3" borderId="1" pivotButton="0" quotePrefix="0" xfId="0"/>
    <xf numFmtId="165" fontId="6" fillId="3" borderId="1" pivotButton="0" quotePrefix="0" xfId="0"/>
    <xf numFmtId="0" fontId="7" fillId="0" borderId="0" pivotButton="0" quotePrefix="0" xfId="0"/>
    <xf numFmtId="0" fontId="8" fillId="0" borderId="0" pivotButton="0" quotePrefix="0" xfId="0"/>
    <xf numFmtId="0" fontId="7" fillId="0" borderId="0" applyAlignment="1" pivotButton="0" quotePrefix="0" xfId="0">
      <alignment horizontal="center"/>
    </xf>
    <xf numFmtId="0" fontId="0" fillId="0" borderId="0" applyAlignment="1" pivotButton="0" quotePrefix="0" xfId="0">
      <alignment wrapText="1"/>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9" fillId="0" borderId="0" pivotButton="0" quotePrefix="0" xfId="0"/>
    <xf numFmtId="0" fontId="0" fillId="4" borderId="0" pivotButton="0" quotePrefix="0" xfId="0"/>
    <xf numFmtId="166" fontId="0" fillId="4" borderId="0" pivotButton="0" quotePrefix="0" xfId="0"/>
    <xf numFmtId="167" fontId="0" fillId="4" borderId="0" pivotButton="0" quotePrefix="0" xfId="0"/>
    <xf numFmtId="165" fontId="0" fillId="4" borderId="0" pivotButton="0" quotePrefix="0" xfId="0"/>
    <xf numFmtId="0" fontId="6" fillId="3" borderId="0" pivotButton="0" quotePrefix="0" xfId="0"/>
    <xf numFmtId="167" fontId="0" fillId="0" borderId="0" pivotButton="0" quotePrefix="0" xfId="0"/>
    <xf numFmtId="0" fontId="14" fillId="0" borderId="0" pivotButton="0" quotePrefix="0" xfId="0"/>
    <xf numFmtId="0" fontId="15" fillId="0" borderId="0" pivotButton="0" quotePrefix="0" xfId="0"/>
    <xf numFmtId="164" fontId="14" fillId="0" borderId="1" pivotButton="0" quotePrefix="0" xfId="0"/>
    <xf numFmtId="165" fontId="14" fillId="0" borderId="1" pivotButton="0" quotePrefix="0" xfId="0"/>
    <xf numFmtId="166" fontId="14" fillId="0" borderId="1" pivotButton="0" quotePrefix="0" xfId="0"/>
    <xf numFmtId="0" fontId="7" fillId="0" borderId="0" applyAlignment="1" pivotButton="0" quotePrefix="0" xfId="0">
      <alignment horizontal="left"/>
    </xf>
    <xf numFmtId="0" fontId="0" fillId="0" borderId="0" applyAlignment="1" pivotButton="0" quotePrefix="0" xfId="0">
      <alignment vertical="top" wrapText="1"/>
    </xf>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Claude</author>
  </authors>
  <commentList>
    <comment ref="A82" authorId="0" shapeId="0">
      <text>
        <t xml:space="preserve">SPARK SPREAD
Profit per MWh after fuel cost.
= Power Price - (HR × Gas / 1000)
Traders call this "heat rate spread":
If Market HR &gt; Plant HR → Profitable
Think: "Call option on scarcity"
</t>
      </text>
    </comment>
  </commentList>
</comments>
</file>

<file path=xl/comments/comment2.xml><?xml version="1.0" encoding="utf-8"?>
<comments xmlns="http://schemas.openxmlformats.org/spreadsheetml/2006/main">
  <authors>
    <author>Claude</author>
  </authors>
  <commentList>
    <comment ref="A82" authorId="0" shapeId="0">
      <text>
        <t xml:space="preserve">SPARK SPREAD
Profit per MWh after fuel cost.
= Power Price - (HR × Gas / 1000)
Traders call this "heat rate spread":
If Market HR &gt; Plant HR → Profitable
Think: "Call option on scarcity"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194"/>
  <sheetViews>
    <sheetView workbookViewId="0">
      <selection activeCell="A1" sqref="A1"/>
    </sheetView>
  </sheetViews>
  <sheetFormatPr baseColWidth="8" defaultRowHeight="15"/>
  <cols>
    <col width="95" customWidth="1" min="1" max="1"/>
  </cols>
  <sheetData>
    <row r="1">
      <c r="A1" s="39" t="inlineStr">
        <is>
          <t>Intuition Guide - 2_Peaker</t>
        </is>
      </c>
    </row>
    <row r="2">
      <c r="A2" s="1" t="inlineStr">
        <is>
          <t>LOTUS INFRASTRUCTURE PARTNERS</t>
        </is>
      </c>
    </row>
    <row r="3">
      <c r="A3" s="1" t="inlineStr">
        <is>
          <t>CASE STUDY: SIMPLE CYCLE GAS TURBINE (PEAKER) ACQUISITION</t>
        </is>
      </c>
    </row>
    <row r="4">
      <c r="A4">
        <f>==========================================================================</f>
        <v/>
      </c>
    </row>
    <row r="6">
      <c r="A6" t="inlineStr">
        <is>
          <t>TIME: 4 Hours | DATE: January 2026 | DELIVERABLES: Model + IC Memo</t>
        </is>
      </c>
    </row>
    <row r="8">
      <c r="A8" s="34" t="inlineStr">
        <is>
          <t>--- MODEL TIMELINE ---</t>
        </is>
      </c>
    </row>
    <row r="9">
      <c r="A9" t="inlineStr">
        <is>
          <t>Year 0 (2025): Transaction close Q4</t>
        </is>
      </c>
    </row>
    <row r="10">
      <c r="A10" t="inlineStr">
        <is>
          <t>Year 1 (2026): First full year; start-based maintenance tracking</t>
        </is>
      </c>
    </row>
    <row r="11">
      <c r="A11" t="inlineStr">
        <is>
          <t>Year 5 (2030): Potential hot gas path inspection</t>
        </is>
      </c>
    </row>
    <row r="12">
      <c r="A12" t="inlineStr">
        <is>
          <t>Year 7 (2032): Target exit / debt maturity</t>
        </is>
      </c>
    </row>
    <row r="13">
      <c r="A13" t="inlineStr">
        <is>
          <t>Year 10 (2035): Model horizon end</t>
        </is>
      </c>
    </row>
    <row r="15">
      <c r="A15" s="34" t="inlineStr">
        <is>
          <t>--- SITUATION ---</t>
        </is>
      </c>
    </row>
    <row r="16">
      <c r="A16" s="37" t="inlineStr">
        <is>
          <t>Lotus Infrastructure Partners is evaluating a 200 MW simple-cycle gas
turbine peaking facility in NYISO Zone J (New York City). The plant is 8 years
old with approximately 2,500 equivalent operating starts.</t>
        </is>
      </c>
    </row>
    <row r="18">
      <c r="A18" s="37" t="inlineStr">
        <is>
          <t>Zone J has strong capacity prices due to transmission constraints. The facility
provides reliability during summer peaks and winter cold snaps. It operates
approximately 400 hours per year with revenue heavily weighted to capacity
payments (~70% of total).</t>
        </is>
      </c>
    </row>
    <row r="20">
      <c r="A20" s="37" t="inlineStr">
        <is>
          <t>The 10,500 Btu/kWh heat rate is higher than CCGT but acceptable for peaking
duty. Recent planning studies indicate potential capacity additions over 3-5
years including offshore wind and battery storage.</t>
        </is>
      </c>
    </row>
    <row r="22">
      <c r="A22" s="37" t="inlineStr">
        <is>
          <t>The seller is asking $95mm with bids due by January 31, 2026.</t>
        </is>
      </c>
    </row>
    <row r="24">
      <c r="A24" s="34" t="inlineStr">
        <is>
          <t>--- KEY VALUE DRIVERS ---</t>
        </is>
      </c>
    </row>
    <row r="25">
      <c r="A25" t="inlineStr">
        <is>
          <t>* Capacity Price: Peakers earn 70%+ of revenue from capacity auctions</t>
        </is>
      </c>
    </row>
    <row r="26">
      <c r="A26" t="inlineStr">
        <is>
          <t>* Dispatch Hours: Annual run hours drive energy revenue and fuel cost</t>
        </is>
      </c>
    </row>
    <row r="27">
      <c r="A27" t="inlineStr">
        <is>
          <t>* Starts: Each start costs money and accelerates maintenance</t>
        </is>
      </c>
    </row>
    <row r="28">
      <c r="A28" t="inlineStr">
        <is>
          <t>* Availability: UCAP derate risk if availability drops below threshold</t>
        </is>
      </c>
    </row>
    <row r="30">
      <c r="A30" s="34" t="inlineStr">
        <is>
          <t>--- STEP-BY-STEP MODEL BUILDING GUIDE ---</t>
        </is>
      </c>
    </row>
    <row r="31">
      <c r="A31" s="37" t="inlineStr">
        <is>
          <t>STEP-BY-STEP MODEL BUILDING GUIDE FOR PEAKERS</t>
        </is>
      </c>
    </row>
    <row r="32">
      <c r="A32" s="37" t="inlineStr"/>
    </row>
    <row r="33">
      <c r="A33" s="37" t="inlineStr">
        <is>
          <t>KEY DIFFERENCE: Generation = Capacity x Dispatch Hours x Availability</t>
        </is>
      </c>
    </row>
    <row r="34">
      <c r="A34" s="37" t="inlineStr">
        <is>
          <t>(NOT Capacity x CF x 8,760 like CCGT!)</t>
        </is>
      </c>
    </row>
    <row r="35">
      <c r="A35" s="37" t="inlineStr"/>
    </row>
    <row r="36">
      <c r="A36" s="37" t="inlineStr">
        <is>
          <t>1. SET UP INPUTS</t>
        </is>
      </c>
    </row>
    <row r="37">
      <c r="A37" s="37" t="inlineStr">
        <is>
          <t xml:space="preserve">   - Capacity: 200 MW</t>
        </is>
      </c>
    </row>
    <row r="38">
      <c r="A38" s="37" t="inlineStr">
        <is>
          <t xml:space="preserve">   - Heat Rate: 10,500 Btu/kWh (worse than CCGT)</t>
        </is>
      </c>
    </row>
    <row r="39">
      <c r="A39" s="37" t="inlineStr">
        <is>
          <t xml:space="preserve">   - Availability: 94% (mechanical availability, not CF)</t>
        </is>
      </c>
    </row>
    <row r="40">
      <c r="A40" s="37" t="inlineStr">
        <is>
          <t xml:space="preserve">   - FOR: 5% (for UCAP derate)</t>
        </is>
      </c>
    </row>
    <row r="41">
      <c r="A41" s="37" t="inlineStr">
        <is>
          <t xml:space="preserve">   - Dispatch Hours: 400 hrs/yr</t>
        </is>
      </c>
    </row>
    <row r="42">
      <c r="A42" s="37" t="inlineStr">
        <is>
          <t xml:space="preserve">   - Starts per Year: ~50-100</t>
        </is>
      </c>
    </row>
    <row r="43">
      <c r="A43" s="37" t="inlineStr"/>
    </row>
    <row r="44">
      <c r="A44" s="37" t="inlineStr">
        <is>
          <t>2. BUILD GENERATION</t>
        </is>
      </c>
    </row>
    <row r="45">
      <c r="A45" s="37" t="inlineStr">
        <is>
          <t xml:space="preserve">   Generation = Capacity x Dispatch Hours x Availability</t>
        </is>
      </c>
    </row>
    <row r="46">
      <c r="A46" s="37" t="inlineStr">
        <is>
          <t xml:space="preserve">   = 200 MW x 400 hrs x 0.94 = 75,200 MWh</t>
        </is>
      </c>
    </row>
    <row r="47">
      <c r="A47" s="37" t="inlineStr"/>
    </row>
    <row r="48">
      <c r="A48" s="37" t="inlineStr">
        <is>
          <t>3. CAPACITY REVENUE IS DOMINANT</t>
        </is>
      </c>
    </row>
    <row r="49">
      <c r="A49" s="37" t="inlineStr">
        <is>
          <t xml:space="preserve">   UCAP = Capacity x (1 - FOR) = 200 x 0.95 = 190 MW</t>
        </is>
      </c>
    </row>
    <row r="50">
      <c r="A50" s="37" t="inlineStr">
        <is>
          <t xml:space="preserve">   Capacity Revenue = UCAP x $/kW-yr x 1000 / 1E6</t>
        </is>
      </c>
    </row>
    <row r="51">
      <c r="A51" s="37" t="inlineStr">
        <is>
          <t xml:space="preserve">   Verify: Capacity should be ~70% of total revenue</t>
        </is>
      </c>
    </row>
    <row r="52">
      <c r="A52" s="37" t="inlineStr"/>
    </row>
    <row r="53">
      <c r="A53" s="37" t="inlineStr">
        <is>
          <t>4. DEBT STRUCTURE</t>
        </is>
      </c>
    </row>
    <row r="54">
      <c r="A54" s="37" t="inlineStr">
        <is>
          <t xml:space="preserve">   50% cash sweep (vs 75% for CCGT)</t>
        </is>
      </c>
    </row>
    <row r="55">
      <c r="A55" s="37" t="inlineStr">
        <is>
          <t xml:space="preserve">   - Preserve flexibility for lumpy maintenance</t>
        </is>
      </c>
    </row>
    <row r="56">
      <c r="A56" s="37" t="inlineStr">
        <is>
          <t xml:space="preserve">   - Peaker cash flows more volatile</t>
        </is>
      </c>
    </row>
    <row r="58">
      <c r="A58" s="34" t="inlineStr">
        <is>
          <t>--- HOW TO AVOID CIRCULARITY ---</t>
        </is>
      </c>
    </row>
    <row r="59">
      <c r="A59" t="inlineStr">
        <is>
          <t>Same approach as CCGT - use Scheduled DS for DSRA Target to avoid circularity.</t>
        </is>
      </c>
    </row>
    <row r="61">
      <c r="A61" s="34" t="inlineStr">
        <is>
          <t>--- ALTERNATIVE SCENARIOS ---</t>
        </is>
      </c>
    </row>
    <row r="62">
      <c r="A62" t="inlineStr">
        <is>
          <t>ALTERNATIVE SCENARIOS</t>
        </is>
      </c>
    </row>
    <row r="64">
      <c r="A64" t="inlineStr">
        <is>
          <t>A. Ancillary Services Revenue:</t>
        </is>
      </c>
    </row>
    <row r="65">
      <c r="A65" t="inlineStr">
        <is>
          <t xml:space="preserve">   - Spinning/non-spinning reserves</t>
        </is>
      </c>
    </row>
    <row r="66">
      <c r="A66" t="inlineStr">
        <is>
          <t xml:space="preserve">   - Can be 10-15% of total revenue</t>
        </is>
      </c>
    </row>
    <row r="68">
      <c r="A68" t="inlineStr">
        <is>
          <t>B. Black Start Capability:</t>
        </is>
      </c>
    </row>
    <row r="69">
      <c r="A69" t="inlineStr">
        <is>
          <t xml:space="preserve">   - Premium for grid restoration</t>
        </is>
      </c>
    </row>
    <row r="70">
      <c r="A70" t="inlineStr">
        <is>
          <t xml:space="preserve">   - Adds contracted revenue</t>
        </is>
      </c>
    </row>
    <row r="72">
      <c r="A72" t="inlineStr">
        <is>
          <t>C. Capacity Contract vs Merchant:</t>
        </is>
      </c>
    </row>
    <row r="73">
      <c r="A73" t="inlineStr">
        <is>
          <t xml:space="preserve">   - Different risk profile</t>
        </is>
      </c>
    </row>
    <row r="74">
      <c r="A74" t="inlineStr">
        <is>
          <t xml:space="preserve">   - Affects debt sizing</t>
        </is>
      </c>
    </row>
    <row r="76">
      <c r="A76" s="34" t="inlineStr">
        <is>
          <t>--- QA CHECKS ---</t>
        </is>
      </c>
    </row>
    <row r="77">
      <c r="A77" t="inlineStr">
        <is>
          <t>QA CHECKS</t>
        </is>
      </c>
    </row>
    <row r="79">
      <c r="A79" t="inlineStr">
        <is>
          <t>1. Capacity revenue should be 60-75% of total (peaker profile)</t>
        </is>
      </c>
    </row>
    <row r="80">
      <c r="A80" t="inlineStr">
        <is>
          <t>2. Generation = Dispatch Hours x Availability (NOT CF x 8760)</t>
        </is>
      </c>
    </row>
    <row r="81">
      <c r="A81" t="inlineStr">
        <is>
          <t>3. Energy margin may be negative in some hours (heat rate penalty)</t>
        </is>
      </c>
    </row>
    <row r="82">
      <c r="A82" t="inlineStr">
        <is>
          <t>4. DSCR &gt;= 1.25x during debt tenor</t>
        </is>
      </c>
    </row>
    <row r="84">
      <c r="A84" s="34" t="inlineStr">
        <is>
          <t>--- HINTS &amp; PITFALLS ---</t>
        </is>
      </c>
    </row>
    <row r="85">
      <c r="A85" s="35" t="inlineStr">
        <is>
          <t>* Capacity is ~70% of revenue - focus sensitivity there</t>
        </is>
      </c>
    </row>
    <row r="86">
      <c r="A86" s="35" t="inlineStr">
        <is>
          <t>* Each start costs money plus accelerates maintenance</t>
        </is>
      </c>
    </row>
    <row r="87">
      <c r="A87" s="35" t="inlineStr">
        <is>
          <t>* Zone J premium can erode if storage/transmission added</t>
        </is>
      </c>
    </row>
    <row r="88">
      <c r="A88" s="35" t="inlineStr">
        <is>
          <t>* Don't model generation as CF x 8760 - use Dispatch Hours</t>
        </is>
      </c>
    </row>
    <row r="90">
      <c r="A90" s="34" t="inlineStr">
        <is>
          <t>--- INTERVIEW QUESTIONS ---</t>
        </is>
      </c>
    </row>
    <row r="91">
      <c r="A91" t="inlineStr">
        <is>
          <t>Q: How would 100 MW of battery storage in Zone J affect capacity prices?</t>
        </is>
      </c>
    </row>
    <row r="92">
      <c r="A92" t="inlineStr">
        <is>
          <t>Q: Walk me through starts-based vs hours-based maintenance.</t>
        </is>
      </c>
    </row>
    <row r="93">
      <c r="A93" t="inlineStr">
        <is>
          <t>Q: Why is availability so critical for peaker economics?</t>
        </is>
      </c>
    </row>
    <row r="94">
      <c r="A94" t="inlineStr">
        <is>
          <t>Q: How would you model the revenue mix between capacity and energy?</t>
        </is>
      </c>
    </row>
    <row r="96">
      <c r="A96" s="38" t="inlineStr">
        <is>
          <t>═══════════════════════════════════════════════════════════════════════</t>
        </is>
      </c>
    </row>
    <row r="97">
      <c r="A97" s="39" t="inlineStr">
        <is>
          <t>COLD START WORKFLOW (4-Hour Test)</t>
        </is>
      </c>
    </row>
    <row r="99">
      <c r="A99" s="38" t="inlineStr">
        <is>
          <t>Phase 1: Setup (15 min)</t>
        </is>
      </c>
    </row>
    <row r="100">
      <c r="A100" s="40" t="inlineStr">
        <is>
          <t>→ Create workbook, freeze panes at E2</t>
        </is>
      </c>
    </row>
    <row r="101">
      <c r="A101" s="40" t="inlineStr">
        <is>
          <t>→ Set column widths: A=32, B=12, C=38, D-N=14</t>
        </is>
      </c>
    </row>
    <row r="102">
      <c r="A102" s="40" t="inlineStr">
        <is>
          <t>→ Build year headers: Y0 (2025), Y1 (2026), ... Y10 (2035)</t>
        </is>
      </c>
    </row>
    <row r="103">
      <c r="A103" s="40" t="inlineStr">
        <is>
          <t>→ Create section placeholders with ═══ dividers</t>
        </is>
      </c>
    </row>
    <row r="105">
      <c r="A105" s="38" t="inlineStr">
        <is>
          <t>Phase 2: Inputs &amp; S&amp;U (30 min)</t>
        </is>
      </c>
    </row>
    <row r="106">
      <c r="A106" s="40" t="inlineStr">
        <is>
          <t>→ Transaction: Entry EV, Fees %, Exit Multiple, Exit Year</t>
        </is>
      </c>
    </row>
    <row r="107">
      <c r="A107" s="40" t="inlineStr">
        <is>
          <t>→ Asset: Capacity, CF/Dispatch, Prices, Escalation</t>
        </is>
      </c>
    </row>
    <row r="108">
      <c r="A108" s="40" t="inlineStr">
        <is>
          <t>→ Financing: Leverage, Rate, Tenor, DSRA months, Sweep %</t>
        </is>
      </c>
    </row>
    <row r="109">
      <c r="A109" s="40" t="inlineStr">
        <is>
          <t>→ Build Uses first, then Sources (balancing item = equity)</t>
        </is>
      </c>
    </row>
    <row r="111">
      <c r="A111" s="38" t="inlineStr">
        <is>
          <t>Phase 3: Operating Model (45 min)</t>
        </is>
      </c>
    </row>
    <row r="112">
      <c r="A112" s="40" t="inlineStr">
        <is>
          <t>→ Generation = Capacity × CF × 8760 (baseload) OR Capacity × Dispatch × Avail (peaker)</t>
        </is>
      </c>
    </row>
    <row r="113">
      <c r="A113" s="40" t="inlineStr">
        <is>
          <t>→ Revenue = Generation × Price / 1E6  (careful: capacity $/kW needs ×1000)</t>
        </is>
      </c>
    </row>
    <row r="114">
      <c r="A114" s="40" t="inlineStr">
        <is>
          <t>→ Fuel = Gen × HR × Gas / 1E9  (CRITICAL: divide by BILLION)</t>
        </is>
      </c>
    </row>
    <row r="115">
      <c r="A115" s="40" t="inlineStr">
        <is>
          <t>→ EBITDA = Revenue - OpEx</t>
        </is>
      </c>
    </row>
    <row r="116">
      <c r="A116" s="40" t="inlineStr">
        <is>
          <t>→ Taxes = MAX(0, Taxable Income) × Rate  (no negative taxes!)</t>
        </is>
      </c>
    </row>
    <row r="118">
      <c r="A118" s="38" t="inlineStr">
        <is>
          <t>Phase 4: Debt Schedule (45 min)</t>
        </is>
      </c>
    </row>
    <row r="119">
      <c r="A119" s="40" t="inlineStr">
        <is>
          <t>→ Beginning Bal Y1 = Funded Debt; Yn = Prior Ending</t>
        </is>
      </c>
    </row>
    <row r="120">
      <c r="A120" s="40" t="inlineStr">
        <is>
          <t>→ Interest = Beg Bal × Rate</t>
        </is>
      </c>
    </row>
    <row r="121">
      <c r="A121" s="40" t="inlineStr">
        <is>
          <t>→ Principal: Straight-line OR Sculpted OR Sweep</t>
        </is>
      </c>
    </row>
    <row r="122">
      <c r="A122" s="40" t="inlineStr">
        <is>
          <t>→ DSCR = CFADS / Debt Service</t>
        </is>
      </c>
    </row>
    <row r="123">
      <c r="A123" s="40" t="inlineStr">
        <is>
          <t>→ DSRA Target = NEXT year's DS × (months/12)  [TRAP: not current year!]</t>
        </is>
      </c>
    </row>
    <row r="125">
      <c r="A125" s="38" t="inlineStr">
        <is>
          <t>Phase 5: Exit &amp; Returns (30 min)</t>
        </is>
      </c>
    </row>
    <row r="126">
      <c r="A126" s="40" t="inlineStr">
        <is>
          <t>→ Exit EV = Exit EBITDA × Multiple</t>
        </is>
      </c>
    </row>
    <row r="127">
      <c r="A127" s="40" t="inlineStr">
        <is>
          <t>→ Exit Equity = Exit EV - Debt Payoff + DSRA Release</t>
        </is>
      </c>
    </row>
    <row r="128">
      <c r="A128" s="40" t="inlineStr">
        <is>
          <t>→ Equity CF row: Y0 = -Entry Equity, Y1-n = Distributions, Exit Year += Exit Equity</t>
        </is>
      </c>
    </row>
    <row r="129">
      <c r="A129" s="40" t="inlineStr">
        <is>
          <t>→ IRR = IRR(Y0:Y10 equity CFs)</t>
        </is>
      </c>
    </row>
    <row r="130">
      <c r="A130" s="40" t="inlineStr">
        <is>
          <t>→ MOIC = (Distributions + Exit) / Entry Equity</t>
        </is>
      </c>
    </row>
    <row r="132">
      <c r="A132" s="38" t="inlineStr">
        <is>
          <t>Phase 6: QA &amp; Polish (15 min)</t>
        </is>
      </c>
    </row>
    <row r="133">
      <c r="A133" s="40" t="inlineStr">
        <is>
          <t>→ S&amp;U Balance Check = PASS</t>
        </is>
      </c>
    </row>
    <row r="134">
      <c r="A134" s="40" t="inlineStr">
        <is>
          <t>→ Debt Payoff Check = PASS (ending bal &lt; $1mm)</t>
        </is>
      </c>
    </row>
    <row r="135">
      <c r="A135" s="40" t="inlineStr">
        <is>
          <t>→ Min DSCR Check = PASS (≥1.25x merchant, ≥1.30x contracted)</t>
        </is>
      </c>
    </row>
    <row r="136">
      <c r="A136" s="40" t="inlineStr">
        <is>
          <t>→ Sanity: DSCR 1.2-2.5x, IRR 12-25%, Fuel $30-50mm (CCGT)</t>
        </is>
      </c>
    </row>
    <row r="139">
      <c r="A139" s="41" t="inlineStr">
        <is>
          <t>4-HOUR TIME BUDGET</t>
        </is>
      </c>
    </row>
    <row r="141">
      <c r="A141" t="inlineStr">
        <is>
          <t>Setup &amp; Structure</t>
        </is>
      </c>
      <c r="B141" t="inlineStr">
        <is>
          <t>15 min</t>
        </is>
      </c>
      <c r="C141" t="inlineStr">
        <is>
          <t>Workbook, headers, freeze panes</t>
        </is>
      </c>
    </row>
    <row r="142">
      <c r="A142" t="inlineStr">
        <is>
          <t>Transaction Inputs</t>
        </is>
      </c>
      <c r="B142" t="inlineStr">
        <is>
          <t>15 min</t>
        </is>
      </c>
      <c r="C142" t="inlineStr">
        <is>
          <t>EV, fees, leverage, rates</t>
        </is>
      </c>
    </row>
    <row r="143">
      <c r="A143" t="inlineStr">
        <is>
          <t>Sources &amp; Uses</t>
        </is>
      </c>
      <c r="B143" t="inlineStr">
        <is>
          <t>15 min</t>
        </is>
      </c>
      <c r="C143" t="inlineStr">
        <is>
          <t>Uses first, equity = balancing</t>
        </is>
      </c>
    </row>
    <row r="144">
      <c r="A144" t="inlineStr">
        <is>
          <t>Operating Model</t>
        </is>
      </c>
      <c r="B144" t="inlineStr">
        <is>
          <t>45 min</t>
        </is>
      </c>
      <c r="C144" t="inlineStr">
        <is>
          <t>Revenue, costs, EBITDA</t>
        </is>
      </c>
    </row>
    <row r="145">
      <c r="A145" t="inlineStr">
        <is>
          <t>Depreciation &amp; Tax</t>
        </is>
      </c>
      <c r="B145" t="inlineStr">
        <is>
          <t>15 min</t>
        </is>
      </c>
      <c r="C145" t="inlineStr">
        <is>
          <t>Straight-line, MAX(0) guardrail</t>
        </is>
      </c>
    </row>
    <row r="146">
      <c r="A146" t="inlineStr">
        <is>
          <t>Debt Schedule</t>
        </is>
      </c>
      <c r="B146" t="inlineStr">
        <is>
          <t>45 min</t>
        </is>
      </c>
      <c r="C146" t="inlineStr">
        <is>
          <t>Amort, interest, DSCR</t>
        </is>
      </c>
    </row>
    <row r="147">
      <c r="A147" t="inlineStr">
        <is>
          <t>DSRA (if needed)</t>
        </is>
      </c>
      <c r="B147" t="inlineStr">
        <is>
          <t>15 min</t>
        </is>
      </c>
      <c r="C147" t="inlineStr">
        <is>
          <t>Target = NEXT year DS</t>
        </is>
      </c>
    </row>
    <row r="148">
      <c r="A148" t="inlineStr">
        <is>
          <t>Waterfall &amp; Returns</t>
        </is>
      </c>
      <c r="B148" t="inlineStr">
        <is>
          <t>30 min</t>
        </is>
      </c>
      <c r="C148" t="inlineStr">
        <is>
          <t>Distributable, IRR, MOIC</t>
        </is>
      </c>
    </row>
    <row r="149">
      <c r="A149" t="inlineStr">
        <is>
          <t>Exit Mechanics</t>
        </is>
      </c>
      <c r="B149" t="inlineStr">
        <is>
          <t>15 min</t>
        </is>
      </c>
      <c r="C149" t="inlineStr">
        <is>
          <t>Exit EV, debt payoff, equity</t>
        </is>
      </c>
    </row>
    <row r="150">
      <c r="A150" t="inlineStr">
        <is>
          <t>QA &amp; Sanity Checks</t>
        </is>
      </c>
      <c r="B150" t="inlineStr">
        <is>
          <t>15 min</t>
        </is>
      </c>
      <c r="C150" t="inlineStr">
        <is>
          <t>Balance, DSCR, #REF sweep</t>
        </is>
      </c>
    </row>
    <row r="151">
      <c r="A151" t="inlineStr">
        <is>
          <t>Buffer / Iterate</t>
        </is>
      </c>
      <c r="B151" t="inlineStr">
        <is>
          <t>15 min</t>
        </is>
      </c>
      <c r="C151" t="inlineStr">
        <is>
          <t>Fix issues, polish</t>
        </is>
      </c>
    </row>
    <row r="152">
      <c r="A152" s="34" t="inlineStr">
        <is>
          <t>TOTAL</t>
        </is>
      </c>
      <c r="B152" s="34" t="inlineStr">
        <is>
          <t>4:00</t>
        </is>
      </c>
    </row>
    <row r="155">
      <c r="A155" s="41" t="inlineStr">
        <is>
          <t>DEBT SIZING APPROACHES</t>
        </is>
      </c>
    </row>
    <row r="157">
      <c r="A157" s="38" t="inlineStr">
        <is>
          <t>1. STRAIGHT-LINE (Simplest)</t>
        </is>
      </c>
    </row>
    <row r="158">
      <c r="A158" s="40" t="inlineStr">
        <is>
          <t xml:space="preserve">  Principal = Debt Amount / Tenor</t>
        </is>
      </c>
    </row>
    <row r="159">
      <c r="A159" s="40" t="inlineStr">
        <is>
          <t xml:space="preserve">  Best for: Quick models, Model_Quick, when told 'ignore sweep'</t>
        </is>
      </c>
    </row>
    <row r="160">
      <c r="A160" s="40" t="inlineStr">
        <is>
          <t xml:space="preserve">  Pros: No circularity, fast to build</t>
        </is>
      </c>
    </row>
    <row r="161">
      <c r="A161" s="40" t="inlineStr">
        <is>
          <t xml:space="preserve">  Cons: May not reflect economic reality</t>
        </is>
      </c>
    </row>
    <row r="163">
      <c r="A163" s="38" t="inlineStr">
        <is>
          <t>2. CASH SWEEP (Merchant)</t>
        </is>
      </c>
    </row>
    <row r="164">
      <c r="A164" s="40" t="inlineStr">
        <is>
          <t xml:space="preserve">  Sweep = Excess Cash × Sweep%  (Excess = CFADS - DS - DSRA)</t>
        </is>
      </c>
    </row>
    <row r="165">
      <c r="A165" s="40" t="inlineStr">
        <is>
          <t xml:space="preserve">  Best for: Merchant assets, volatile CFADS</t>
        </is>
      </c>
    </row>
    <row r="166">
      <c r="A166" s="40" t="inlineStr">
        <is>
          <t xml:space="preserve">  Pros: Realistic for bank debt, de-levers faster</t>
        </is>
      </c>
    </row>
    <row r="167">
      <c r="A167" s="40" t="inlineStr">
        <is>
          <t xml:space="preserve">  Cons: Requires DSRA logic, near-circular (use scheduled_ds trick)</t>
        </is>
      </c>
    </row>
    <row r="169">
      <c r="A169" s="38" t="inlineStr">
        <is>
          <t>3. SCULPTED (Contracted)</t>
        </is>
      </c>
    </row>
    <row r="170">
      <c r="A170" s="40" t="inlineStr">
        <is>
          <t xml:space="preserve">  Target DS = CFADS / Target DSCR; Principal = Target DS - Interest</t>
        </is>
      </c>
    </row>
    <row r="171">
      <c r="A171" s="40" t="inlineStr">
        <is>
          <t xml:space="preserve">  Best for: PPAs, regulated assets, predictable CFADS</t>
        </is>
      </c>
    </row>
    <row r="172">
      <c r="A172" s="40" t="inlineStr">
        <is>
          <t xml:space="preserve">  Pros: Maximizes debt capacity, matches CF profile</t>
        </is>
      </c>
    </row>
    <row r="173">
      <c r="A173" s="40" t="inlineStr">
        <is>
          <t xml:space="preserve">  Cons: More complex, requires CFADS forecast first</t>
        </is>
      </c>
    </row>
    <row r="176">
      <c r="A176" s="41" t="inlineStr">
        <is>
          <t>KEY FORMULA CONCEPTS</t>
        </is>
      </c>
    </row>
    <row r="178">
      <c r="A178" s="38" t="inlineStr">
        <is>
          <t>SPARK SPREAD (Thermal Plants)</t>
        </is>
      </c>
    </row>
    <row r="179">
      <c r="A179" s="40" t="inlineStr">
        <is>
          <t xml:space="preserve">  = Power Price ($/MWh) - Fuel Cost per MWh</t>
        </is>
      </c>
    </row>
    <row r="180">
      <c r="A180" s="40" t="inlineStr">
        <is>
          <t xml:space="preserve">  = Power Price - (Heat Rate × Gas Price / 1000)</t>
        </is>
      </c>
    </row>
    <row r="181">
      <c r="A181" s="40" t="inlineStr">
        <is>
          <t xml:space="preserve">  Example: $45/MWh - (7000 Btu/kWh × $3/mmBtu / 1000) = $45 - $21 = $24/MWh</t>
        </is>
      </c>
    </row>
    <row r="182">
      <c r="A182" s="40" t="inlineStr">
        <is>
          <t xml:space="preserve">  Core margin driver for CCGT/Peaker dispatch economics</t>
        </is>
      </c>
    </row>
    <row r="184">
      <c r="A184" s="38" t="inlineStr">
        <is>
          <t>UCAP (Unforced Capacity)</t>
        </is>
      </c>
    </row>
    <row r="185">
      <c r="A185" s="40" t="inlineStr">
        <is>
          <t xml:space="preserve">  = Nameplate Capacity × (1 - Forced Outage Rate)</t>
        </is>
      </c>
    </row>
    <row r="186">
      <c r="A186" s="40" t="inlineStr">
        <is>
          <t xml:space="preserve">  = 365 MW × (1 - 5%) = 346.75 MW</t>
        </is>
      </c>
    </row>
    <row r="187">
      <c r="A187" s="40" t="inlineStr">
        <is>
          <t xml:space="preserve">  Capacity revenue uses UCAP, not nameplate</t>
        </is>
      </c>
    </row>
    <row r="188">
      <c r="A188" s="40" t="inlineStr">
        <is>
          <t xml:space="preserve">  Capacity Price is $/kW-yr, so: UCAP × Price × 1000 / 1E6</t>
        </is>
      </c>
    </row>
    <row r="190">
      <c r="A190" s="38" t="inlineStr">
        <is>
          <t>LLCR / PLCR (Project Finance)</t>
        </is>
      </c>
    </row>
    <row r="191">
      <c r="A191" s="40" t="inlineStr">
        <is>
          <t xml:space="preserve">  LLCR = NPV(CFADS over loan life) / Debt Outstanding</t>
        </is>
      </c>
    </row>
    <row r="192">
      <c r="A192" s="40" t="inlineStr">
        <is>
          <t xml:space="preserve">  PLCR = NPV(CFADS over project life) / Debt Outstanding</t>
        </is>
      </c>
    </row>
    <row r="193">
      <c r="A193" s="40" t="inlineStr">
        <is>
          <t xml:space="preserve">  LLCR ~1.4x+ typical for investment grade</t>
        </is>
      </c>
    </row>
    <row r="194">
      <c r="A194" s="40" t="inlineStr">
        <is>
          <t xml:space="preserve">  Covenant-based lending uses these vs DSCR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80" customWidth="1" min="1" max="1"/>
  </cols>
  <sheetData>
    <row r="1">
      <c r="A1" s="1" t="inlineStr">
        <is>
          <t>CASE STUDY: Peaker ACQUISITION</t>
        </is>
      </c>
    </row>
    <row r="3">
      <c r="A3" t="inlineStr">
        <is>
          <t>Time: 4 hours | Deliverables: Model + IC Memo</t>
        </is>
      </c>
    </row>
    <row r="5">
      <c r="A5" s="34" t="inlineStr">
        <is>
          <t>SITUATION</t>
        </is>
      </c>
    </row>
    <row r="6">
      <c r="A6" t="inlineStr">
        <is>
          <t>200 MW peaker in NYISO Zone J at $95mm.</t>
        </is>
      </c>
    </row>
    <row r="8">
      <c r="A8" s="34" t="inlineStr">
        <is>
          <t>KEY QUESTIONS</t>
        </is>
      </c>
    </row>
    <row r="9">
      <c r="A9" t="inlineStr">
        <is>
          <t>1. What levered IRR at indicative price?</t>
        </is>
      </c>
    </row>
    <row r="10">
      <c r="A10" t="inlineStr">
        <is>
          <t>2. Downside DSCR under stress?</t>
        </is>
      </c>
    </row>
    <row r="11">
      <c r="A11" t="inlineStr">
        <is>
          <t>3. Key diligence items?</t>
        </is>
      </c>
    </row>
    <row r="12">
      <c r="A12" t="inlineStr">
        <is>
          <t>4. Protections to negotiate?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80" customWidth="1" min="1" max="1"/>
  </cols>
  <sheetData>
    <row r="1">
      <c r="A1" s="1" t="inlineStr">
        <is>
          <t>IC MEMO - COACHING FRAMEWORK</t>
        </is>
      </c>
    </row>
    <row r="3">
      <c r="A3" s="34" t="inlineStr">
        <is>
          <t>1. EXECUTIVE SUMMARY</t>
        </is>
      </c>
    </row>
    <row r="4">
      <c r="A4" s="35" t="inlineStr">
        <is>
          <t>Tip: Lead with IRR and recommendation</t>
        </is>
      </c>
    </row>
    <row r="5">
      <c r="A5" t="inlineStr">
        <is>
          <t>[Your answer: ___________]</t>
        </is>
      </c>
    </row>
    <row r="6">
      <c r="A6" s="34" t="inlineStr">
        <is>
          <t>2. TRANSACTION OVERVIEW</t>
        </is>
      </c>
    </row>
    <row r="7">
      <c r="A7" s="35" t="inlineStr">
        <is>
          <t>Tip: Sources &amp; uses, debt terms</t>
        </is>
      </c>
    </row>
    <row r="8">
      <c r="A8" t="inlineStr">
        <is>
          <t>[Your answer: ___________]</t>
        </is>
      </c>
    </row>
    <row r="9">
      <c r="A9" s="34" t="inlineStr">
        <is>
          <t>3. INVESTMENT THESIS</t>
        </is>
      </c>
    </row>
    <row r="10">
      <c r="A10" s="35" t="inlineStr">
        <is>
          <t>Tip: 3-4 bullets on attractiveness</t>
        </is>
      </c>
    </row>
    <row r="11">
      <c r="A11" t="inlineStr">
        <is>
          <t>[Your answer: ___________]</t>
        </is>
      </c>
    </row>
    <row r="12">
      <c r="A12" s="34" t="inlineStr">
        <is>
          <t>4. KEY RISKS</t>
        </is>
      </c>
    </row>
    <row r="13">
      <c r="A13" s="35" t="inlineStr">
        <is>
          <t>Tip: Market, operational, regulatory</t>
        </is>
      </c>
    </row>
    <row r="14">
      <c r="A14" t="inlineStr">
        <is>
          <t>[Your answer: ___________]</t>
        </is>
      </c>
    </row>
    <row r="15">
      <c r="A15" s="34" t="inlineStr">
        <is>
          <t>5. MITIGANTS</t>
        </is>
      </c>
    </row>
    <row r="16">
      <c r="A16" s="35" t="inlineStr">
        <is>
          <t>Tip: Hedging, contracts, structure</t>
        </is>
      </c>
    </row>
    <row r="17">
      <c r="A17" t="inlineStr">
        <is>
          <t>[Your answer: ___________]</t>
        </is>
      </c>
    </row>
    <row r="18">
      <c r="A18" s="34" t="inlineStr">
        <is>
          <t>6. SENSITIVITIES</t>
        </is>
      </c>
    </row>
    <row r="19">
      <c r="A19" s="35" t="inlineStr">
        <is>
          <t>Tip: ±10-20% on key inputs</t>
        </is>
      </c>
    </row>
    <row r="20">
      <c r="A20" t="inlineStr">
        <is>
          <t>[Your answer: ___________]</t>
        </is>
      </c>
    </row>
    <row r="21">
      <c r="A21" s="34" t="inlineStr">
        <is>
          <t>7. RECOMMENDATION</t>
        </is>
      </c>
    </row>
    <row r="22">
      <c r="A22" s="35" t="inlineStr">
        <is>
          <t>Tip: Clear yes/no with walk-away price</t>
        </is>
      </c>
    </row>
    <row r="23">
      <c r="A23" t="inlineStr">
        <is>
          <t>[Your answer: ___________]</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8"/>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2" customWidth="1" min="2" max="2"/>
    <col width="3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42" t="inlineStr">
        <is>
          <t>Model_Quick - Peaker (90-min build)</t>
        </is>
      </c>
    </row>
    <row r="2">
      <c r="D2" s="34" t="inlineStr">
        <is>
          <t>Y0 (2025)</t>
        </is>
      </c>
      <c r="E2" s="34" t="inlineStr">
        <is>
          <t>Y1 (2026)</t>
        </is>
      </c>
      <c r="F2" s="34" t="inlineStr">
        <is>
          <t>Y2 (2027)</t>
        </is>
      </c>
      <c r="G2" s="34" t="inlineStr">
        <is>
          <t>Y3 (2028)</t>
        </is>
      </c>
      <c r="H2" s="34" t="inlineStr">
        <is>
          <t>Y4 (2029)</t>
        </is>
      </c>
      <c r="I2" s="34" t="inlineStr">
        <is>
          <t>Y5 (2030)</t>
        </is>
      </c>
      <c r="J2" s="34" t="inlineStr">
        <is>
          <t>Y6 (2031)</t>
        </is>
      </c>
      <c r="K2" s="34" t="inlineStr">
        <is>
          <t>Y7 (2032)</t>
        </is>
      </c>
      <c r="L2" s="34" t="inlineStr">
        <is>
          <t>Y8 (2033)</t>
        </is>
      </c>
      <c r="M2" s="34" t="inlineStr">
        <is>
          <t>Y9 (2034)</t>
        </is>
      </c>
      <c r="N2" s="34" t="inlineStr">
        <is>
          <t>Y10 (2035)</t>
        </is>
      </c>
    </row>
    <row r="4">
      <c r="A4" s="38" t="inlineStr">
        <is>
          <t>═══ KEY METRICS ═══</t>
        </is>
      </c>
    </row>
    <row r="5">
      <c r="A5" t="inlineStr">
        <is>
          <t>Entry EV</t>
        </is>
      </c>
      <c r="B5" t="inlineStr">
        <is>
          <t>$mm</t>
        </is>
      </c>
      <c r="D5" s="43">
        <f>D12</f>
        <v/>
      </c>
    </row>
    <row r="6">
      <c r="A6" t="inlineStr">
        <is>
          <t>Debt %</t>
        </is>
      </c>
      <c r="B6" t="inlineStr">
        <is>
          <t>%</t>
        </is>
      </c>
      <c r="D6" s="44">
        <f>D35/D12</f>
        <v/>
      </c>
    </row>
    <row r="7">
      <c r="A7" t="inlineStr">
        <is>
          <t>Y1 EBITDA</t>
        </is>
      </c>
      <c r="B7" t="inlineStr">
        <is>
          <t>$mm</t>
        </is>
      </c>
      <c r="D7" s="45">
        <f>E41</f>
        <v/>
      </c>
    </row>
    <row r="8">
      <c r="A8" t="inlineStr">
        <is>
          <t>Levered IRR</t>
        </is>
      </c>
      <c r="B8" t="inlineStr">
        <is>
          <t>%</t>
        </is>
      </c>
      <c r="D8" s="44">
        <f>D57</f>
        <v/>
      </c>
    </row>
    <row r="9">
      <c r="A9" t="inlineStr">
        <is>
          <t>MOIC</t>
        </is>
      </c>
      <c r="B9" t="inlineStr">
        <is>
          <t>x</t>
        </is>
      </c>
      <c r="D9" s="46">
        <f>D58</f>
        <v/>
      </c>
    </row>
    <row r="11">
      <c r="A11" s="38" t="inlineStr">
        <is>
          <t>═══ TRANSACTION INPUTS ═══</t>
        </is>
      </c>
    </row>
    <row r="12">
      <c r="A12" t="inlineStr">
        <is>
          <t>Entry EV</t>
        </is>
      </c>
      <c r="B12" t="inlineStr">
        <is>
          <t>$mm</t>
        </is>
      </c>
      <c r="D12" s="47" t="n">
        <v>150</v>
      </c>
    </row>
    <row r="13">
      <c r="A13" t="inlineStr">
        <is>
          <t>Transaction Fees</t>
        </is>
      </c>
      <c r="B13" t="inlineStr">
        <is>
          <t>%</t>
        </is>
      </c>
      <c r="D13" s="47" t="n">
        <v>0.015</v>
      </c>
    </row>
    <row r="14">
      <c r="A14" t="inlineStr">
        <is>
          <t>Exit Multiple</t>
        </is>
      </c>
      <c r="B14" t="inlineStr">
        <is>
          <t>x</t>
        </is>
      </c>
      <c r="D14" s="47" t="n">
        <v>6.5</v>
      </c>
    </row>
    <row r="15">
      <c r="A15" t="inlineStr">
        <is>
          <t>Exit Year</t>
        </is>
      </c>
      <c r="B15" t="inlineStr">
        <is>
          <t>yr</t>
        </is>
      </c>
      <c r="D15" s="47" t="n">
        <v>5</v>
      </c>
    </row>
    <row r="17">
      <c r="A17" s="38" t="inlineStr">
        <is>
          <t>═══ ASSET INPUTS ═══</t>
        </is>
      </c>
    </row>
    <row r="18">
      <c r="A18" t="inlineStr">
        <is>
          <t>Capacity</t>
        </is>
      </c>
      <c r="B18" t="inlineStr">
        <is>
          <t>MW</t>
        </is>
      </c>
      <c r="D18" s="47" t="n">
        <v>365</v>
      </c>
    </row>
    <row r="19">
      <c r="A19" t="inlineStr">
        <is>
          <t>Capacity Factor</t>
        </is>
      </c>
      <c r="B19" t="inlineStr">
        <is>
          <t>%</t>
        </is>
      </c>
      <c r="D19" s="47" t="n">
        <v>0.55</v>
      </c>
    </row>
    <row r="20">
      <c r="A20" t="inlineStr">
        <is>
          <t>Y1 EBITDA</t>
        </is>
      </c>
      <c r="B20" t="inlineStr">
        <is>
          <t>$mm</t>
        </is>
      </c>
      <c r="D20" s="47" t="n">
        <v>22</v>
      </c>
    </row>
    <row r="21">
      <c r="A21" t="inlineStr">
        <is>
          <t>EBITDA Escalation</t>
        </is>
      </c>
      <c r="B21" t="inlineStr">
        <is>
          <t>%</t>
        </is>
      </c>
      <c r="D21" s="47" t="n">
        <v>0.02</v>
      </c>
    </row>
    <row r="23">
      <c r="A23" s="38" t="inlineStr">
        <is>
          <t>═══ FINANCING INPUTS ═══</t>
        </is>
      </c>
    </row>
    <row r="24">
      <c r="A24" t="inlineStr">
        <is>
          <t>Leverage</t>
        </is>
      </c>
      <c r="B24" t="inlineStr">
        <is>
          <t>%</t>
        </is>
      </c>
      <c r="D24" s="47" t="n">
        <v>0.6</v>
      </c>
    </row>
    <row r="25">
      <c r="A25" t="inlineStr">
        <is>
          <t>Interest Rate</t>
        </is>
      </c>
      <c r="B25" t="inlineStr">
        <is>
          <t>%</t>
        </is>
      </c>
      <c r="D25" s="47" t="n">
        <v>0.07000000000000001</v>
      </c>
    </row>
    <row r="26">
      <c r="A26" t="inlineStr">
        <is>
          <t>Debt Tenor</t>
        </is>
      </c>
      <c r="B26" t="inlineStr">
        <is>
          <t>yrs</t>
        </is>
      </c>
      <c r="D26" s="47" t="n">
        <v>5</v>
      </c>
    </row>
    <row r="28">
      <c r="A28" s="38" t="inlineStr">
        <is>
          <t>═══ SOURCES &amp; USES ═══</t>
        </is>
      </c>
    </row>
    <row r="29">
      <c r="A29" s="34" t="inlineStr">
        <is>
          <t>USES:</t>
        </is>
      </c>
    </row>
    <row r="30">
      <c r="A30" t="inlineStr">
        <is>
          <t>Purchase Price</t>
        </is>
      </c>
      <c r="D30">
        <f>D12</f>
        <v/>
      </c>
    </row>
    <row r="31">
      <c r="A31" t="inlineStr">
        <is>
          <t>Transaction Fees</t>
        </is>
      </c>
      <c r="D31">
        <f>D12*D13</f>
        <v/>
      </c>
    </row>
    <row r="32">
      <c r="A32" s="34" t="inlineStr">
        <is>
          <t>Total Uses</t>
        </is>
      </c>
      <c r="D32" s="43">
        <f>D30+D31</f>
        <v/>
      </c>
    </row>
    <row r="34">
      <c r="A34" s="34" t="inlineStr">
        <is>
          <t>SOURCES:</t>
        </is>
      </c>
    </row>
    <row r="35">
      <c r="A35" t="inlineStr">
        <is>
          <t>Funded Debt</t>
        </is>
      </c>
      <c r="D35">
        <f>D12*D24</f>
        <v/>
      </c>
    </row>
    <row r="36">
      <c r="A36" t="inlineStr">
        <is>
          <t>Entry Equity</t>
        </is>
      </c>
      <c r="D36">
        <f>D32-D35</f>
        <v/>
      </c>
    </row>
    <row r="37">
      <c r="A37" s="34" t="inlineStr">
        <is>
          <t>Total Sources</t>
        </is>
      </c>
      <c r="D37" s="43">
        <f>D35+D36</f>
        <v/>
      </c>
    </row>
    <row r="38">
      <c r="A38" t="inlineStr">
        <is>
          <t>Balance Check</t>
        </is>
      </c>
      <c r="D38" s="43">
        <f>IF(ABS(D32-D37)&lt;0.01,"PASS","FAIL")</f>
        <v/>
      </c>
    </row>
    <row r="40">
      <c r="A40" s="38" t="inlineStr">
        <is>
          <t>═══ OPERATING MODEL ═══</t>
        </is>
      </c>
    </row>
    <row r="41">
      <c r="A41" t="inlineStr">
        <is>
          <t>EBITDA</t>
        </is>
      </c>
      <c r="B41" t="inlineStr">
        <is>
          <t>$mm</t>
        </is>
      </c>
      <c r="C41" t="inlineStr">
        <is>
          <t>Y1 input, then escalated</t>
        </is>
      </c>
      <c r="E41" s="45">
        <f>$D$20*(1+$D$21)^(1-1)</f>
        <v/>
      </c>
      <c r="F41" s="45">
        <f>$D$20*(1+$D$21)^(2-1)</f>
        <v/>
      </c>
      <c r="G41" s="45">
        <f>$D$20*(1+$D$21)^(3-1)</f>
        <v/>
      </c>
      <c r="H41" s="45">
        <f>$D$20*(1+$D$21)^(4-1)</f>
        <v/>
      </c>
      <c r="I41" s="45">
        <f>$D$20*(1+$D$21)^(5-1)</f>
        <v/>
      </c>
      <c r="J41" s="45">
        <f>$D$20*(1+$D$21)^(6-1)</f>
        <v/>
      </c>
      <c r="K41" s="45">
        <f>$D$20*(1+$D$21)^(7-1)</f>
        <v/>
      </c>
      <c r="L41" s="45">
        <f>$D$20*(1+$D$21)^(8-1)</f>
        <v/>
      </c>
      <c r="M41" s="45">
        <f>$D$20*(1+$D$21)^(9-1)</f>
        <v/>
      </c>
      <c r="N41" s="45">
        <f>$D$20*(1+$D$21)^(10-1)</f>
        <v/>
      </c>
    </row>
    <row r="43">
      <c r="A43" s="38" t="inlineStr">
        <is>
          <t>═══ DEBT SCHEDULE (Straight-Line) ═══</t>
        </is>
      </c>
    </row>
    <row r="44">
      <c r="A44" t="inlineStr">
        <is>
          <t>Beginning Balance</t>
        </is>
      </c>
      <c r="B44" t="inlineStr">
        <is>
          <t>$mm</t>
        </is>
      </c>
      <c r="E44">
        <f>D35</f>
        <v/>
      </c>
      <c r="F44">
        <f>E47</f>
        <v/>
      </c>
      <c r="G44">
        <f>F47</f>
        <v/>
      </c>
      <c r="H44">
        <f>G47</f>
        <v/>
      </c>
      <c r="I44">
        <f>H47</f>
        <v/>
      </c>
      <c r="J44">
        <f>I47</f>
        <v/>
      </c>
      <c r="K44">
        <f>J47</f>
        <v/>
      </c>
      <c r="L44">
        <f>K47</f>
        <v/>
      </c>
      <c r="M44">
        <f>L47</f>
        <v/>
      </c>
      <c r="N44">
        <f>M47</f>
        <v/>
      </c>
    </row>
    <row r="45">
      <c r="A45" t="inlineStr">
        <is>
          <t>Interest</t>
        </is>
      </c>
      <c r="B45" t="inlineStr">
        <is>
          <t>$mm</t>
        </is>
      </c>
      <c r="E45" s="48">
        <f>E44*$D$25</f>
        <v/>
      </c>
      <c r="F45" s="48">
        <f>F44*$D$25</f>
        <v/>
      </c>
      <c r="G45" s="48">
        <f>G44*$D$25</f>
        <v/>
      </c>
      <c r="H45" s="48">
        <f>H44*$D$25</f>
        <v/>
      </c>
      <c r="I45" s="48">
        <f>I44*$D$25</f>
        <v/>
      </c>
      <c r="J45" s="48">
        <f>J44*$D$25</f>
        <v/>
      </c>
      <c r="K45" s="48">
        <f>K44*$D$25</f>
        <v/>
      </c>
      <c r="L45" s="48">
        <f>L44*$D$25</f>
        <v/>
      </c>
      <c r="M45" s="48">
        <f>M44*$D$25</f>
        <v/>
      </c>
      <c r="N45" s="48">
        <f>N44*$D$25</f>
        <v/>
      </c>
    </row>
    <row r="46">
      <c r="A46" t="inlineStr">
        <is>
          <t>Principal</t>
        </is>
      </c>
      <c r="B46" t="inlineStr">
        <is>
          <t>$mm</t>
        </is>
      </c>
      <c r="C46" t="inlineStr">
        <is>
          <t>Straight-line: Debt / Tenor</t>
        </is>
      </c>
      <c r="E46" s="48">
        <f>MIN($D$35/$D$26,E44)</f>
        <v/>
      </c>
      <c r="F46" s="48">
        <f>MIN($D$35/$D$26,F44)</f>
        <v/>
      </c>
      <c r="G46" s="48">
        <f>MIN($D$35/$D$26,G44)</f>
        <v/>
      </c>
      <c r="H46" s="48">
        <f>MIN($D$35/$D$26,H44)</f>
        <v/>
      </c>
      <c r="I46" s="48">
        <f>MIN($D$35/$D$26,I44)</f>
        <v/>
      </c>
      <c r="J46" s="48">
        <f>MIN($D$35/$D$26,J44)</f>
        <v/>
      </c>
      <c r="K46" s="48">
        <f>MIN($D$35/$D$26,K44)</f>
        <v/>
      </c>
      <c r="L46" s="48">
        <f>MIN($D$35/$D$26,L44)</f>
        <v/>
      </c>
      <c r="M46" s="48">
        <f>MIN($D$35/$D$26,M44)</f>
        <v/>
      </c>
      <c r="N46" s="48">
        <f>MIN($D$35/$D$26,N44)</f>
        <v/>
      </c>
    </row>
    <row r="47">
      <c r="A47" t="inlineStr">
        <is>
          <t>Ending Balance</t>
        </is>
      </c>
      <c r="B47" t="inlineStr">
        <is>
          <t>$mm</t>
        </is>
      </c>
      <c r="E47" s="48">
        <f>MAX(0,E44-E46)</f>
        <v/>
      </c>
      <c r="F47" s="48">
        <f>MAX(0,F44-F46)</f>
        <v/>
      </c>
      <c r="G47" s="48">
        <f>MAX(0,G44-G46)</f>
        <v/>
      </c>
      <c r="H47" s="48">
        <f>MAX(0,H44-H46)</f>
        <v/>
      </c>
      <c r="I47" s="48">
        <f>MAX(0,I44-I46)</f>
        <v/>
      </c>
      <c r="J47" s="48">
        <f>MAX(0,J44-J46)</f>
        <v/>
      </c>
      <c r="K47" s="48">
        <f>MAX(0,K44-K46)</f>
        <v/>
      </c>
      <c r="L47" s="48">
        <f>MAX(0,L44-L46)</f>
        <v/>
      </c>
      <c r="M47" s="48">
        <f>MAX(0,M44-M46)</f>
        <v/>
      </c>
      <c r="N47" s="48">
        <f>MAX(0,N44-N46)</f>
        <v/>
      </c>
    </row>
    <row r="49">
      <c r="A49" s="38" t="inlineStr">
        <is>
          <t>═══ RETURNS ═══</t>
        </is>
      </c>
    </row>
    <row r="50">
      <c r="A50" t="inlineStr">
        <is>
          <t>Exit Year EBITDA</t>
        </is>
      </c>
      <c r="B50" t="inlineStr">
        <is>
          <t>$mm</t>
        </is>
      </c>
      <c r="D50" s="48">
        <f>OFFSET(E41,0,$D$15-1)</f>
        <v/>
      </c>
    </row>
    <row r="51">
      <c r="A51" t="inlineStr">
        <is>
          <t>Exit EV</t>
        </is>
      </c>
      <c r="B51" t="inlineStr">
        <is>
          <t>$mm</t>
        </is>
      </c>
      <c r="D51" s="45">
        <f>D50*$D$14</f>
        <v/>
      </c>
    </row>
    <row r="52">
      <c r="A52" t="inlineStr">
        <is>
          <t>Exit Debt Payoff</t>
        </is>
      </c>
      <c r="B52" t="inlineStr">
        <is>
          <t>$mm</t>
        </is>
      </c>
      <c r="D52" s="48">
        <f>OFFSET(E47,0,$D$15-1)</f>
        <v/>
      </c>
    </row>
    <row r="53">
      <c r="A53" t="inlineStr">
        <is>
          <t>Exit Equity Proceeds</t>
        </is>
      </c>
      <c r="B53" t="inlineStr">
        <is>
          <t>$mm</t>
        </is>
      </c>
      <c r="D53" s="45">
        <f>D51-D52</f>
        <v/>
      </c>
    </row>
    <row r="55">
      <c r="A55" t="inlineStr">
        <is>
          <t>Equity Cash Flow</t>
        </is>
      </c>
      <c r="B55" t="inlineStr">
        <is>
          <t>$mm</t>
        </is>
      </c>
      <c r="D55">
        <f>-D36</f>
        <v/>
      </c>
      <c r="E55" s="48">
        <f>IF(1=$D$15,D53,0)</f>
        <v/>
      </c>
      <c r="F55" s="48">
        <f>IF(2=$D$15,D53,0)</f>
        <v/>
      </c>
      <c r="G55" s="48">
        <f>IF(3=$D$15,D53,0)</f>
        <v/>
      </c>
      <c r="H55" s="48">
        <f>IF(4=$D$15,D53,0)</f>
        <v/>
      </c>
      <c r="I55" s="48">
        <f>IF(5=$D$15,D53,0)</f>
        <v/>
      </c>
      <c r="J55" s="48">
        <f>IF(6=$D$15,D53,0)</f>
        <v/>
      </c>
      <c r="K55" s="48">
        <f>IF(7=$D$15,D53,0)</f>
        <v/>
      </c>
      <c r="L55" s="48">
        <f>IF(8=$D$15,D53,0)</f>
        <v/>
      </c>
      <c r="M55" s="48">
        <f>IF(9=$D$15,D53,0)</f>
        <v/>
      </c>
      <c r="N55" s="48">
        <f>IF(10=$D$15,D53,0)</f>
        <v/>
      </c>
    </row>
    <row r="57">
      <c r="A57" s="34" t="inlineStr">
        <is>
          <t>Levered IRR</t>
        </is>
      </c>
      <c r="B57" t="inlineStr">
        <is>
          <t>%</t>
        </is>
      </c>
      <c r="D57" s="44">
        <f>IRR(D55:N55)</f>
        <v/>
      </c>
    </row>
    <row r="58">
      <c r="A58" s="34" t="inlineStr">
        <is>
          <t>MOIC</t>
        </is>
      </c>
      <c r="B58" t="inlineStr">
        <is>
          <t>x</t>
        </is>
      </c>
      <c r="D58" s="46">
        <f>D53/D36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2" customWidth="1" min="2" max="2"/>
    <col width="3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Peaker Model - Lotus Infrastructure Partners</t>
        </is>
      </c>
      <c r="D1" s="36" t="inlineStr">
        <is>
          <t>Y0 (2025)</t>
        </is>
      </c>
      <c r="E1" s="36" t="inlineStr">
        <is>
          <t>Y1 (2026)</t>
        </is>
      </c>
      <c r="F1" s="36" t="inlineStr">
        <is>
          <t>Y2 (2027)</t>
        </is>
      </c>
      <c r="G1" s="36" t="inlineStr">
        <is>
          <t>Y3 (2028)</t>
        </is>
      </c>
      <c r="H1" s="36" t="inlineStr">
        <is>
          <t>Y4 (2029)</t>
        </is>
      </c>
      <c r="I1" s="36" t="inlineStr">
        <is>
          <t>Y5 (2030)</t>
        </is>
      </c>
      <c r="J1" s="36" t="inlineStr">
        <is>
          <t>Y6 (2031)</t>
        </is>
      </c>
      <c r="K1" s="36" t="inlineStr">
        <is>
          <t>Y7 (2032)</t>
        </is>
      </c>
      <c r="L1" s="36" t="inlineStr">
        <is>
          <t>Y8 (2033)</t>
        </is>
      </c>
      <c r="M1" s="36" t="inlineStr">
        <is>
          <t>Y9 (2034)</t>
        </is>
      </c>
      <c r="N1" s="36" t="inlineStr">
        <is>
          <t>Y10 (2035)</t>
        </is>
      </c>
    </row>
    <row r="2">
      <c r="A2" s="3" t="inlineStr">
        <is>
          <t>═══ AUDIT STRIP ═══</t>
        </is>
      </c>
      <c r="B2" s="4" t="n"/>
      <c r="C2" s="4" t="n"/>
      <c r="D2" s="4" t="n"/>
      <c r="E2" s="4" t="n"/>
      <c r="F2" s="4" t="n"/>
      <c r="G2" s="4" t="n"/>
      <c r="H2" s="4" t="n"/>
      <c r="I2" s="4" t="n"/>
      <c r="J2" s="4" t="n"/>
      <c r="K2" s="4" t="n"/>
      <c r="L2" s="4" t="n"/>
      <c r="M2" s="4" t="n"/>
      <c r="N2" s="4" t="n"/>
    </row>
    <row r="3">
      <c r="A3" s="5" t="inlineStr">
        <is>
          <t>Entry EV</t>
        </is>
      </c>
      <c r="B3" s="6" t="inlineStr">
        <is>
          <t>$mm</t>
        </is>
      </c>
      <c r="C3" s="6" t="inlineStr"/>
      <c r="D3" s="7">
        <f>$D$17</f>
        <v/>
      </c>
    </row>
    <row r="4">
      <c r="A4" s="5" t="inlineStr">
        <is>
          <t>Y1 EBITDA</t>
        </is>
      </c>
      <c r="B4" s="6" t="inlineStr">
        <is>
          <t>$mm</t>
        </is>
      </c>
      <c r="C4" s="6" t="inlineStr"/>
      <c r="D4" s="7">
        <f>E75</f>
        <v/>
      </c>
    </row>
    <row r="5">
      <c r="A5" s="38" t="inlineStr">
        <is>
          <t>═══════════ CONTROL PANEL ═══════════</t>
        </is>
      </c>
      <c r="B5" s="49" t="n"/>
      <c r="C5" s="49" t="n"/>
      <c r="D5" s="49" t="n"/>
    </row>
    <row r="6">
      <c r="A6" s="49" t="n"/>
      <c r="B6" s="49" t="n"/>
      <c r="C6" s="49" t="n"/>
      <c r="D6" s="49" t="n"/>
    </row>
    <row r="7">
      <c r="A7" s="50" t="inlineStr">
        <is>
          <t>REVENUE</t>
        </is>
      </c>
      <c r="B7" s="49" t="n"/>
      <c r="C7" s="49" t="n"/>
      <c r="D7" s="49" t="n"/>
    </row>
    <row r="8">
      <c r="A8" s="34" t="inlineStr">
        <is>
          <t>Revenue Mode</t>
        </is>
      </c>
      <c r="B8" s="49" t="n"/>
      <c r="C8" s="6" t="inlineStr">
        <is>
          <t>Merchant / Contracted / Hybrid</t>
        </is>
      </c>
      <c r="D8" s="47" t="inlineStr">
        <is>
          <t>Merchant</t>
        </is>
      </c>
    </row>
    <row r="9">
      <c r="A9" s="34" t="inlineStr">
        <is>
          <t>Contract End Year</t>
        </is>
      </c>
      <c r="B9" s="49" t="n"/>
      <c r="C9" s="6" t="inlineStr">
        <is>
          <t>0 = pure merchant; else year PPA ends</t>
        </is>
      </c>
      <c r="D9" s="47" t="n">
        <v>0</v>
      </c>
    </row>
    <row r="10">
      <c r="A10" s="49" t="n"/>
      <c r="B10" s="49" t="n"/>
      <c r="C10" s="49" t="n"/>
      <c r="D10" s="49" t="n"/>
    </row>
    <row r="11">
      <c r="A11" s="50" t="inlineStr">
        <is>
          <t>TIMING</t>
        </is>
      </c>
      <c r="B11" s="49" t="n"/>
      <c r="C11" s="49" t="n"/>
      <c r="D11" s="49" t="n"/>
    </row>
    <row r="12">
      <c r="A12" s="34" t="inlineStr">
        <is>
          <t>Exit Year</t>
        </is>
      </c>
      <c r="B12" s="49" t="n"/>
      <c r="C12" s="6" t="inlineStr">
        <is>
          <t>5 / 7 / 10</t>
        </is>
      </c>
      <c r="D12" s="47" t="n">
        <v>7</v>
      </c>
    </row>
    <row r="13">
      <c r="A13" s="34" t="inlineStr">
        <is>
          <t>Tax Credit End Year</t>
        </is>
      </c>
      <c r="B13" s="49" t="n"/>
      <c r="C13" s="6" t="inlineStr">
        <is>
          <t>0 = N/A; else last year of PTC/ITC</t>
        </is>
      </c>
      <c r="D13" s="47" t="n">
        <v>0</v>
      </c>
    </row>
    <row r="14">
      <c r="A14" s="49" t="n"/>
      <c r="B14" s="49" t="n"/>
      <c r="C14" s="49" t="n"/>
      <c r="D14" s="49" t="n"/>
    </row>
    <row r="15">
      <c r="A15" s="50" t="inlineStr">
        <is>
          <t>DEBT</t>
        </is>
      </c>
      <c r="B15" s="49" t="n"/>
      <c r="C15" s="49" t="n"/>
      <c r="D15" s="51" t="n"/>
    </row>
    <row r="16">
      <c r="A16" s="34" t="inlineStr">
        <is>
          <t>Debt Sweep</t>
        </is>
      </c>
      <c r="B16" s="49" t="n"/>
      <c r="C16" s="6" t="inlineStr">
        <is>
          <t>ON / OFF (for sweep assets)</t>
        </is>
      </c>
      <c r="D16" s="33" t="inlineStr">
        <is>
          <t>ON</t>
        </is>
      </c>
    </row>
    <row r="17">
      <c r="A17" s="34" t="inlineStr">
        <is>
          <t>Sweep %</t>
        </is>
      </c>
      <c r="B17" s="49" t="n"/>
      <c r="C17" s="6" t="inlineStr">
        <is>
          <t>Active when Sweep = ON</t>
        </is>
      </c>
      <c r="D17" s="32" t="inlineStr">
        <is>
          <t>75%</t>
        </is>
      </c>
    </row>
    <row r="18">
      <c r="A18" s="49" t="n"/>
      <c r="B18" s="49" t="n"/>
      <c r="C18" s="49" t="n"/>
      <c r="D18" s="52" t="n"/>
    </row>
    <row r="19">
      <c r="A19" s="50" t="inlineStr">
        <is>
          <t>OTHER</t>
        </is>
      </c>
      <c r="B19" s="49" t="n"/>
      <c r="C19" s="49" t="n"/>
      <c r="D19" s="53" t="n"/>
    </row>
    <row r="20">
      <c r="A20" s="34" t="inlineStr">
        <is>
          <t>Carbon Region</t>
        </is>
      </c>
      <c r="C20" s="6" t="inlineStr">
        <is>
          <t>None / CARB / RGGI (thermal only)</t>
        </is>
      </c>
      <c r="D20" s="47" t="inlineStr">
        <is>
          <t>None</t>
        </is>
      </c>
    </row>
    <row r="21">
      <c r="A21" s="54" t="inlineStr">
        <is>
          <t>Exit Method</t>
        </is>
      </c>
      <c r="B21" s="49" t="n"/>
      <c r="C21" s="6" t="inlineStr">
        <is>
          <t>Multiple / DCF</t>
        </is>
      </c>
      <c r="D21" s="47" t="inlineStr">
        <is>
          <t>Multiple</t>
        </is>
      </c>
      <c r="E21" s="4" t="n"/>
      <c r="F21" s="4" t="n"/>
      <c r="G21" s="4" t="n"/>
      <c r="H21" s="4" t="n"/>
      <c r="I21" s="4" t="n"/>
      <c r="J21" s="4" t="n"/>
      <c r="K21" s="4" t="n"/>
      <c r="L21" s="4" t="n"/>
      <c r="M21" s="4" t="n"/>
      <c r="N21" s="4" t="n"/>
    </row>
    <row r="22">
      <c r="A22" s="38" t="inlineStr">
        <is>
          <t>════════════════════════════════════</t>
        </is>
      </c>
      <c r="B22" s="6" t="inlineStr"/>
      <c r="C22" s="6" t="inlineStr"/>
      <c r="D22" s="10">
        <f>D116</f>
        <v/>
      </c>
    </row>
    <row r="23">
      <c r="A23" s="5" t="inlineStr">
        <is>
          <t>Debt Payoff Y7</t>
        </is>
      </c>
      <c r="B23" s="6" t="inlineStr"/>
      <c r="C23" s="6" t="inlineStr"/>
      <c r="D23" s="10">
        <f>IF(K91&lt;1,"PASS","FAIL")</f>
        <v/>
      </c>
    </row>
    <row r="24">
      <c r="A24" s="5" t="inlineStr">
        <is>
          <t>Min DSCR ≥ 1.25x</t>
        </is>
      </c>
      <c r="B24" s="6" t="inlineStr"/>
      <c r="C24" s="6" t="inlineStr"/>
      <c r="D24" s="10">
        <f>IF(D6&gt;=1.25,"PASS","FAIL")</f>
        <v/>
      </c>
    </row>
    <row r="25"/>
    <row r="26"/>
    <row r="27">
      <c r="A27" s="3" t="inlineStr">
        <is>
          <t>TRANSACTION INPUTS</t>
        </is>
      </c>
      <c r="B27" s="4" t="n"/>
      <c r="C27" s="4" t="n"/>
      <c r="D27" s="4" t="n"/>
      <c r="E27" s="4" t="n"/>
      <c r="F27" s="4" t="n"/>
      <c r="G27" s="4" t="n"/>
      <c r="H27" s="4" t="n"/>
      <c r="I27" s="4" t="n"/>
      <c r="J27" s="4" t="n"/>
      <c r="K27" s="4" t="n"/>
      <c r="L27" s="4" t="n"/>
      <c r="M27" s="4" t="n"/>
      <c r="N27" s="4" t="n"/>
    </row>
    <row r="28">
      <c r="A28" s="5" t="inlineStr">
        <is>
          <t>Entry EV</t>
        </is>
      </c>
      <c r="B28" s="6" t="inlineStr">
        <is>
          <t>$mm</t>
        </is>
      </c>
      <c r="C28" s="6" t="inlineStr">
        <is>
          <t>Purchase price</t>
        </is>
      </c>
      <c r="D28" s="11" t="n">
        <v>110</v>
      </c>
    </row>
    <row r="29">
      <c r="A29" s="5" t="inlineStr">
        <is>
          <t>Transaction Fees</t>
        </is>
      </c>
      <c r="B29" s="6" t="inlineStr">
        <is>
          <t>%</t>
        </is>
      </c>
      <c r="C29" s="6" t="inlineStr">
        <is>
          <t>Legal, advisory, financing</t>
        </is>
      </c>
      <c r="D29" s="32" t="n">
        <v>0.015</v>
      </c>
    </row>
    <row r="30">
      <c r="A30" s="5" t="inlineStr">
        <is>
          <t>Exit Multiple</t>
        </is>
      </c>
      <c r="B30" s="6" t="inlineStr">
        <is>
          <t>x</t>
        </is>
      </c>
      <c r="C30" s="6" t="inlineStr">
        <is>
          <t>On exit year EBITDA</t>
        </is>
      </c>
      <c r="D30" s="33" t="n">
        <v>7</v>
      </c>
    </row>
    <row r="31">
      <c r="A31" s="5" t="inlineStr">
        <is>
          <t>Exit Year</t>
        </is>
      </c>
      <c r="B31" s="6" t="inlineStr">
        <is>
          <t>#</t>
        </is>
      </c>
      <c r="C31" s="6" t="inlineStr">
        <is>
          <t>Hold period</t>
        </is>
      </c>
      <c r="D31" s="14" t="n">
        <v>7</v>
      </c>
    </row>
    <row r="32"/>
    <row r="33">
      <c r="A33" s="3" t="inlineStr">
        <is>
          <t>ASSET INPUTS</t>
        </is>
      </c>
      <c r="B33" s="4" t="n"/>
      <c r="C33" s="4" t="n"/>
      <c r="D33" s="4" t="n"/>
      <c r="E33" s="4" t="n"/>
      <c r="F33" s="4" t="n"/>
      <c r="G33" s="4" t="n"/>
      <c r="H33" s="4" t="n"/>
      <c r="I33" s="4" t="n"/>
      <c r="J33" s="4" t="n"/>
      <c r="K33" s="4" t="n"/>
      <c r="L33" s="4" t="n"/>
      <c r="M33" s="4" t="n"/>
      <c r="N33" s="4" t="n"/>
    </row>
    <row r="34">
      <c r="A34" s="5" t="inlineStr">
        <is>
          <t>Capacity</t>
        </is>
      </c>
      <c r="B34" s="6" t="inlineStr">
        <is>
          <t>MW</t>
        </is>
      </c>
      <c r="C34" s="6" t="inlineStr">
        <is>
          <t>Nameplate rating</t>
        </is>
      </c>
      <c r="D34" s="14" t="n">
        <v>200</v>
      </c>
    </row>
    <row r="35">
      <c r="A35" s="5" t="inlineStr">
        <is>
          <t>Heat Rate</t>
        </is>
      </c>
      <c r="B35" s="6" t="inlineStr">
        <is>
          <t>Btu/kWh</t>
        </is>
      </c>
      <c r="C35" s="6" t="inlineStr">
        <is>
          <t>Less efficient than CCGT</t>
        </is>
      </c>
      <c r="D35" s="14" t="n">
        <v>10500</v>
      </c>
    </row>
    <row r="36">
      <c r="A36" s="5" t="inlineStr">
        <is>
          <t>Availability</t>
        </is>
      </c>
      <c r="B36" s="6" t="inlineStr">
        <is>
          <t>%</t>
        </is>
      </c>
      <c r="C36" s="6" t="inlineStr">
        <is>
          <t>For UCAP accreditation</t>
        </is>
      </c>
      <c r="D36" s="32" t="n">
        <v>0.9399999999999999</v>
      </c>
    </row>
    <row r="37">
      <c r="A37" s="5" t="inlineStr">
        <is>
          <t>Forced Outage Rate</t>
        </is>
      </c>
      <c r="B37" s="6" t="inlineStr">
        <is>
          <t>%</t>
        </is>
      </c>
      <c r="C37" s="6" t="inlineStr">
        <is>
          <t>Unplanned downtime</t>
        </is>
      </c>
      <c r="D37" s="32" t="n">
        <v>0.05</v>
      </c>
    </row>
    <row r="38">
      <c r="A38" s="5" t="inlineStr">
        <is>
          <t>Dispatch Hours</t>
        </is>
      </c>
      <c r="B38" s="6" t="inlineStr">
        <is>
          <t>hours/yr</t>
        </is>
      </c>
      <c r="C38" s="6" t="inlineStr">
        <is>
          <t>Peak hours only (~400)</t>
        </is>
      </c>
      <c r="D38" s="14" t="n">
        <v>400</v>
      </c>
    </row>
    <row r="39"/>
    <row r="40">
      <c r="A40" s="3" t="inlineStr">
        <is>
          <t>PRICING INPUTS</t>
        </is>
      </c>
      <c r="B40" s="4" t="n"/>
      <c r="C40" s="4" t="n"/>
      <c r="D40" s="4" t="n"/>
      <c r="E40" s="4" t="n"/>
      <c r="F40" s="4" t="n"/>
      <c r="G40" s="4" t="n"/>
      <c r="H40" s="4" t="n"/>
      <c r="I40" s="4" t="n"/>
      <c r="J40" s="4" t="n"/>
      <c r="K40" s="4" t="n"/>
      <c r="L40" s="4" t="n"/>
      <c r="M40" s="4" t="n"/>
      <c r="N40" s="4" t="n"/>
    </row>
    <row r="41">
      <c r="A41" s="5" t="inlineStr">
        <is>
          <t>Power Price Y1</t>
        </is>
      </c>
      <c r="B41" s="6" t="inlineStr">
        <is>
          <t>$/MWh</t>
        </is>
      </c>
      <c r="C41" s="6" t="inlineStr">
        <is>
          <t>Higher (dispatch-weighted)</t>
        </is>
      </c>
      <c r="D41" s="11" t="n">
        <v>95</v>
      </c>
    </row>
    <row r="42">
      <c r="A42" s="5" t="inlineStr">
        <is>
          <t>Capacity Price Y1</t>
        </is>
      </c>
      <c r="B42" s="6" t="inlineStr">
        <is>
          <t>$/kW-yr</t>
        </is>
      </c>
      <c r="C42" s="6" t="inlineStr">
        <is>
          <t>ICAP/RPM result</t>
        </is>
      </c>
      <c r="D42" s="11" t="n">
        <v>60</v>
      </c>
    </row>
    <row r="43">
      <c r="A43" s="5" t="inlineStr">
        <is>
          <t>Gas Price Y1</t>
        </is>
      </c>
      <c r="B43" s="6" t="inlineStr">
        <is>
          <t>$/mmBtu</t>
        </is>
      </c>
      <c r="C43" s="6" t="inlineStr">
        <is>
          <t>Henry Hub + basis</t>
        </is>
      </c>
      <c r="D43" s="15" t="n">
        <v>3.25</v>
      </c>
    </row>
    <row r="44">
      <c r="A44" s="5" t="inlineStr">
        <is>
          <t>Escalation</t>
        </is>
      </c>
      <c r="B44" s="6" t="inlineStr">
        <is>
          <t>%/yr</t>
        </is>
      </c>
      <c r="C44" s="6" t="inlineStr">
        <is>
          <t>Applied to all prices/costs</t>
        </is>
      </c>
      <c r="D44" s="32" t="n">
        <v>0.025</v>
      </c>
    </row>
    <row r="45"/>
    <row r="46">
      <c r="A46" s="3" t="inlineStr">
        <is>
          <t>COST INPUTS</t>
        </is>
      </c>
      <c r="B46" s="4" t="n"/>
      <c r="C46" s="4" t="n"/>
      <c r="D46" s="4" t="n"/>
      <c r="E46" s="4" t="n"/>
      <c r="F46" s="4" t="n"/>
      <c r="G46" s="4" t="n"/>
      <c r="H46" s="4" t="n"/>
      <c r="I46" s="4" t="n"/>
      <c r="J46" s="4" t="n"/>
      <c r="K46" s="4" t="n"/>
      <c r="L46" s="4" t="n"/>
      <c r="M46" s="4" t="n"/>
      <c r="N46" s="4" t="n"/>
    </row>
    <row r="47">
      <c r="A47" s="5" t="inlineStr">
        <is>
          <t>VOM</t>
        </is>
      </c>
      <c r="B47" s="6" t="inlineStr">
        <is>
          <t>$/MWh</t>
        </is>
      </c>
      <c r="C47" s="6" t="inlineStr">
        <is>
          <t>Variable O&amp;M</t>
        </is>
      </c>
      <c r="D47" s="15" t="n">
        <v>4</v>
      </c>
    </row>
    <row r="48">
      <c r="A48" s="5" t="inlineStr">
        <is>
          <t>FOM</t>
        </is>
      </c>
      <c r="B48" s="6" t="inlineStr">
        <is>
          <t>$/kW-yr</t>
        </is>
      </c>
      <c r="C48" s="6" t="inlineStr">
        <is>
          <t>Fixed O&amp;M</t>
        </is>
      </c>
      <c r="D48" s="15" t="n">
        <v>12</v>
      </c>
    </row>
    <row r="49">
      <c r="A49" s="5" t="inlineStr">
        <is>
          <t>Major Maintenance Year</t>
        </is>
      </c>
      <c r="B49" s="6" t="inlineStr">
        <is>
          <t>#</t>
        </is>
      </c>
      <c r="C49" s="6" t="inlineStr">
        <is>
          <t>Hot gas path inspection</t>
        </is>
      </c>
      <c r="D49" s="14" t="n">
        <v>5</v>
      </c>
    </row>
    <row r="50">
      <c r="A50" s="5" t="inlineStr">
        <is>
          <t>Major Maintenance Cost</t>
        </is>
      </c>
      <c r="B50" s="6" t="inlineStr">
        <is>
          <t>$mm</t>
        </is>
      </c>
      <c r="C50" s="6" t="inlineStr">
        <is>
          <t>HGP inspection cost</t>
        </is>
      </c>
      <c r="D50" s="11" t="n">
        <v>4</v>
      </c>
    </row>
    <row r="51"/>
    <row r="52">
      <c r="A52" s="3" t="inlineStr">
        <is>
          <t>FINANCING INPUTS</t>
        </is>
      </c>
      <c r="B52" s="4" t="n"/>
      <c r="C52" s="4" t="n"/>
      <c r="D52" s="4" t="n"/>
      <c r="E52" s="4" t="n"/>
      <c r="F52" s="4" t="n"/>
      <c r="G52" s="4" t="n"/>
      <c r="H52" s="4" t="n"/>
      <c r="I52" s="4" t="n"/>
      <c r="J52" s="4" t="n"/>
      <c r="K52" s="4" t="n"/>
      <c r="L52" s="4" t="n"/>
      <c r="M52" s="4" t="n"/>
      <c r="N52" s="4" t="n"/>
    </row>
    <row r="53">
      <c r="A53" s="5" t="inlineStr">
        <is>
          <t>Leverage</t>
        </is>
      </c>
      <c r="B53" s="6" t="inlineStr">
        <is>
          <t>%</t>
        </is>
      </c>
      <c r="C53" s="6" t="inlineStr">
        <is>
          <t>Debt / Entry EV (lower)</t>
        </is>
      </c>
      <c r="D53" s="32" t="n">
        <v>0.3</v>
      </c>
    </row>
    <row r="54">
      <c r="A54" s="5" t="inlineStr">
        <is>
          <t>Interest Rate</t>
        </is>
      </c>
      <c r="B54" s="6" t="inlineStr">
        <is>
          <t>%</t>
        </is>
      </c>
      <c r="C54" s="6" t="inlineStr">
        <is>
          <t>All-in borrowing cost</t>
        </is>
      </c>
      <c r="D54" s="32" t="n">
        <v>0.07000000000000001</v>
      </c>
    </row>
    <row r="55">
      <c r="A55" s="5" t="inlineStr">
        <is>
          <t>Debt Tenor</t>
        </is>
      </c>
      <c r="B55" s="6" t="inlineStr">
        <is>
          <t>years</t>
        </is>
      </c>
      <c r="C55" s="6" t="inlineStr">
        <is>
          <t>Amortization period</t>
        </is>
      </c>
      <c r="D55" s="14" t="n">
        <v>7</v>
      </c>
    </row>
    <row r="56">
      <c r="A56" s="5" t="inlineStr">
        <is>
          <t>DSRA Months</t>
        </is>
      </c>
      <c r="B56" s="6" t="inlineStr">
        <is>
          <t>months</t>
        </is>
      </c>
      <c r="C56" s="6" t="inlineStr">
        <is>
          <t>Debt service reserve</t>
        </is>
      </c>
      <c r="D56" s="14" t="n">
        <v>6</v>
      </c>
    </row>
    <row r="57">
      <c r="A57" s="5" t="inlineStr">
        <is>
          <t>Cash Sweep %</t>
        </is>
      </c>
      <c r="B57" s="6" t="inlineStr">
        <is>
          <t>%</t>
        </is>
      </c>
      <c r="C57" s="6" t="inlineStr">
        <is>
          <t>Lower for maint reserves</t>
        </is>
      </c>
      <c r="D57" s="32" t="n">
        <v>0.5</v>
      </c>
    </row>
    <row r="58">
      <c r="A58" s="5" t="inlineStr">
        <is>
          <t>Lock-up DSCR</t>
        </is>
      </c>
      <c r="B58" s="6" t="inlineStr">
        <is>
          <t>x</t>
        </is>
      </c>
      <c r="C58" s="6" t="inlineStr">
        <is>
          <t>Distribution threshold</t>
        </is>
      </c>
      <c r="D58" s="33" t="n">
        <v>1.1</v>
      </c>
    </row>
    <row r="59"/>
    <row r="60">
      <c r="A60" s="3" t="inlineStr">
        <is>
          <t>TAX INPUTS</t>
        </is>
      </c>
      <c r="B60" s="4" t="n"/>
      <c r="C60" s="4" t="n"/>
      <c r="D60" s="4" t="n"/>
      <c r="E60" s="4" t="n"/>
      <c r="F60" s="4" t="n"/>
      <c r="G60" s="4" t="n"/>
      <c r="H60" s="4" t="n"/>
      <c r="I60" s="4" t="n"/>
      <c r="J60" s="4" t="n"/>
      <c r="K60" s="4" t="n"/>
      <c r="L60" s="4" t="n"/>
      <c r="M60" s="4" t="n"/>
      <c r="N60" s="4" t="n"/>
    </row>
    <row r="61">
      <c r="A61" s="5" t="inlineStr">
        <is>
          <t>Tax Rate</t>
        </is>
      </c>
      <c r="B61" s="6" t="inlineStr">
        <is>
          <t>%</t>
        </is>
      </c>
      <c r="C61" s="6" t="inlineStr">
        <is>
          <t>Blended federal + state</t>
        </is>
      </c>
      <c r="D61" s="32" t="n">
        <v>0.25</v>
      </c>
    </row>
    <row r="62">
      <c r="A62" s="5" t="inlineStr">
        <is>
          <t>Depreciable Basis</t>
        </is>
      </c>
      <c r="B62" s="6" t="inlineStr">
        <is>
          <t>%</t>
        </is>
      </c>
      <c r="C62" s="6" t="inlineStr">
        <is>
          <t>% of EV for depreciation</t>
        </is>
      </c>
      <c r="D62" s="32" t="n">
        <v>0.85</v>
      </c>
    </row>
    <row r="63">
      <c r="A63" s="5" t="inlineStr">
        <is>
          <t>Depreciation Life</t>
        </is>
      </c>
      <c r="B63" s="6" t="inlineStr">
        <is>
          <t>years</t>
        </is>
      </c>
      <c r="C63" s="6" t="inlineStr">
        <is>
          <t>Straight-line</t>
        </is>
      </c>
      <c r="D63" s="14" t="n">
        <v>15</v>
      </c>
    </row>
    <row r="64"/>
    <row r="65">
      <c r="A65" s="3" t="inlineStr">
        <is>
          <t>CALCULATED ITEMS</t>
        </is>
      </c>
      <c r="B65" s="4" t="n"/>
      <c r="C65" s="4" t="n"/>
      <c r="D65" s="4" t="n"/>
      <c r="E65" s="4" t="n"/>
      <c r="F65" s="4" t="n"/>
      <c r="G65" s="4" t="n"/>
      <c r="H65" s="4" t="n"/>
      <c r="I65" s="4" t="n"/>
      <c r="J65" s="4" t="n"/>
      <c r="K65" s="4" t="n"/>
      <c r="L65" s="4" t="n"/>
      <c r="M65" s="4" t="n"/>
      <c r="N65" s="4" t="n"/>
    </row>
    <row r="66">
      <c r="A66" s="5" t="inlineStr">
        <is>
          <t>UCAP (Unforced Capacity)</t>
        </is>
      </c>
      <c r="B66" s="6" t="inlineStr">
        <is>
          <t>MW</t>
        </is>
      </c>
      <c r="C66" s="6" t="inlineStr">
        <is>
          <t>Capacity × (1 - FOR)</t>
        </is>
      </c>
      <c r="D66" s="16">
        <f>$D$23*(1-$D$26)</f>
        <v/>
      </c>
    </row>
    <row r="67">
      <c r="A67" s="5" t="inlineStr">
        <is>
          <t>Annual Generation</t>
        </is>
      </c>
      <c r="B67" s="6" t="inlineStr">
        <is>
          <t>MWh</t>
        </is>
      </c>
      <c r="C67" s="6" t="inlineStr">
        <is>
          <t>Capacity × Hours × Avail</t>
        </is>
      </c>
      <c r="D67" s="17">
        <f>$D$23*$D$27*$D$25</f>
        <v/>
      </c>
    </row>
    <row r="68">
      <c r="A68" s="5" t="inlineStr">
        <is>
          <t>Debt Amount</t>
        </is>
      </c>
      <c r="B68" s="6" t="inlineStr">
        <is>
          <t>$mm</t>
        </is>
      </c>
      <c r="C68" s="6" t="inlineStr">
        <is>
          <t>Entry EV × Leverage</t>
        </is>
      </c>
      <c r="D68" s="18">
        <f>$D$17*$D$42</f>
        <v/>
      </c>
    </row>
    <row r="69">
      <c r="A69" s="5" t="inlineStr">
        <is>
          <t>Annual Depreciation</t>
        </is>
      </c>
      <c r="B69" s="6" t="inlineStr">
        <is>
          <t>$mm</t>
        </is>
      </c>
      <c r="C69" s="6" t="inlineStr">
        <is>
          <t>EV × Basis / Life</t>
        </is>
      </c>
      <c r="D69" s="18">
        <f>$D$17*$D$51/$D$52</f>
        <v/>
      </c>
    </row>
    <row r="70">
      <c r="A70" s="5" t="inlineStr">
        <is>
          <t>Scheduled Principal</t>
        </is>
      </c>
      <c r="B70" s="6" t="inlineStr">
        <is>
          <t>$mm/yr</t>
        </is>
      </c>
      <c r="C70" s="6" t="inlineStr">
        <is>
          <t>Debt / Tenor</t>
        </is>
      </c>
      <c r="D70" s="18">
        <f>$D$57/$D$44</f>
        <v/>
      </c>
    </row>
    <row r="71"/>
    <row r="72">
      <c r="A72" s="3" t="inlineStr">
        <is>
          <t>OPERATING MODEL</t>
        </is>
      </c>
      <c r="B72" s="4" t="n"/>
      <c r="C72" s="4" t="n"/>
      <c r="D72" s="4" t="n"/>
      <c r="E72" s="4" t="n"/>
      <c r="F72" s="4" t="n"/>
      <c r="G72" s="4" t="n"/>
      <c r="H72" s="4" t="n"/>
      <c r="I72" s="4" t="n"/>
      <c r="J72" s="4" t="n"/>
      <c r="K72" s="4" t="n"/>
      <c r="L72" s="4" t="n"/>
      <c r="M72" s="4" t="n"/>
      <c r="N72" s="4" t="n"/>
    </row>
    <row r="73">
      <c r="A73" s="5" t="inlineStr">
        <is>
          <t>Power Price</t>
        </is>
      </c>
      <c r="B73" s="6" t="inlineStr">
        <is>
          <t>$/MWh</t>
        </is>
      </c>
      <c r="C73" s="6" t="inlineStr">
        <is>
          <t>Escalated</t>
        </is>
      </c>
      <c r="E73" s="18">
        <f>$D$30*(1+$D$33)^(1-1)</f>
        <v/>
      </c>
      <c r="F73" s="18">
        <f>$D$30*(1+$D$33)^(2-1)</f>
        <v/>
      </c>
      <c r="G73" s="18">
        <f>$D$30*(1+$D$33)^(3-1)</f>
        <v/>
      </c>
      <c r="H73" s="18">
        <f>$D$30*(1+$D$33)^(4-1)</f>
        <v/>
      </c>
      <c r="I73" s="18">
        <f>$D$30*(1+$D$33)^(5-1)</f>
        <v/>
      </c>
      <c r="J73" s="18">
        <f>$D$30*(1+$D$33)^(6-1)</f>
        <v/>
      </c>
      <c r="K73" s="18">
        <f>$D$30*(1+$D$33)^(7-1)</f>
        <v/>
      </c>
      <c r="L73" s="18">
        <f>$D$30*(1+$D$33)^(8-1)</f>
        <v/>
      </c>
      <c r="M73" s="18">
        <f>$D$30*(1+$D$33)^(9-1)</f>
        <v/>
      </c>
      <c r="N73" s="18">
        <f>$D$30*(1+$D$33)^(10-1)</f>
        <v/>
      </c>
    </row>
    <row r="74">
      <c r="A74" s="5" t="inlineStr">
        <is>
          <t>Capacity Price</t>
        </is>
      </c>
      <c r="B74" s="6" t="inlineStr">
        <is>
          <t>$/kW-yr</t>
        </is>
      </c>
      <c r="C74" s="6" t="inlineStr">
        <is>
          <t>Escalated</t>
        </is>
      </c>
      <c r="E74" s="18">
        <f>$D$31*(1+$D$33)^(1-1)</f>
        <v/>
      </c>
      <c r="F74" s="18">
        <f>$D$31*(1+$D$33)^(2-1)</f>
        <v/>
      </c>
      <c r="G74" s="18">
        <f>$D$31*(1+$D$33)^(3-1)</f>
        <v/>
      </c>
      <c r="H74" s="18">
        <f>$D$31*(1+$D$33)^(4-1)</f>
        <v/>
      </c>
      <c r="I74" s="18">
        <f>$D$31*(1+$D$33)^(5-1)</f>
        <v/>
      </c>
      <c r="J74" s="18">
        <f>$D$31*(1+$D$33)^(6-1)</f>
        <v/>
      </c>
      <c r="K74" s="18">
        <f>$D$31*(1+$D$33)^(7-1)</f>
        <v/>
      </c>
      <c r="L74" s="18">
        <f>$D$31*(1+$D$33)^(8-1)</f>
        <v/>
      </c>
      <c r="M74" s="18">
        <f>$D$31*(1+$D$33)^(9-1)</f>
        <v/>
      </c>
      <c r="N74" s="18">
        <f>$D$31*(1+$D$33)^(10-1)</f>
        <v/>
      </c>
    </row>
    <row r="75">
      <c r="A75" s="5" t="inlineStr">
        <is>
          <t>Gas Price</t>
        </is>
      </c>
      <c r="B75" s="6" t="inlineStr">
        <is>
          <t>$/mmBtu</t>
        </is>
      </c>
      <c r="C75" s="6" t="inlineStr">
        <is>
          <t>Escalated</t>
        </is>
      </c>
      <c r="E75" s="19">
        <f>$D$32*(1+$D$33)^(1-1)</f>
        <v/>
      </c>
      <c r="F75" s="19">
        <f>$D$32*(1+$D$33)^(2-1)</f>
        <v/>
      </c>
      <c r="G75" s="19">
        <f>$D$32*(1+$D$33)^(3-1)</f>
        <v/>
      </c>
      <c r="H75" s="19">
        <f>$D$32*(1+$D$33)^(4-1)</f>
        <v/>
      </c>
      <c r="I75" s="19">
        <f>$D$32*(1+$D$33)^(5-1)</f>
        <v/>
      </c>
      <c r="J75" s="19">
        <f>$D$32*(1+$D$33)^(6-1)</f>
        <v/>
      </c>
      <c r="K75" s="19">
        <f>$D$32*(1+$D$33)^(7-1)</f>
        <v/>
      </c>
      <c r="L75" s="19">
        <f>$D$32*(1+$D$33)^(8-1)</f>
        <v/>
      </c>
      <c r="M75" s="19">
        <f>$D$32*(1+$D$33)^(9-1)</f>
        <v/>
      </c>
      <c r="N75" s="19">
        <f>$D$32*(1+$D$33)^(10-1)</f>
        <v/>
      </c>
    </row>
    <row r="76"/>
    <row r="77">
      <c r="A77" s="5" t="inlineStr">
        <is>
          <t>Energy Revenue</t>
        </is>
      </c>
      <c r="B77" s="6" t="inlineStr">
        <is>
          <t>$mm</t>
        </is>
      </c>
      <c r="C77" s="6" t="inlineStr">
        <is>
          <t>Generation × Power Price / 1M</t>
        </is>
      </c>
      <c r="E77" s="18">
        <f>$D$56*E62/1000000</f>
        <v/>
      </c>
      <c r="F77" s="18">
        <f>$D$56*F62/1000000</f>
        <v/>
      </c>
      <c r="G77" s="18">
        <f>$D$56*G62/1000000</f>
        <v/>
      </c>
      <c r="H77" s="18">
        <f>$D$56*H62/1000000</f>
        <v/>
      </c>
      <c r="I77" s="18">
        <f>$D$56*I62/1000000</f>
        <v/>
      </c>
      <c r="J77" s="18">
        <f>$D$56*J62/1000000</f>
        <v/>
      </c>
      <c r="K77" s="18">
        <f>$D$56*K62/1000000</f>
        <v/>
      </c>
      <c r="L77" s="18">
        <f>$D$56*L62/1000000</f>
        <v/>
      </c>
      <c r="M77" s="18">
        <f>$D$56*M62/1000000</f>
        <v/>
      </c>
      <c r="N77" s="18">
        <f>$D$56*N62/1000000</f>
        <v/>
      </c>
    </row>
    <row r="78">
      <c r="A78" s="5" t="inlineStr">
        <is>
          <t>Capacity Revenue</t>
        </is>
      </c>
      <c r="B78" s="6" t="inlineStr">
        <is>
          <t>$mm</t>
        </is>
      </c>
      <c r="C78" s="6" t="inlineStr">
        <is>
          <t>UCAP × Cap Price × 1000 / 1M</t>
        </is>
      </c>
      <c r="E78" s="18">
        <f>$D$55*E63*1000/1000000</f>
        <v/>
      </c>
      <c r="F78" s="18">
        <f>$D$55*F63*1000/1000000</f>
        <v/>
      </c>
      <c r="G78" s="18">
        <f>$D$55*G63*1000/1000000</f>
        <v/>
      </c>
      <c r="H78" s="18">
        <f>$D$55*H63*1000/1000000</f>
        <v/>
      </c>
      <c r="I78" s="18">
        <f>$D$55*I63*1000/1000000</f>
        <v/>
      </c>
      <c r="J78" s="18">
        <f>$D$55*J63*1000/1000000</f>
        <v/>
      </c>
      <c r="K78" s="18">
        <f>$D$55*K63*1000/1000000</f>
        <v/>
      </c>
      <c r="L78" s="18">
        <f>$D$55*L63*1000/1000000</f>
        <v/>
      </c>
      <c r="M78" s="18">
        <f>$D$55*M63*1000/1000000</f>
        <v/>
      </c>
      <c r="N78" s="18">
        <f>$D$55*N63*1000/1000000</f>
        <v/>
      </c>
    </row>
    <row r="79">
      <c r="A79" s="5" t="inlineStr">
        <is>
          <t>Total Revenue</t>
        </is>
      </c>
      <c r="B79" s="6" t="inlineStr">
        <is>
          <t>$mm</t>
        </is>
      </c>
      <c r="C79" s="6" t="inlineStr"/>
      <c r="E79" s="20">
        <f>E66+E67</f>
        <v/>
      </c>
      <c r="F79" s="20">
        <f>F66+F67</f>
        <v/>
      </c>
      <c r="G79" s="20">
        <f>G66+G67</f>
        <v/>
      </c>
      <c r="H79" s="20">
        <f>H66+H67</f>
        <v/>
      </c>
      <c r="I79" s="20">
        <f>I66+I67</f>
        <v/>
      </c>
      <c r="J79" s="20">
        <f>J66+J67</f>
        <v/>
      </c>
      <c r="K79" s="20">
        <f>K66+K67</f>
        <v/>
      </c>
      <c r="L79" s="20">
        <f>L66+L67</f>
        <v/>
      </c>
      <c r="M79" s="20">
        <f>M66+M67</f>
        <v/>
      </c>
      <c r="N79" s="20">
        <f>N66+N67</f>
        <v/>
      </c>
    </row>
    <row r="80"/>
    <row r="81">
      <c r="A81" s="5" t="inlineStr">
        <is>
          <t>Fuel Cost</t>
        </is>
      </c>
      <c r="B81" s="6" t="inlineStr">
        <is>
          <t>$mm</t>
        </is>
      </c>
      <c r="C81" s="6" t="inlineStr">
        <is>
          <t>Gen × HR × Gas / 1B</t>
        </is>
      </c>
      <c r="E81" s="18">
        <f>$D$56*$D$24*E64/1E9</f>
        <v/>
      </c>
      <c r="F81" s="18">
        <f>$D$56*$D$24*F64/1E9</f>
        <v/>
      </c>
      <c r="G81" s="18">
        <f>$D$56*$D$24*G64/1E9</f>
        <v/>
      </c>
      <c r="H81" s="18">
        <f>$D$56*$D$24*H64/1E9</f>
        <v/>
      </c>
      <c r="I81" s="18">
        <f>$D$56*$D$24*I64/1E9</f>
        <v/>
      </c>
      <c r="J81" s="18">
        <f>$D$56*$D$24*J64/1E9</f>
        <v/>
      </c>
      <c r="K81" s="18">
        <f>$D$56*$D$24*K64/1E9</f>
        <v/>
      </c>
      <c r="L81" s="18">
        <f>$D$56*$D$24*L64/1E9</f>
        <v/>
      </c>
      <c r="M81" s="18">
        <f>$D$56*$D$24*M64/1E9</f>
        <v/>
      </c>
      <c r="N81" s="18">
        <f>$D$56*$D$24*N64/1E9</f>
        <v/>
      </c>
    </row>
    <row r="82">
      <c r="A82" s="34" t="inlineStr">
        <is>
          <t>Spark Spread</t>
        </is>
      </c>
      <c r="B82" t="inlineStr">
        <is>
          <t>$/MWh</t>
        </is>
      </c>
      <c r="C82" s="55" t="inlineStr">
        <is>
          <t>[WHAT] Spark Spread = Power Price - (Plant HR × Gas / 1000)
[WHY] Gross margin per MWh after fuel. Core driver of thermal profitability.
[RMHR EQUIVALENCE - For Interview Discussion]
Traders express this as "Market Heat Rate":
  RMHR = Power / Gas × 1000
  If RMHR &gt; Plant HR → "In the money" → Dispatch
Spark Spread = (RMHR - Plant HR) × Gas / 1000
Same math, different framing. Use Spark Spread in model (simpler).
[EXAMPLE] Power=$50, Gas=$5, HR=7000
  RMHR = 50/5 × 1000 = 10,000 Btu/kWh
  Spread = 10,000 - 7,000 = 3,000 Btu/kWh
  Spark = 3,000 × $5 / 1000 = $15/MWh ✓
  (Or directly: $50 - 7×$5 = $15/MWh)
[UNITS] $/MWh - (Btu/kWh × $/MMBtu / 1000) = $/MWh ✓</t>
        </is>
      </c>
      <c r="E82" s="56">
        <f>E72-($D$34/1000)*E74</f>
        <v/>
      </c>
      <c r="F82" s="56">
        <f>F72-($D$34/1000)*F74</f>
        <v/>
      </c>
      <c r="G82" s="56">
        <f>G72-($D$34/1000)*G74</f>
        <v/>
      </c>
      <c r="H82" s="56">
        <f>H72-($D$34/1000)*H74</f>
        <v/>
      </c>
      <c r="I82" s="56">
        <f>I72-($D$34/1000)*I74</f>
        <v/>
      </c>
      <c r="J82" s="56">
        <f>J72-($D$34/1000)*J74</f>
        <v/>
      </c>
      <c r="K82" s="56">
        <f>K72-($D$34/1000)*K74</f>
        <v/>
      </c>
      <c r="L82" s="56">
        <f>L72-($D$34/1000)*L74</f>
        <v/>
      </c>
      <c r="M82" s="56">
        <f>M72-($D$34/1000)*M74</f>
        <v/>
      </c>
      <c r="N82" s="56">
        <f>N72-($D$34/1000)*N74</f>
        <v/>
      </c>
    </row>
    <row r="83">
      <c r="A83" s="5" t="inlineStr">
        <is>
          <t>VOM</t>
        </is>
      </c>
      <c r="B83" s="6" t="inlineStr">
        <is>
          <t>$mm</t>
        </is>
      </c>
      <c r="C83" s="6" t="inlineStr">
        <is>
          <t>Generation × VOM rate / 1M</t>
        </is>
      </c>
      <c r="E83" s="18">
        <f>$D$56*$D$36/1000000</f>
        <v/>
      </c>
      <c r="F83" s="18">
        <f>$D$56*$D$36/1000000</f>
        <v/>
      </c>
      <c r="G83" s="18">
        <f>$D$56*$D$36/1000000</f>
        <v/>
      </c>
      <c r="H83" s="18">
        <f>$D$56*$D$36/1000000</f>
        <v/>
      </c>
      <c r="I83" s="18">
        <f>$D$56*$D$36/1000000</f>
        <v/>
      </c>
      <c r="J83" s="18">
        <f>$D$56*$D$36/1000000</f>
        <v/>
      </c>
      <c r="K83" s="18">
        <f>$D$56*$D$36/1000000</f>
        <v/>
      </c>
      <c r="L83" s="18">
        <f>$D$56*$D$36/1000000</f>
        <v/>
      </c>
      <c r="M83" s="18">
        <f>$D$56*$D$36/1000000</f>
        <v/>
      </c>
      <c r="N83" s="18">
        <f>$D$56*$D$36/1000000</f>
        <v/>
      </c>
    </row>
    <row r="84">
      <c r="A84" s="5" t="inlineStr">
        <is>
          <t>FOM</t>
        </is>
      </c>
      <c r="B84" s="6" t="inlineStr">
        <is>
          <t>$mm</t>
        </is>
      </c>
      <c r="C84" s="6" t="inlineStr">
        <is>
          <t>Capacity × FOM × esc × 1000 / 1M</t>
        </is>
      </c>
      <c r="E84" s="18">
        <f>$D$23*$D$37*(1+$D$33)^(1-1)*1000/1000000</f>
        <v/>
      </c>
      <c r="F84" s="18">
        <f>$D$23*$D$37*(1+$D$33)^(2-1)*1000/1000000</f>
        <v/>
      </c>
      <c r="G84" s="18">
        <f>$D$23*$D$37*(1+$D$33)^(3-1)*1000/1000000</f>
        <v/>
      </c>
      <c r="H84" s="18">
        <f>$D$23*$D$37*(1+$D$33)^(4-1)*1000/1000000</f>
        <v/>
      </c>
      <c r="I84" s="18">
        <f>$D$23*$D$37*(1+$D$33)^(5-1)*1000/1000000</f>
        <v/>
      </c>
      <c r="J84" s="18">
        <f>$D$23*$D$37*(1+$D$33)^(6-1)*1000/1000000</f>
        <v/>
      </c>
      <c r="K84" s="18">
        <f>$D$23*$D$37*(1+$D$33)^(7-1)*1000/1000000</f>
        <v/>
      </c>
      <c r="L84" s="18">
        <f>$D$23*$D$37*(1+$D$33)^(8-1)*1000/1000000</f>
        <v/>
      </c>
      <c r="M84" s="18">
        <f>$D$23*$D$37*(1+$D$33)^(9-1)*1000/1000000</f>
        <v/>
      </c>
      <c r="N84" s="18">
        <f>$D$23*$D$37*(1+$D$33)^(10-1)*1000/1000000</f>
        <v/>
      </c>
    </row>
    <row r="85">
      <c r="A85" s="5" t="inlineStr">
        <is>
          <t>Total Operating Costs</t>
        </is>
      </c>
      <c r="B85" s="6" t="inlineStr">
        <is>
          <t>$mm</t>
        </is>
      </c>
      <c r="C85" s="6" t="inlineStr"/>
      <c r="E85" s="18">
        <f>E70+E71+E72</f>
        <v/>
      </c>
      <c r="F85" s="18">
        <f>F70+F71+F72</f>
        <v/>
      </c>
      <c r="G85" s="18">
        <f>G70+G71+G72</f>
        <v/>
      </c>
      <c r="H85" s="18">
        <f>H70+H71+H72</f>
        <v/>
      </c>
      <c r="I85" s="18">
        <f>I70+I71+I72</f>
        <v/>
      </c>
      <c r="J85" s="18">
        <f>J70+J71+J72</f>
        <v/>
      </c>
      <c r="K85" s="18">
        <f>K70+K71+K72</f>
        <v/>
      </c>
      <c r="L85" s="18">
        <f>L70+L71+L72</f>
        <v/>
      </c>
      <c r="M85" s="18">
        <f>M70+M71+M72</f>
        <v/>
      </c>
      <c r="N85" s="18">
        <f>N70+N71+N72</f>
        <v/>
      </c>
    </row>
    <row r="86"/>
    <row r="87">
      <c r="A87" s="5" t="inlineStr">
        <is>
          <t>EBITDA</t>
        </is>
      </c>
      <c r="B87" s="6" t="inlineStr">
        <is>
          <t>$mm</t>
        </is>
      </c>
      <c r="C87" s="6" t="inlineStr"/>
      <c r="E87" s="7">
        <f>E68-E73</f>
        <v/>
      </c>
      <c r="F87" s="7">
        <f>F68-F73</f>
        <v/>
      </c>
      <c r="G87" s="7">
        <f>G68-G73</f>
        <v/>
      </c>
      <c r="H87" s="7">
        <f>H68-H73</f>
        <v/>
      </c>
      <c r="I87" s="7">
        <f>I68-I73</f>
        <v/>
      </c>
      <c r="J87" s="7">
        <f>J68-J73</f>
        <v/>
      </c>
      <c r="K87" s="7">
        <f>K68-K73</f>
        <v/>
      </c>
      <c r="L87" s="7">
        <f>L68-L73</f>
        <v/>
      </c>
      <c r="M87" s="7">
        <f>M68-M73</f>
        <v/>
      </c>
      <c r="N87" s="7">
        <f>N68-N73</f>
        <v/>
      </c>
    </row>
    <row r="88"/>
    <row r="89">
      <c r="A89" s="3" t="inlineStr">
        <is>
          <t>CASH FLOW</t>
        </is>
      </c>
      <c r="B89" s="4" t="n"/>
      <c r="C89" s="4" t="n"/>
      <c r="D89" s="4" t="n"/>
      <c r="E89" s="4" t="n"/>
      <c r="F89" s="4" t="n"/>
      <c r="G89" s="4" t="n"/>
      <c r="H89" s="4" t="n"/>
      <c r="I89" s="4" t="n"/>
      <c r="J89" s="4" t="n"/>
      <c r="K89" s="4" t="n"/>
      <c r="L89" s="4" t="n"/>
      <c r="M89" s="4" t="n"/>
      <c r="N89" s="4" t="n"/>
    </row>
    <row r="90">
      <c r="A90" s="5" t="inlineStr">
        <is>
          <t>EBIT</t>
        </is>
      </c>
      <c r="B90" s="6" t="inlineStr">
        <is>
          <t>$mm</t>
        </is>
      </c>
      <c r="C90" s="6" t="inlineStr">
        <is>
          <t>EBITDA - Depreciation</t>
        </is>
      </c>
      <c r="E90" s="18">
        <f>E75-$D$58</f>
        <v/>
      </c>
      <c r="F90" s="18">
        <f>F75-$D$58</f>
        <v/>
      </c>
      <c r="G90" s="18">
        <f>G75-$D$58</f>
        <v/>
      </c>
      <c r="H90" s="18">
        <f>H75-$D$58</f>
        <v/>
      </c>
      <c r="I90" s="18">
        <f>I75-$D$58</f>
        <v/>
      </c>
      <c r="J90" s="18">
        <f>J75-$D$58</f>
        <v/>
      </c>
      <c r="K90" s="18">
        <f>K75-$D$58</f>
        <v/>
      </c>
      <c r="L90" s="18">
        <f>L75-$D$58</f>
        <v/>
      </c>
      <c r="M90" s="18">
        <f>M75-$D$58</f>
        <v/>
      </c>
      <c r="N90" s="18">
        <f>N75-$D$58</f>
        <v/>
      </c>
    </row>
    <row r="91">
      <c r="A91" s="5" t="inlineStr">
        <is>
          <t>Taxes</t>
        </is>
      </c>
      <c r="B91" s="6" t="inlineStr">
        <is>
          <t>$mm</t>
        </is>
      </c>
      <c r="C91" s="6" t="inlineStr">
        <is>
          <t>MAX(0, EBIT) × Tax Rate</t>
        </is>
      </c>
      <c r="E91" s="18">
        <f>MAX(0,E78)*$D$50</f>
        <v/>
      </c>
      <c r="F91" s="18">
        <f>MAX(0,F78)*$D$50</f>
        <v/>
      </c>
      <c r="G91" s="18">
        <f>MAX(0,G78)*$D$50</f>
        <v/>
      </c>
      <c r="H91" s="18">
        <f>MAX(0,H78)*$D$50</f>
        <v/>
      </c>
      <c r="I91" s="18">
        <f>MAX(0,I78)*$D$50</f>
        <v/>
      </c>
      <c r="J91" s="18">
        <f>MAX(0,J78)*$D$50</f>
        <v/>
      </c>
      <c r="K91" s="18">
        <f>MAX(0,K78)*$D$50</f>
        <v/>
      </c>
      <c r="L91" s="18">
        <f>MAX(0,L78)*$D$50</f>
        <v/>
      </c>
      <c r="M91" s="18">
        <f>MAX(0,M78)*$D$50</f>
        <v/>
      </c>
      <c r="N91" s="18">
        <f>MAX(0,N78)*$D$50</f>
        <v/>
      </c>
    </row>
    <row r="92">
      <c r="A92" s="5" t="inlineStr">
        <is>
          <t>Major Maintenance</t>
        </is>
      </c>
      <c r="B92" s="6" t="inlineStr">
        <is>
          <t>$mm</t>
        </is>
      </c>
      <c r="C92" s="6" t="inlineStr">
        <is>
          <t>HGP in specified year</t>
        </is>
      </c>
      <c r="E92" s="21">
        <f>IF(1=$D$38,$D$39,0)</f>
        <v/>
      </c>
      <c r="F92" s="21">
        <f>IF(2=$D$38,$D$39,0)</f>
        <v/>
      </c>
      <c r="G92" s="21">
        <f>IF(3=$D$38,$D$39,0)</f>
        <v/>
      </c>
      <c r="H92" s="21">
        <f>IF(4=$D$38,$D$39,0)</f>
        <v/>
      </c>
      <c r="I92" s="21">
        <f>IF(5=$D$38,$D$39,0)</f>
        <v/>
      </c>
      <c r="J92" s="21">
        <f>IF(6=$D$38,$D$39,0)</f>
        <v/>
      </c>
      <c r="K92" s="21">
        <f>IF(7=$D$38,$D$39,0)</f>
        <v/>
      </c>
      <c r="L92" s="21">
        <f>IF(8=$D$38,$D$39,0)</f>
        <v/>
      </c>
      <c r="M92" s="21">
        <f>IF(9=$D$38,$D$39,0)</f>
        <v/>
      </c>
      <c r="N92" s="21">
        <f>IF(10=$D$38,$D$39,0)</f>
        <v/>
      </c>
    </row>
    <row r="93">
      <c r="A93" s="5" t="inlineStr">
        <is>
          <t>CFADS</t>
        </is>
      </c>
      <c r="B93" s="6" t="inlineStr">
        <is>
          <t>$mm</t>
        </is>
      </c>
      <c r="C93" s="6" t="inlineStr">
        <is>
          <t>EBITDA - Taxes - Maint</t>
        </is>
      </c>
      <c r="E93" s="7">
        <f>E75-E79-E80</f>
        <v/>
      </c>
      <c r="F93" s="7">
        <f>F75-F79-F80</f>
        <v/>
      </c>
      <c r="G93" s="7">
        <f>G75-G79-G80</f>
        <v/>
      </c>
      <c r="H93" s="7">
        <f>H75-H79-H80</f>
        <v/>
      </c>
      <c r="I93" s="7">
        <f>I75-I79-I80</f>
        <v/>
      </c>
      <c r="J93" s="7">
        <f>J75-J79-J80</f>
        <v/>
      </c>
      <c r="K93" s="7">
        <f>K75-K79-K80</f>
        <v/>
      </c>
      <c r="L93" s="7">
        <f>L75-L79-L80</f>
        <v/>
      </c>
      <c r="M93" s="7">
        <f>M75-M79-M80</f>
        <v/>
      </c>
      <c r="N93" s="7">
        <f>N75-N79-N80</f>
        <v/>
      </c>
    </row>
    <row r="94"/>
    <row r="95">
      <c r="A95" s="3" t="inlineStr">
        <is>
          <t>DEBT SCHEDULE (50% Cash Sweep)</t>
        </is>
      </c>
      <c r="B95" s="4" t="n"/>
      <c r="C95" s="4" t="n"/>
      <c r="D95" s="4" t="n"/>
      <c r="E95" s="4" t="n"/>
      <c r="F95" s="4" t="n"/>
      <c r="G95" s="4" t="n"/>
      <c r="H95" s="4" t="n"/>
      <c r="I95" s="4" t="n"/>
      <c r="J95" s="4" t="n"/>
      <c r="K95" s="4" t="n"/>
      <c r="L95" s="4" t="n"/>
      <c r="M95" s="4" t="n"/>
      <c r="N95" s="4" t="n"/>
    </row>
    <row r="96">
      <c r="A96" s="5" t="inlineStr">
        <is>
          <t>Beginning Balance</t>
        </is>
      </c>
      <c r="B96" s="6" t="inlineStr">
        <is>
          <t>$mm</t>
        </is>
      </c>
      <c r="C96" s="6" t="inlineStr"/>
      <c r="E96" s="18">
        <f>$D$57</f>
        <v/>
      </c>
      <c r="F96" s="18">
        <f>E91</f>
        <v/>
      </c>
      <c r="G96" s="18">
        <f>F91</f>
        <v/>
      </c>
      <c r="H96" s="18">
        <f>G91</f>
        <v/>
      </c>
      <c r="I96" s="18">
        <f>H91</f>
        <v/>
      </c>
      <c r="J96" s="18">
        <f>I91</f>
        <v/>
      </c>
      <c r="K96" s="18">
        <f>J91</f>
        <v/>
      </c>
      <c r="L96" s="18">
        <f>K91</f>
        <v/>
      </c>
      <c r="M96" s="18">
        <f>L91</f>
        <v/>
      </c>
      <c r="N96" s="18">
        <f>M91</f>
        <v/>
      </c>
    </row>
    <row r="97">
      <c r="A97" s="5" t="inlineStr">
        <is>
          <t>Interest</t>
        </is>
      </c>
      <c r="B97" s="6" t="inlineStr">
        <is>
          <t>$mm</t>
        </is>
      </c>
      <c r="C97" s="6" t="inlineStr">
        <is>
          <t>Beg Bal × Int Rate</t>
        </is>
      </c>
      <c r="E97" s="18">
        <f>E84*$D$43</f>
        <v/>
      </c>
      <c r="F97" s="18">
        <f>F84*$D$43</f>
        <v/>
      </c>
      <c r="G97" s="18">
        <f>G84*$D$43</f>
        <v/>
      </c>
      <c r="H97" s="18">
        <f>H84*$D$43</f>
        <v/>
      </c>
      <c r="I97" s="18">
        <f>I84*$D$43</f>
        <v/>
      </c>
      <c r="J97" s="18">
        <f>J84*$D$43</f>
        <v/>
      </c>
      <c r="K97" s="18">
        <f>K84*$D$43</f>
        <v/>
      </c>
      <c r="L97" s="18">
        <f>L84*$D$43</f>
        <v/>
      </c>
      <c r="M97" s="18">
        <f>M84*$D$43</f>
        <v/>
      </c>
      <c r="N97" s="18">
        <f>N84*$D$43</f>
        <v/>
      </c>
    </row>
    <row r="98">
      <c r="A98" s="5" t="inlineStr">
        <is>
          <t>Scheduled Principal</t>
        </is>
      </c>
      <c r="B98" s="6" t="inlineStr">
        <is>
          <t>$mm</t>
        </is>
      </c>
      <c r="C98" s="6" t="inlineStr">
        <is>
          <t>MIN(Sched, Beg Bal)</t>
        </is>
      </c>
      <c r="E98" s="18">
        <f>MIN($D$59,E84)</f>
        <v/>
      </c>
      <c r="F98" s="18">
        <f>MIN($D$59,F84)</f>
        <v/>
      </c>
      <c r="G98" s="18">
        <f>MIN($D$59,G84)</f>
        <v/>
      </c>
      <c r="H98" s="18">
        <f>MIN($D$59,H84)</f>
        <v/>
      </c>
      <c r="I98" s="18">
        <f>MIN($D$59,I84)</f>
        <v/>
      </c>
      <c r="J98" s="18">
        <f>MIN($D$59,J84)</f>
        <v/>
      </c>
      <c r="K98" s="18">
        <f>MIN($D$59,K84)</f>
        <v/>
      </c>
      <c r="L98" s="18">
        <f>MIN($D$59,L84)</f>
        <v/>
      </c>
      <c r="M98" s="18">
        <f>MIN($D$59,M84)</f>
        <v/>
      </c>
      <c r="N98" s="18">
        <f>MIN($D$59,N84)</f>
        <v/>
      </c>
    </row>
    <row r="99">
      <c r="A99" s="5" t="inlineStr">
        <is>
          <t>Debt Service (Pre-Sweep)</t>
        </is>
      </c>
      <c r="B99" s="6" t="inlineStr">
        <is>
          <t>$mm</t>
        </is>
      </c>
      <c r="C99" s="6" t="inlineStr">
        <is>
          <t>Interest + Sched Prin</t>
        </is>
      </c>
      <c r="E99" s="18">
        <f>E85+E86</f>
        <v/>
      </c>
      <c r="F99" s="18">
        <f>F85+F86</f>
        <v/>
      </c>
      <c r="G99" s="18">
        <f>G85+G86</f>
        <v/>
      </c>
      <c r="H99" s="18">
        <f>H85+H86</f>
        <v/>
      </c>
      <c r="I99" s="18">
        <f>I85+I86</f>
        <v/>
      </c>
      <c r="J99" s="18">
        <f>J85+J86</f>
        <v/>
      </c>
      <c r="K99" s="18">
        <f>K85+K86</f>
        <v/>
      </c>
      <c r="L99" s="18">
        <f>L85+L86</f>
        <v/>
      </c>
      <c r="M99" s="18">
        <f>M85+M86</f>
        <v/>
      </c>
      <c r="N99" s="18">
        <f>N85+N86</f>
        <v/>
      </c>
    </row>
    <row r="100">
      <c r="A100" s="5" t="inlineStr">
        <is>
          <t>Excess Cash</t>
        </is>
      </c>
      <c r="B100" s="6" t="inlineStr">
        <is>
          <t>$mm</t>
        </is>
      </c>
      <c r="C100" s="6" t="inlineStr">
        <is>
          <t>CFADS - DS - DSRA Funding</t>
        </is>
      </c>
      <c r="E100" s="18">
        <f>MAX(0,E81-E87-E97)</f>
        <v/>
      </c>
      <c r="F100" s="18">
        <f>MAX(0,F81-F87-F97)</f>
        <v/>
      </c>
      <c r="G100" s="18">
        <f>MAX(0,G81-G87-G97)</f>
        <v/>
      </c>
      <c r="H100" s="18">
        <f>MAX(0,H81-H87-H97)</f>
        <v/>
      </c>
      <c r="I100" s="18">
        <f>MAX(0,I81-I87-I97)</f>
        <v/>
      </c>
      <c r="J100" s="18">
        <f>MAX(0,J81-J87-J97)</f>
        <v/>
      </c>
      <c r="K100" s="18">
        <f>MAX(0,K81-K87-K97)</f>
        <v/>
      </c>
      <c r="L100" s="18">
        <f>MAX(0,L81-L87-L97)</f>
        <v/>
      </c>
      <c r="M100" s="18">
        <f>MAX(0,M81-M87-M97)</f>
        <v/>
      </c>
      <c r="N100" s="18">
        <f>MAX(0,N81-N87-N97)</f>
        <v/>
      </c>
    </row>
    <row r="101">
      <c r="A101" s="5" t="inlineStr">
        <is>
          <t>Cash Sweep</t>
        </is>
      </c>
      <c r="B101" s="6" t="inlineStr">
        <is>
          <t>$mm</t>
        </is>
      </c>
      <c r="C101" s="6" t="inlineStr">
        <is>
          <t>MIN(Excess×50%, Beg-Sched)</t>
        </is>
      </c>
      <c r="E101" s="21">
        <f>MIN(MAX(0,E88)*$D$46,MAX(0,E84-E86))</f>
        <v/>
      </c>
      <c r="F101" s="21">
        <f>MIN(MAX(0,F88)*$D$46,MAX(0,F84-F86))</f>
        <v/>
      </c>
      <c r="G101" s="21">
        <f>MIN(MAX(0,G88)*$D$46,MAX(0,G84-G86))</f>
        <v/>
      </c>
      <c r="H101" s="21">
        <f>MIN(MAX(0,H88)*$D$46,MAX(0,H84-H86))</f>
        <v/>
      </c>
      <c r="I101" s="21">
        <f>MIN(MAX(0,I88)*$D$46,MAX(0,I84-I86))</f>
        <v/>
      </c>
      <c r="J101" s="21">
        <f>MIN(MAX(0,J88)*$D$46,MAX(0,J84-J86))</f>
        <v/>
      </c>
      <c r="K101" s="21">
        <f>MIN(MAX(0,K88)*$D$46,MAX(0,K84-K86))</f>
        <v/>
      </c>
      <c r="L101" s="21">
        <f>MIN(MAX(0,L88)*$D$46,MAX(0,L84-L86))</f>
        <v/>
      </c>
      <c r="M101" s="21">
        <f>MIN(MAX(0,M88)*$D$46,MAX(0,M84-M86))</f>
        <v/>
      </c>
      <c r="N101" s="21">
        <f>MIN(MAX(0,N88)*$D$46,MAX(0,N84-N86))</f>
        <v/>
      </c>
    </row>
    <row r="102">
      <c r="A102" s="5" t="inlineStr">
        <is>
          <t>Total Principal</t>
        </is>
      </c>
      <c r="B102" s="6" t="inlineStr">
        <is>
          <t>$mm</t>
        </is>
      </c>
      <c r="C102" s="6" t="inlineStr">
        <is>
          <t>Scheduled + Sweep</t>
        </is>
      </c>
      <c r="E102" s="18">
        <f>E86+E89</f>
        <v/>
      </c>
      <c r="F102" s="18">
        <f>F86+F89</f>
        <v/>
      </c>
      <c r="G102" s="18">
        <f>G86+G89</f>
        <v/>
      </c>
      <c r="H102" s="18">
        <f>H86+H89</f>
        <v/>
      </c>
      <c r="I102" s="18">
        <f>I86+I89</f>
        <v/>
      </c>
      <c r="J102" s="18">
        <f>J86+J89</f>
        <v/>
      </c>
      <c r="K102" s="18">
        <f>K86+K89</f>
        <v/>
      </c>
      <c r="L102" s="18">
        <f>L86+L89</f>
        <v/>
      </c>
      <c r="M102" s="18">
        <f>M86+M89</f>
        <v/>
      </c>
      <c r="N102" s="18">
        <f>N86+N89</f>
        <v/>
      </c>
    </row>
    <row r="103">
      <c r="A103" s="5" t="inlineStr">
        <is>
          <t>Ending Balance</t>
        </is>
      </c>
      <c r="B103" s="6" t="inlineStr">
        <is>
          <t>$mm</t>
        </is>
      </c>
      <c r="C103" s="6" t="inlineStr">
        <is>
          <t>MAX(0, Beg - Total Prin)</t>
        </is>
      </c>
      <c r="E103" s="18">
        <f>MAX(0,E84-E90)</f>
        <v/>
      </c>
      <c r="F103" s="18">
        <f>MAX(0,F84-F90)</f>
        <v/>
      </c>
      <c r="G103" s="18">
        <f>MAX(0,G84-G90)</f>
        <v/>
      </c>
      <c r="H103" s="18">
        <f>MAX(0,H84-H90)</f>
        <v/>
      </c>
      <c r="I103" s="18">
        <f>MAX(0,I84-I90)</f>
        <v/>
      </c>
      <c r="J103" s="18">
        <f>MAX(0,J84-J90)</f>
        <v/>
      </c>
      <c r="K103" s="18">
        <f>MAX(0,K84-K90)</f>
        <v/>
      </c>
      <c r="L103" s="18">
        <f>MAX(0,L84-L90)</f>
        <v/>
      </c>
      <c r="M103" s="18">
        <f>MAX(0,M84-M90)</f>
        <v/>
      </c>
      <c r="N103" s="18">
        <f>MAX(0,N84-N90)</f>
        <v/>
      </c>
    </row>
    <row r="104">
      <c r="A104" s="5" t="inlineStr">
        <is>
          <t>DSCR</t>
        </is>
      </c>
      <c r="B104" s="6" t="inlineStr">
        <is>
          <t>x</t>
        </is>
      </c>
      <c r="C104" s="6" t="inlineStr">
        <is>
          <t>CFADS / Debt Service</t>
        </is>
      </c>
      <c r="E104" s="30">
        <f>IF(E87&gt;0,E81/E87,0)</f>
        <v/>
      </c>
      <c r="F104" s="30">
        <f>IF(F87&gt;0,F81/F87,0)</f>
        <v/>
      </c>
      <c r="G104" s="30">
        <f>IF(G87&gt;0,G81/G87,0)</f>
        <v/>
      </c>
      <c r="H104" s="30">
        <f>IF(H87&gt;0,H81/H87,0)</f>
        <v/>
      </c>
      <c r="I104" s="30">
        <f>IF(I87&gt;0,I81/I87,0)</f>
        <v/>
      </c>
      <c r="J104" s="30">
        <f>IF(J87&gt;0,J81/J87,0)</f>
        <v/>
      </c>
      <c r="K104" s="30">
        <f>IF(K87&gt;0,K81/K87,0)</f>
        <v/>
      </c>
      <c r="L104" s="30">
        <f>IF(L87&gt;0,L81/L87,0)</f>
        <v/>
      </c>
      <c r="M104" s="30">
        <f>IF(M87&gt;0,M81/M87,0)</f>
        <v/>
      </c>
      <c r="N104" s="30">
        <f>IF(N87&gt;0,N81/N87,0)</f>
        <v/>
      </c>
    </row>
    <row r="105">
      <c r="A105" s="5" t="inlineStr">
        <is>
          <t>Scheduled DS (for DSRA)</t>
        </is>
      </c>
      <c r="B105" s="6" t="inlineStr">
        <is>
          <t>$mm</t>
        </is>
      </c>
      <c r="C105" s="6" t="inlineStr">
        <is>
          <t>Based on straight-line amort</t>
        </is>
      </c>
      <c r="E105" s="18">
        <f>MAX(0,$D$57-(1-1)*$D$59)*$D$43+$D$59</f>
        <v/>
      </c>
      <c r="F105" s="18">
        <f>MAX(0,$D$57-(2-1)*$D$59)*$D$43+$D$59</f>
        <v/>
      </c>
      <c r="G105" s="18">
        <f>MAX(0,$D$57-(3-1)*$D$59)*$D$43+$D$59</f>
        <v/>
      </c>
      <c r="H105" s="18">
        <f>MAX(0,$D$57-(4-1)*$D$59)*$D$43+$D$59</f>
        <v/>
      </c>
      <c r="I105" s="18">
        <f>MAX(0,$D$57-(5-1)*$D$59)*$D$43+$D$59</f>
        <v/>
      </c>
      <c r="J105" s="18">
        <f>MAX(0,$D$57-(6-1)*$D$59)*$D$43+$D$59</f>
        <v/>
      </c>
      <c r="K105" s="18">
        <f>MAX(0,$D$57-(7-1)*$D$59)*$D$43+$D$59</f>
        <v/>
      </c>
      <c r="L105" s="18">
        <f>MAX(0,$D$57-(8-1)*$D$59)*$D$43+$D$59</f>
        <v/>
      </c>
      <c r="M105" s="18">
        <f>MAX(0,$D$57-(9-1)*$D$59)*$D$43+$D$59</f>
        <v/>
      </c>
      <c r="N105" s="18">
        <f>MAX(0,$D$57-(10-1)*$D$59)*$D$43+$D$59</f>
        <v/>
      </c>
    </row>
    <row r="106">
      <c r="A106" s="3" t="inlineStr">
        <is>
          <t>DSRA (Debt Service Reserve Account)</t>
        </is>
      </c>
      <c r="B106" s="4" t="n"/>
      <c r="C106" s="4" t="n"/>
      <c r="D106" s="4" t="n"/>
      <c r="E106" s="4" t="n"/>
      <c r="F106" s="4" t="n"/>
      <c r="G106" s="4" t="n"/>
      <c r="H106" s="4" t="n"/>
      <c r="I106" s="4" t="n"/>
      <c r="J106" s="4" t="n"/>
      <c r="K106" s="4" t="n"/>
      <c r="L106" s="4" t="n"/>
      <c r="M106" s="4" t="n"/>
      <c r="N106" s="4" t="n"/>
    </row>
    <row r="107">
      <c r="A107" s="5" t="inlineStr">
        <is>
          <t>DSRA Target</t>
        </is>
      </c>
      <c r="B107" s="6" t="inlineStr">
        <is>
          <t>$mm</t>
        </is>
      </c>
      <c r="C107" s="6" t="inlineStr">
        <is>
          <t>Next Yr Scheduled DS × DSRA Months / 12</t>
        </is>
      </c>
      <c r="D107" s="18">
        <f>E93*$D$45/12</f>
        <v/>
      </c>
      <c r="E107" s="18">
        <f>F93*$D$45/12</f>
        <v/>
      </c>
      <c r="F107" s="18">
        <f>G93*$D$45/12</f>
        <v/>
      </c>
      <c r="G107" s="18">
        <f>H93*$D$45/12</f>
        <v/>
      </c>
      <c r="H107" s="18">
        <f>I93*$D$45/12</f>
        <v/>
      </c>
      <c r="I107" s="18">
        <f>J93*$D$45/12</f>
        <v/>
      </c>
      <c r="J107" s="18">
        <f>K93*$D$45/12</f>
        <v/>
      </c>
      <c r="K107" s="18">
        <f>L93*$D$45/12</f>
        <v/>
      </c>
      <c r="L107" s="18">
        <f>M93*$D$45/12</f>
        <v/>
      </c>
      <c r="M107" s="18">
        <f>N93*$D$45/12</f>
        <v/>
      </c>
      <c r="N107" s="18">
        <f>0</f>
        <v/>
      </c>
    </row>
    <row r="108">
      <c r="A108" s="5" t="inlineStr">
        <is>
          <t>DSRA Beginning</t>
        </is>
      </c>
      <c r="B108" s="6" t="inlineStr">
        <is>
          <t>$mm</t>
        </is>
      </c>
      <c r="C108" s="6" t="inlineStr"/>
      <c r="D108" s="18">
        <f>0</f>
        <v/>
      </c>
      <c r="E108" s="18">
        <f>D98</f>
        <v/>
      </c>
      <c r="F108" s="18">
        <f>E98</f>
        <v/>
      </c>
      <c r="G108" s="18">
        <f>F98</f>
        <v/>
      </c>
      <c r="H108" s="18">
        <f>G98</f>
        <v/>
      </c>
      <c r="I108" s="18">
        <f>H98</f>
        <v/>
      </c>
      <c r="J108" s="18">
        <f>I98</f>
        <v/>
      </c>
      <c r="K108" s="18">
        <f>J98</f>
        <v/>
      </c>
      <c r="L108" s="18">
        <f>K98</f>
        <v/>
      </c>
      <c r="M108" s="18">
        <f>L98</f>
        <v/>
      </c>
      <c r="N108" s="18">
        <f>M98</f>
        <v/>
      </c>
    </row>
    <row r="109">
      <c r="A109" s="5" t="inlineStr">
        <is>
          <t>DSRA Funding/(Release)</t>
        </is>
      </c>
      <c r="B109" s="6" t="inlineStr">
        <is>
          <t>$mm</t>
        </is>
      </c>
      <c r="C109" s="6" t="inlineStr">
        <is>
          <t>Target - Beginning</t>
        </is>
      </c>
      <c r="D109" s="18">
        <f>D95-D96</f>
        <v/>
      </c>
      <c r="E109" s="18">
        <f>E95-E96</f>
        <v/>
      </c>
      <c r="F109" s="18">
        <f>F95-F96</f>
        <v/>
      </c>
      <c r="G109" s="18">
        <f>G95-G96</f>
        <v/>
      </c>
      <c r="H109" s="18">
        <f>H95-H96</f>
        <v/>
      </c>
      <c r="I109" s="18">
        <f>I95-I96</f>
        <v/>
      </c>
      <c r="J109" s="18">
        <f>J95-J96</f>
        <v/>
      </c>
      <c r="K109" s="18">
        <f>K95-K96</f>
        <v/>
      </c>
      <c r="L109" s="18">
        <f>L95-L96</f>
        <v/>
      </c>
      <c r="M109" s="18">
        <f>M95-M96</f>
        <v/>
      </c>
      <c r="N109" s="18">
        <f>N95-N96</f>
        <v/>
      </c>
    </row>
    <row r="110">
      <c r="A110" s="5" t="inlineStr">
        <is>
          <t>DSRA Ending</t>
        </is>
      </c>
      <c r="B110" s="6" t="inlineStr">
        <is>
          <t>$mm</t>
        </is>
      </c>
      <c r="C110" s="6" t="inlineStr">
        <is>
          <t>Beginning + Funding</t>
        </is>
      </c>
      <c r="D110" s="18">
        <f>D96+D97</f>
        <v/>
      </c>
      <c r="E110" s="18">
        <f>E96+E97</f>
        <v/>
      </c>
      <c r="F110" s="18">
        <f>F96+F97</f>
        <v/>
      </c>
      <c r="G110" s="18">
        <f>G96+G97</f>
        <v/>
      </c>
      <c r="H110" s="18">
        <f>H96+H97</f>
        <v/>
      </c>
      <c r="I110" s="18">
        <f>I96+I97</f>
        <v/>
      </c>
      <c r="J110" s="18">
        <f>J96+J97</f>
        <v/>
      </c>
      <c r="K110" s="18">
        <f>K96+K97</f>
        <v/>
      </c>
      <c r="L110" s="18">
        <f>L96+L97</f>
        <v/>
      </c>
      <c r="M110" s="18">
        <f>M96+M97</f>
        <v/>
      </c>
      <c r="N110" s="18">
        <f>N96+N97</f>
        <v/>
      </c>
    </row>
    <row r="111"/>
    <row r="112">
      <c r="A112" s="3" t="inlineStr">
        <is>
          <t>DISTRIBUTION WATERFALL</t>
        </is>
      </c>
      <c r="B112" s="4" t="n"/>
      <c r="C112" s="4" t="n"/>
      <c r="D112" s="4" t="n"/>
      <c r="E112" s="4" t="n"/>
      <c r="F112" s="4" t="n"/>
      <c r="G112" s="4" t="n"/>
      <c r="H112" s="4" t="n"/>
      <c r="I112" s="4" t="n"/>
      <c r="J112" s="4" t="n"/>
      <c r="K112" s="4" t="n"/>
      <c r="L112" s="4" t="n"/>
      <c r="M112" s="4" t="n"/>
      <c r="N112" s="4" t="n"/>
    </row>
    <row r="113">
      <c r="A113" s="5" t="inlineStr">
        <is>
          <t>Cash Available for Distribution</t>
        </is>
      </c>
      <c r="B113" s="6" t="inlineStr">
        <is>
          <t>$mm</t>
        </is>
      </c>
      <c r="C113" s="6" t="inlineStr">
        <is>
          <t>CFADS - Total DS - DSRA Fund</t>
        </is>
      </c>
      <c r="E113" s="18">
        <f>E81-(E85+E90)-E97</f>
        <v/>
      </c>
      <c r="F113" s="18">
        <f>F81-(F85+F90)-F97</f>
        <v/>
      </c>
      <c r="G113" s="18">
        <f>G81-(G85+G90)-G97</f>
        <v/>
      </c>
      <c r="H113" s="18">
        <f>H81-(H85+H90)-H97</f>
        <v/>
      </c>
      <c r="I113" s="18">
        <f>I81-(I85+I90)-I97</f>
        <v/>
      </c>
      <c r="J113" s="18">
        <f>J81-(J85+J90)-J97</f>
        <v/>
      </c>
      <c r="K113" s="18">
        <f>K81-(K85+K90)-K97</f>
        <v/>
      </c>
      <c r="L113" s="18">
        <f>L81-(L85+L90)-L97</f>
        <v/>
      </c>
      <c r="M113" s="18">
        <f>M81-(M85+M90)-M97</f>
        <v/>
      </c>
      <c r="N113" s="18">
        <f>N81-(N85+N90)-N97</f>
        <v/>
      </c>
    </row>
    <row r="114">
      <c r="A114" s="5" t="inlineStr">
        <is>
          <t>Lock-up Test</t>
        </is>
      </c>
      <c r="B114" s="6" t="inlineStr"/>
      <c r="C114" s="6" t="inlineStr">
        <is>
          <t>PASS if DSCR ≥ Lock-up</t>
        </is>
      </c>
      <c r="E114" s="22">
        <f>IF(E92&gt;=$D$47,"PASS","LOCKED")</f>
        <v/>
      </c>
      <c r="F114" s="22">
        <f>IF(F92&gt;=$D$47,"PASS","LOCKED")</f>
        <v/>
      </c>
      <c r="G114" s="22">
        <f>IF(G92&gt;=$D$47,"PASS","LOCKED")</f>
        <v/>
      </c>
      <c r="H114" s="22">
        <f>IF(H92&gt;=$D$47,"PASS","LOCKED")</f>
        <v/>
      </c>
      <c r="I114" s="22">
        <f>IF(I92&gt;=$D$47,"PASS","LOCKED")</f>
        <v/>
      </c>
      <c r="J114" s="22">
        <f>IF(J92&gt;=$D$47,"PASS","LOCKED")</f>
        <v/>
      </c>
      <c r="K114" s="22">
        <f>IF(K92&gt;=$D$47,"PASS","LOCKED")</f>
        <v/>
      </c>
      <c r="L114" s="22">
        <f>IF(L92&gt;=$D$47,"PASS","LOCKED")</f>
        <v/>
      </c>
      <c r="M114" s="22">
        <f>IF(M92&gt;=$D$47,"PASS","LOCKED")</f>
        <v/>
      </c>
      <c r="N114" s="22">
        <f>IF(N92&gt;=$D$47,"PASS","LOCKED")</f>
        <v/>
      </c>
    </row>
    <row r="115">
      <c r="A115" s="5" t="inlineStr">
        <is>
          <t>Distributable Cash</t>
        </is>
      </c>
      <c r="B115" s="6" t="inlineStr">
        <is>
          <t>$mm</t>
        </is>
      </c>
      <c r="C115" s="6" t="inlineStr">
        <is>
          <t>If PASS, MAX(0, Cash Avail)</t>
        </is>
      </c>
      <c r="E115" s="7">
        <f>IF(E102="PASS",MAX(0,E101),0)</f>
        <v/>
      </c>
      <c r="F115" s="7">
        <f>IF(F102="PASS",MAX(0,F101),0)</f>
        <v/>
      </c>
      <c r="G115" s="7">
        <f>IF(G102="PASS",MAX(0,G101),0)</f>
        <v/>
      </c>
      <c r="H115" s="7">
        <f>IF(H102="PASS",MAX(0,H101),0)</f>
        <v/>
      </c>
      <c r="I115" s="7">
        <f>IF(I102="PASS",MAX(0,I101),0)</f>
        <v/>
      </c>
      <c r="J115" s="7">
        <f>IF(J102="PASS",MAX(0,J101),0)</f>
        <v/>
      </c>
      <c r="K115" s="7">
        <f>IF(K102="PASS",MAX(0,K101),0)</f>
        <v/>
      </c>
      <c r="L115" s="7">
        <f>IF(L102="PASS",MAX(0,L101),0)</f>
        <v/>
      </c>
      <c r="M115" s="7">
        <f>IF(M102="PASS",MAX(0,M101),0)</f>
        <v/>
      </c>
      <c r="N115" s="7">
        <f>IF(N102="PASS",MAX(0,N101),0)</f>
        <v/>
      </c>
    </row>
    <row r="116"/>
    <row r="117">
      <c r="A117" s="3" t="inlineStr">
        <is>
          <t>SOURCES &amp; USES (Year 0)</t>
        </is>
      </c>
      <c r="B117" s="4" t="n"/>
      <c r="C117" s="4" t="n"/>
      <c r="D117" s="4" t="n"/>
      <c r="E117" s="4" t="n"/>
      <c r="F117" s="4" t="n"/>
      <c r="G117" s="4" t="n"/>
      <c r="H117" s="4" t="n"/>
      <c r="I117" s="4" t="n"/>
      <c r="J117" s="4" t="n"/>
      <c r="K117" s="4" t="n"/>
      <c r="L117" s="4" t="n"/>
      <c r="M117" s="4" t="n"/>
      <c r="N117" s="4" t="n"/>
    </row>
    <row r="118">
      <c r="A118" s="23" t="inlineStr">
        <is>
          <t>USES</t>
        </is>
      </c>
      <c r="B118" s="6" t="inlineStr"/>
      <c r="C118" s="6" t="inlineStr"/>
    </row>
    <row r="119">
      <c r="A119" s="5" t="inlineStr">
        <is>
          <t xml:space="preserve">  Purchase Price</t>
        </is>
      </c>
      <c r="B119" s="6" t="inlineStr">
        <is>
          <t>$mm</t>
        </is>
      </c>
      <c r="C119" s="6" t="inlineStr"/>
      <c r="D119" s="18">
        <f>$D$17</f>
        <v/>
      </c>
    </row>
    <row r="120">
      <c r="A120" s="5" t="inlineStr">
        <is>
          <t xml:space="preserve">  Transaction Fees</t>
        </is>
      </c>
      <c r="B120" s="6" t="inlineStr">
        <is>
          <t>$mm</t>
        </is>
      </c>
      <c r="C120" s="6" t="inlineStr"/>
      <c r="D120" s="18">
        <f>$D$17*$D$18</f>
        <v/>
      </c>
    </row>
    <row r="121">
      <c r="A121" s="5" t="inlineStr">
        <is>
          <t xml:space="preserve">  DSRA Funding</t>
        </is>
      </c>
      <c r="B121" s="6" t="inlineStr">
        <is>
          <t>$mm</t>
        </is>
      </c>
      <c r="C121" s="6" t="inlineStr"/>
      <c r="D121" s="18">
        <f>D95</f>
        <v/>
      </c>
    </row>
    <row r="122">
      <c r="A122" s="5" t="inlineStr">
        <is>
          <t>Total Uses</t>
        </is>
      </c>
      <c r="B122" s="6" t="inlineStr">
        <is>
          <t>$mm</t>
        </is>
      </c>
      <c r="C122" s="6" t="inlineStr"/>
      <c r="D122" s="7">
        <f>D107+D108+D109</f>
        <v/>
      </c>
    </row>
    <row r="123"/>
    <row r="124">
      <c r="A124" s="23" t="inlineStr">
        <is>
          <t>SOURCES</t>
        </is>
      </c>
      <c r="B124" s="6" t="inlineStr"/>
      <c r="C124" s="6" t="inlineStr"/>
    </row>
    <row r="125">
      <c r="A125" s="5" t="inlineStr">
        <is>
          <t xml:space="preserve">  Debt</t>
        </is>
      </c>
      <c r="B125" s="6" t="inlineStr">
        <is>
          <t>$mm</t>
        </is>
      </c>
      <c r="C125" s="6" t="inlineStr"/>
      <c r="D125" s="18">
        <f>$D$57</f>
        <v/>
      </c>
    </row>
    <row r="126">
      <c r="A126" s="5" t="inlineStr">
        <is>
          <t xml:space="preserve">  Equity</t>
        </is>
      </c>
      <c r="B126" s="6" t="inlineStr">
        <is>
          <t>$mm</t>
        </is>
      </c>
      <c r="C126" s="6" t="inlineStr">
        <is>
          <t>Plug to balance</t>
        </is>
      </c>
      <c r="D126" s="18">
        <f>D110-D113</f>
        <v/>
      </c>
    </row>
    <row r="127">
      <c r="A127" s="5" t="inlineStr">
        <is>
          <t>Total Sources</t>
        </is>
      </c>
      <c r="B127" s="6" t="inlineStr">
        <is>
          <t>$mm</t>
        </is>
      </c>
      <c r="C127" s="6" t="inlineStr"/>
      <c r="D127" s="7">
        <f>D113+D114</f>
        <v/>
      </c>
    </row>
    <row r="128">
      <c r="A128" s="5" t="inlineStr">
        <is>
          <t>Balance Check</t>
        </is>
      </c>
      <c r="B128" s="6" t="inlineStr"/>
      <c r="C128" s="6" t="inlineStr"/>
      <c r="D128" s="10">
        <f>IF(ABS(D110-D115)&lt;0.01,"PASS","FAIL")</f>
        <v/>
      </c>
    </row>
    <row r="129"/>
    <row r="130">
      <c r="A130" s="3" t="inlineStr">
        <is>
          <t>EXIT CALCULATIONS</t>
        </is>
      </c>
      <c r="B130" s="4" t="n"/>
      <c r="C130" s="4" t="n"/>
      <c r="D130" s="4" t="n"/>
      <c r="E130" s="4" t="n"/>
      <c r="F130" s="4" t="n"/>
      <c r="G130" s="4" t="n"/>
      <c r="H130" s="4" t="n"/>
      <c r="I130" s="4" t="n"/>
      <c r="J130" s="4" t="n"/>
      <c r="K130" s="4" t="n"/>
      <c r="L130" s="4" t="n"/>
      <c r="M130" s="4" t="n"/>
      <c r="N130" s="4" t="n"/>
    </row>
    <row r="131">
      <c r="A131" s="5" t="inlineStr">
        <is>
          <t>Exit EV</t>
        </is>
      </c>
      <c r="B131" s="6" t="inlineStr">
        <is>
          <t>$mm</t>
        </is>
      </c>
      <c r="C131" s="6" t="inlineStr">
        <is>
          <t>Exit Multiple × Exit Yr EBITDA</t>
        </is>
      </c>
      <c r="K131" s="18">
        <f>$D$19*K75</f>
        <v/>
      </c>
    </row>
    <row r="132">
      <c r="A132" s="5" t="inlineStr">
        <is>
          <t>Exit Debt Payoff</t>
        </is>
      </c>
      <c r="B132" s="6" t="inlineStr">
        <is>
          <t>$mm</t>
        </is>
      </c>
      <c r="C132" s="6" t="inlineStr">
        <is>
          <t>Ending Bal at Exit</t>
        </is>
      </c>
      <c r="K132" s="18">
        <f>K91</f>
        <v/>
      </c>
    </row>
    <row r="133">
      <c r="A133" s="5" t="inlineStr">
        <is>
          <t>DSRA Release</t>
        </is>
      </c>
      <c r="B133" s="6" t="inlineStr">
        <is>
          <t>$mm</t>
        </is>
      </c>
      <c r="C133" s="6" t="inlineStr">
        <is>
          <t>DSRA Ending at Exit</t>
        </is>
      </c>
      <c r="K133" s="18">
        <f>K98</f>
        <v/>
      </c>
    </row>
    <row r="134">
      <c r="A134" s="5" t="inlineStr">
        <is>
          <t>Exit Equity Proceeds</t>
        </is>
      </c>
      <c r="B134" s="6" t="inlineStr">
        <is>
          <t>$mm</t>
        </is>
      </c>
      <c r="C134" s="6" t="inlineStr">
        <is>
          <t>Exit EV - Debt + DSRA</t>
        </is>
      </c>
      <c r="K134" s="7">
        <f>K119-K120+K121</f>
        <v/>
      </c>
    </row>
    <row r="135"/>
    <row r="136">
      <c r="A136" s="3" t="inlineStr">
        <is>
          <t>EQUITY RETURNS</t>
        </is>
      </c>
      <c r="B136" s="4" t="n"/>
      <c r="C136" s="4" t="n"/>
      <c r="D136" s="4" t="n"/>
      <c r="E136" s="4" t="n"/>
      <c r="F136" s="4" t="n"/>
      <c r="G136" s="4" t="n"/>
      <c r="H136" s="4" t="n"/>
      <c r="I136" s="4" t="n"/>
      <c r="J136" s="4" t="n"/>
      <c r="K136" s="4" t="n"/>
      <c r="L136" s="4" t="n"/>
      <c r="M136" s="4" t="n"/>
      <c r="N136" s="4" t="n"/>
    </row>
    <row r="137">
      <c r="A137" s="5" t="inlineStr">
        <is>
          <t>Equity Cash Flow</t>
        </is>
      </c>
      <c r="B137" s="6" t="inlineStr">
        <is>
          <t>$mm</t>
        </is>
      </c>
      <c r="C137" s="6" t="inlineStr"/>
      <c r="D137" s="18">
        <f>-D114</f>
        <v/>
      </c>
      <c r="E137" s="18">
        <f>E103</f>
        <v/>
      </c>
      <c r="F137" s="18">
        <f>F103</f>
        <v/>
      </c>
      <c r="G137" s="18">
        <f>G103</f>
        <v/>
      </c>
      <c r="H137" s="18">
        <f>H103</f>
        <v/>
      </c>
      <c r="I137" s="18">
        <f>I103</f>
        <v/>
      </c>
      <c r="J137" s="18">
        <f>J103</f>
        <v/>
      </c>
      <c r="K137" s="18">
        <f>K103+K122</f>
        <v/>
      </c>
      <c r="L137" s="18">
        <f>0</f>
        <v/>
      </c>
      <c r="M137" s="18">
        <f>0</f>
        <v/>
      </c>
      <c r="N137" s="18">
        <f>0</f>
        <v/>
      </c>
    </row>
    <row r="138">
      <c r="A138" s="5" t="inlineStr">
        <is>
          <t>Levered IRR</t>
        </is>
      </c>
      <c r="B138" s="6" t="inlineStr">
        <is>
          <t>%</t>
        </is>
      </c>
      <c r="C138" s="6" t="inlineStr"/>
      <c r="D138" s="31">
        <f>IRR(D125:K125)</f>
        <v/>
      </c>
    </row>
    <row r="139">
      <c r="A139" s="5" t="inlineStr">
        <is>
          <t>MOIC</t>
        </is>
      </c>
      <c r="B139" s="6" t="inlineStr">
        <is>
          <t>x</t>
        </is>
      </c>
      <c r="C139" s="6" t="inlineStr">
        <is>
          <t>Sum inflows / outflow</t>
        </is>
      </c>
      <c r="D139" s="30">
        <f>SUMIF(D125:K125,"&gt;0")/ABS(D125)</f>
        <v/>
      </c>
    </row>
    <row r="140"/>
    <row r="141">
      <c r="A141" s="23" t="inlineStr">
        <is>
          <t>Unlevered Returns (for reference)</t>
        </is>
      </c>
      <c r="B141" s="6" t="inlineStr"/>
      <c r="C141" s="6" t="inlineStr"/>
    </row>
    <row r="142">
      <c r="A142" s="5" t="inlineStr">
        <is>
          <t>Unlevered Cash Flow</t>
        </is>
      </c>
      <c r="B142" s="6" t="inlineStr">
        <is>
          <t>$mm</t>
        </is>
      </c>
      <c r="C142" s="6" t="inlineStr"/>
      <c r="D142" s="18">
        <f>-$D$17-D108</f>
        <v/>
      </c>
      <c r="E142" s="18">
        <f>E81</f>
        <v/>
      </c>
      <c r="F142" s="18">
        <f>F81</f>
        <v/>
      </c>
      <c r="G142" s="18">
        <f>G81</f>
        <v/>
      </c>
      <c r="H142" s="18">
        <f>H81</f>
        <v/>
      </c>
      <c r="I142" s="18">
        <f>I81</f>
        <v/>
      </c>
      <c r="J142" s="18">
        <f>J81</f>
        <v/>
      </c>
      <c r="K142" s="18">
        <f>K81+K119</f>
        <v/>
      </c>
      <c r="L142" s="18">
        <f>0</f>
        <v/>
      </c>
      <c r="M142" s="18">
        <f>0</f>
        <v/>
      </c>
      <c r="N142" s="18">
        <f>0</f>
        <v/>
      </c>
    </row>
    <row r="143">
      <c r="A143" s="5" t="inlineStr">
        <is>
          <t>Unlevered IRR</t>
        </is>
      </c>
      <c r="B143" s="6" t="inlineStr">
        <is>
          <t>%</t>
        </is>
      </c>
      <c r="C143" s="6" t="inlineStr"/>
      <c r="D143" s="31">
        <f>IRR(D130:K130)</f>
        <v/>
      </c>
    </row>
    <row r="144"/>
    <row r="145"/>
    <row r="146"/>
    <row r="147"/>
    <row r="148"/>
    <row r="149"/>
    <row r="150"/>
    <row r="151"/>
  </sheetData>
  <dataValidations count="3">
    <dataValidation sqref="D7" showDropDown="0" showInputMessage="0" showErrorMessage="0" allowBlank="0" type="list">
      <formula1>"Merchant,Contracted,Hybrid"</formula1>
    </dataValidation>
    <dataValidation sqref="D9" showDropDown="0" showInputMessage="0" showErrorMessage="0" allowBlank="0" type="list">
      <formula1>"ON,OFF"</formula1>
    </dataValidation>
    <dataValidation sqref="D11" showDropDown="0" showInputMessage="0" showErrorMessage="0" allowBlank="0" type="list">
      <formula1>"Multiple,DCF"</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cols>
    <col width="32" customWidth="1" min="1" max="1"/>
    <col width="12" customWidth="1" min="2" max="2"/>
    <col width="3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Peaker Model - Lotus Infrastructure Partners</t>
        </is>
      </c>
      <c r="D1" s="36" t="inlineStr">
        <is>
          <t>Y0 (2025)</t>
        </is>
      </c>
      <c r="E1" s="36" t="inlineStr">
        <is>
          <t>Y1 (2026)</t>
        </is>
      </c>
      <c r="F1" s="36" t="inlineStr">
        <is>
          <t>Y2 (2027)</t>
        </is>
      </c>
      <c r="G1" s="36" t="inlineStr">
        <is>
          <t>Y3 (2028)</t>
        </is>
      </c>
      <c r="H1" s="36" t="inlineStr">
        <is>
          <t>Y4 (2029)</t>
        </is>
      </c>
      <c r="I1" s="36" t="inlineStr">
        <is>
          <t>Y5 (2030)</t>
        </is>
      </c>
      <c r="J1" s="36" t="inlineStr">
        <is>
          <t>Y6 (2031)</t>
        </is>
      </c>
      <c r="K1" s="36" t="inlineStr">
        <is>
          <t>Y7 (2032)</t>
        </is>
      </c>
      <c r="L1" s="36" t="inlineStr">
        <is>
          <t>Y8 (2033)</t>
        </is>
      </c>
      <c r="M1" s="36" t="inlineStr">
        <is>
          <t>Y9 (2034)</t>
        </is>
      </c>
      <c r="N1" s="36" t="inlineStr">
        <is>
          <t>Y10 (2035)</t>
        </is>
      </c>
    </row>
    <row r="2">
      <c r="A2" s="3" t="inlineStr">
        <is>
          <t>═══ AUDIT STRIP ═══</t>
        </is>
      </c>
      <c r="B2" s="4" t="n"/>
      <c r="C2" s="4" t="n"/>
      <c r="D2" s="4" t="n"/>
      <c r="E2" s="4" t="n"/>
      <c r="F2" s="4" t="n"/>
      <c r="G2" s="4" t="n"/>
      <c r="H2" s="4" t="n"/>
      <c r="I2" s="4" t="n"/>
      <c r="J2" s="4" t="n"/>
      <c r="K2" s="4" t="n"/>
      <c r="L2" s="4" t="n"/>
      <c r="M2" s="4" t="n"/>
      <c r="N2" s="4" t="n"/>
    </row>
    <row r="3">
      <c r="A3" s="5" t="inlineStr">
        <is>
          <t>Entry EV</t>
        </is>
      </c>
      <c r="B3" s="6" t="inlineStr">
        <is>
          <t>$mm</t>
        </is>
      </c>
      <c r="C3" s="6" t="inlineStr"/>
      <c r="D3" s="7">
        <f>$D$17</f>
        <v/>
      </c>
    </row>
    <row r="4">
      <c r="A4" s="5" t="inlineStr">
        <is>
          <t>Y1 EBITDA</t>
        </is>
      </c>
      <c r="B4" s="6" t="inlineStr">
        <is>
          <t>$mm</t>
        </is>
      </c>
      <c r="C4" s="6" t="inlineStr"/>
      <c r="D4" s="7">
        <f>E75</f>
        <v/>
      </c>
    </row>
    <row r="5">
      <c r="A5" s="38" t="inlineStr">
        <is>
          <t>═══════════ CONTROL PANEL ═══════════</t>
        </is>
      </c>
      <c r="B5" s="49" t="n"/>
      <c r="C5" s="49" t="n"/>
      <c r="D5" s="49" t="n"/>
    </row>
    <row r="6">
      <c r="A6" s="49" t="n"/>
      <c r="B6" s="49" t="n"/>
      <c r="C6" s="49" t="n"/>
      <c r="D6" s="49" t="n"/>
    </row>
    <row r="7">
      <c r="A7" s="50" t="inlineStr">
        <is>
          <t>REVENUE</t>
        </is>
      </c>
      <c r="B7" s="49" t="n"/>
      <c r="C7" s="49" t="n"/>
      <c r="D7" s="49" t="n"/>
    </row>
    <row r="8">
      <c r="A8" s="34" t="inlineStr">
        <is>
          <t>Revenue Mode</t>
        </is>
      </c>
      <c r="B8" s="49" t="n"/>
      <c r="C8" s="6" t="inlineStr">
        <is>
          <t>Merchant / Contracted / Hybrid</t>
        </is>
      </c>
      <c r="D8" s="47" t="inlineStr">
        <is>
          <t>Merchant</t>
        </is>
      </c>
    </row>
    <row r="9">
      <c r="A9" s="34" t="inlineStr">
        <is>
          <t>Contract End Year</t>
        </is>
      </c>
      <c r="B9" s="49" t="n"/>
      <c r="C9" s="6" t="inlineStr">
        <is>
          <t>0 = pure merchant; else year PPA ends</t>
        </is>
      </c>
      <c r="D9" s="47" t="n">
        <v>0</v>
      </c>
    </row>
    <row r="10">
      <c r="A10" s="49" t="n"/>
      <c r="B10" s="49" t="n"/>
      <c r="C10" s="49" t="n"/>
      <c r="D10" s="49" t="n"/>
    </row>
    <row r="11">
      <c r="A11" s="50" t="inlineStr">
        <is>
          <t>TIMING</t>
        </is>
      </c>
      <c r="B11" s="49" t="n"/>
      <c r="C11" s="49" t="n"/>
      <c r="D11" s="49" t="n"/>
    </row>
    <row r="12">
      <c r="A12" s="34" t="inlineStr">
        <is>
          <t>Exit Year</t>
        </is>
      </c>
      <c r="B12" s="49" t="n"/>
      <c r="C12" s="6" t="inlineStr">
        <is>
          <t>5 / 7 / 10</t>
        </is>
      </c>
      <c r="D12" s="47" t="n">
        <v>7</v>
      </c>
    </row>
    <row r="13">
      <c r="A13" s="34" t="inlineStr">
        <is>
          <t>Tax Credit End Year</t>
        </is>
      </c>
      <c r="B13" s="49" t="n"/>
      <c r="C13" s="6" t="inlineStr">
        <is>
          <t>0 = N/A; else last year of PTC/ITC</t>
        </is>
      </c>
      <c r="D13" s="47" t="n">
        <v>0</v>
      </c>
    </row>
    <row r="14">
      <c r="A14" s="49" t="n"/>
      <c r="B14" s="49" t="n"/>
      <c r="C14" s="49" t="n"/>
      <c r="D14" s="49" t="n"/>
    </row>
    <row r="15">
      <c r="A15" s="50" t="inlineStr">
        <is>
          <t>DEBT</t>
        </is>
      </c>
      <c r="B15" s="49" t="n"/>
      <c r="C15" s="49" t="n"/>
      <c r="D15" s="51" t="n"/>
    </row>
    <row r="16">
      <c r="A16" s="34" t="inlineStr">
        <is>
          <t>Debt Sweep</t>
        </is>
      </c>
      <c r="B16" s="49" t="n"/>
      <c r="C16" s="6" t="inlineStr">
        <is>
          <t>ON / OFF (for sweep assets)</t>
        </is>
      </c>
      <c r="D16" s="33" t="inlineStr">
        <is>
          <t>ON</t>
        </is>
      </c>
    </row>
    <row r="17">
      <c r="A17" s="34" t="inlineStr">
        <is>
          <t>Sweep %</t>
        </is>
      </c>
      <c r="B17" s="49" t="n"/>
      <c r="C17" s="6" t="inlineStr">
        <is>
          <t>Active when Sweep = ON</t>
        </is>
      </c>
      <c r="D17" s="32" t="inlineStr">
        <is>
          <t>75%</t>
        </is>
      </c>
    </row>
    <row r="18">
      <c r="A18" s="49" t="n"/>
      <c r="B18" s="49" t="n"/>
      <c r="C18" s="49" t="n"/>
      <c r="D18" s="52" t="n"/>
    </row>
    <row r="19">
      <c r="A19" s="50" t="inlineStr">
        <is>
          <t>OTHER</t>
        </is>
      </c>
      <c r="B19" s="49" t="n"/>
      <c r="C19" s="49" t="n"/>
      <c r="D19" s="53" t="n"/>
    </row>
    <row r="20">
      <c r="A20" s="34" t="inlineStr">
        <is>
          <t>Carbon Region</t>
        </is>
      </c>
      <c r="C20" s="6" t="inlineStr">
        <is>
          <t>None / CARB / RGGI (thermal only)</t>
        </is>
      </c>
      <c r="D20" s="47" t="inlineStr">
        <is>
          <t>None</t>
        </is>
      </c>
    </row>
    <row r="21">
      <c r="A21" s="54" t="inlineStr">
        <is>
          <t>Exit Method</t>
        </is>
      </c>
      <c r="B21" s="49" t="n"/>
      <c r="C21" s="6" t="inlineStr">
        <is>
          <t>Multiple / DCF</t>
        </is>
      </c>
      <c r="D21" s="47" t="inlineStr">
        <is>
          <t>Multiple</t>
        </is>
      </c>
      <c r="E21" s="4" t="n"/>
      <c r="F21" s="4" t="n"/>
      <c r="G21" s="4" t="n"/>
      <c r="H21" s="4" t="n"/>
      <c r="I21" s="4" t="n"/>
      <c r="J21" s="4" t="n"/>
      <c r="K21" s="4" t="n"/>
      <c r="L21" s="4" t="n"/>
      <c r="M21" s="4" t="n"/>
      <c r="N21" s="4" t="n"/>
    </row>
    <row r="22">
      <c r="A22" s="38" t="inlineStr">
        <is>
          <t>════════════════════════════════════</t>
        </is>
      </c>
      <c r="B22" s="6" t="inlineStr"/>
      <c r="C22" s="6" t="inlineStr"/>
      <c r="D22" s="10">
        <f>D116</f>
        <v/>
      </c>
    </row>
    <row r="23">
      <c r="A23" s="5" t="inlineStr">
        <is>
          <t>Debt Payoff Y7</t>
        </is>
      </c>
      <c r="B23" s="6" t="inlineStr"/>
      <c r="C23" s="6" t="inlineStr"/>
      <c r="D23" s="10">
        <f>IF(K91&lt;1,"PASS","FAIL")</f>
        <v/>
      </c>
    </row>
    <row r="24">
      <c r="A24" s="5" t="inlineStr">
        <is>
          <t>Min DSCR ≥ 1.25x</t>
        </is>
      </c>
      <c r="B24" s="6" t="inlineStr"/>
      <c r="C24" s="6" t="inlineStr"/>
      <c r="D24" s="10">
        <f>IF(D6&gt;=1.25,"PASS","FAIL")</f>
        <v/>
      </c>
    </row>
    <row r="25"/>
    <row r="26"/>
    <row r="27">
      <c r="A27" s="3" t="inlineStr">
        <is>
          <t>TRANSACTION INPUTS</t>
        </is>
      </c>
      <c r="B27" s="4" t="n"/>
      <c r="C27" s="4" t="n"/>
      <c r="D27" s="4" t="n"/>
      <c r="E27" s="4" t="n"/>
      <c r="F27" s="4" t="n"/>
      <c r="G27" s="4" t="n"/>
      <c r="H27" s="4" t="n"/>
      <c r="I27" s="4" t="n"/>
      <c r="J27" s="4" t="n"/>
      <c r="K27" s="4" t="n"/>
      <c r="L27" s="4" t="n"/>
      <c r="M27" s="4" t="n"/>
      <c r="N27" s="4" t="n"/>
    </row>
    <row r="28">
      <c r="A28" s="5" t="inlineStr">
        <is>
          <t>Entry EV</t>
        </is>
      </c>
      <c r="B28" s="6" t="inlineStr">
        <is>
          <t>$mm</t>
        </is>
      </c>
      <c r="C28" s="6" t="inlineStr">
        <is>
          <t>Purchase price</t>
        </is>
      </c>
      <c r="D28" s="11" t="n">
        <v>110</v>
      </c>
    </row>
    <row r="29">
      <c r="A29" s="5" t="inlineStr">
        <is>
          <t>Transaction Fees</t>
        </is>
      </c>
      <c r="B29" s="6" t="inlineStr">
        <is>
          <t>%</t>
        </is>
      </c>
      <c r="C29" s="6" t="inlineStr">
        <is>
          <t>Legal, advisory, financing</t>
        </is>
      </c>
      <c r="D29" s="32" t="n">
        <v>0.015</v>
      </c>
    </row>
    <row r="30">
      <c r="A30" s="5" t="inlineStr">
        <is>
          <t>Exit Multiple</t>
        </is>
      </c>
      <c r="B30" s="6" t="inlineStr">
        <is>
          <t>x</t>
        </is>
      </c>
      <c r="C30" s="6" t="inlineStr">
        <is>
          <t>On exit year EBITDA</t>
        </is>
      </c>
      <c r="D30" s="33" t="n">
        <v>7</v>
      </c>
    </row>
    <row r="31">
      <c r="A31" s="5" t="inlineStr">
        <is>
          <t>Exit Year</t>
        </is>
      </c>
      <c r="B31" s="6" t="inlineStr">
        <is>
          <t>#</t>
        </is>
      </c>
      <c r="C31" s="6" t="inlineStr">
        <is>
          <t>Hold period</t>
        </is>
      </c>
      <c r="D31" s="14" t="n">
        <v>7</v>
      </c>
    </row>
    <row r="32"/>
    <row r="33">
      <c r="A33" s="3" t="inlineStr">
        <is>
          <t>ASSET INPUTS</t>
        </is>
      </c>
      <c r="B33" s="4" t="n"/>
      <c r="C33" s="4" t="n"/>
      <c r="D33" s="4" t="n"/>
      <c r="E33" s="4" t="n"/>
      <c r="F33" s="4" t="n"/>
      <c r="G33" s="4" t="n"/>
      <c r="H33" s="4" t="n"/>
      <c r="I33" s="4" t="n"/>
      <c r="J33" s="4" t="n"/>
      <c r="K33" s="4" t="n"/>
      <c r="L33" s="4" t="n"/>
      <c r="M33" s="4" t="n"/>
      <c r="N33" s="4" t="n"/>
    </row>
    <row r="34">
      <c r="A34" s="5" t="inlineStr">
        <is>
          <t>Capacity</t>
        </is>
      </c>
      <c r="B34" s="6" t="inlineStr">
        <is>
          <t>MW</t>
        </is>
      </c>
      <c r="C34" s="6" t="inlineStr">
        <is>
          <t>Nameplate rating</t>
        </is>
      </c>
      <c r="D34" s="14" t="n">
        <v>200</v>
      </c>
    </row>
    <row r="35">
      <c r="A35" s="5" t="inlineStr">
        <is>
          <t>Heat Rate</t>
        </is>
      </c>
      <c r="B35" s="6" t="inlineStr">
        <is>
          <t>Btu/kWh</t>
        </is>
      </c>
      <c r="C35" s="6" t="inlineStr">
        <is>
          <t>Less efficient than CCGT</t>
        </is>
      </c>
      <c r="D35" s="14" t="n">
        <v>10500</v>
      </c>
    </row>
    <row r="36">
      <c r="A36" s="5" t="inlineStr">
        <is>
          <t>Availability</t>
        </is>
      </c>
      <c r="B36" s="6" t="inlineStr">
        <is>
          <t>%</t>
        </is>
      </c>
      <c r="C36" s="6" t="inlineStr">
        <is>
          <t>For UCAP accreditation</t>
        </is>
      </c>
      <c r="D36" s="32" t="n">
        <v>0.9399999999999999</v>
      </c>
    </row>
    <row r="37">
      <c r="A37" s="5" t="inlineStr">
        <is>
          <t>Forced Outage Rate</t>
        </is>
      </c>
      <c r="B37" s="6" t="inlineStr">
        <is>
          <t>%</t>
        </is>
      </c>
      <c r="C37" s="6" t="inlineStr">
        <is>
          <t>Unplanned downtime</t>
        </is>
      </c>
      <c r="D37" s="32" t="n">
        <v>0.05</v>
      </c>
    </row>
    <row r="38">
      <c r="A38" s="5" t="inlineStr">
        <is>
          <t>Dispatch Hours</t>
        </is>
      </c>
      <c r="B38" s="6" t="inlineStr">
        <is>
          <t>hours/yr</t>
        </is>
      </c>
      <c r="C38" s="6" t="inlineStr">
        <is>
          <t>Peak hours only (~400)</t>
        </is>
      </c>
      <c r="D38" s="14" t="n">
        <v>400</v>
      </c>
    </row>
    <row r="39"/>
    <row r="40">
      <c r="A40" s="3" t="inlineStr">
        <is>
          <t>PRICING INPUTS</t>
        </is>
      </c>
      <c r="B40" s="4" t="n"/>
      <c r="C40" s="4" t="n"/>
      <c r="D40" s="4" t="n"/>
      <c r="E40" s="4" t="n"/>
      <c r="F40" s="4" t="n"/>
      <c r="G40" s="4" t="n"/>
      <c r="H40" s="4" t="n"/>
      <c r="I40" s="4" t="n"/>
      <c r="J40" s="4" t="n"/>
      <c r="K40" s="4" t="n"/>
      <c r="L40" s="4" t="n"/>
      <c r="M40" s="4" t="n"/>
      <c r="N40" s="4" t="n"/>
    </row>
    <row r="41">
      <c r="A41" s="5" t="inlineStr">
        <is>
          <t>Power Price Y1</t>
        </is>
      </c>
      <c r="B41" s="6" t="inlineStr">
        <is>
          <t>$/MWh</t>
        </is>
      </c>
      <c r="C41" s="6" t="inlineStr">
        <is>
          <t>Higher (dispatch-weighted)</t>
        </is>
      </c>
      <c r="D41" s="11" t="n">
        <v>95</v>
      </c>
    </row>
    <row r="42">
      <c r="A42" s="5" t="inlineStr">
        <is>
          <t>Capacity Price Y1</t>
        </is>
      </c>
      <c r="B42" s="6" t="inlineStr">
        <is>
          <t>$/kW-yr</t>
        </is>
      </c>
      <c r="C42" s="6" t="inlineStr">
        <is>
          <t>ICAP/RPM result</t>
        </is>
      </c>
      <c r="D42" s="11" t="n">
        <v>60</v>
      </c>
    </row>
    <row r="43">
      <c r="A43" s="5" t="inlineStr">
        <is>
          <t>Gas Price Y1</t>
        </is>
      </c>
      <c r="B43" s="6" t="inlineStr">
        <is>
          <t>$/mmBtu</t>
        </is>
      </c>
      <c r="C43" s="6" t="inlineStr">
        <is>
          <t>Henry Hub + basis</t>
        </is>
      </c>
      <c r="D43" s="15" t="n">
        <v>3.25</v>
      </c>
    </row>
    <row r="44">
      <c r="A44" s="5" t="inlineStr">
        <is>
          <t>Escalation</t>
        </is>
      </c>
      <c r="B44" s="6" t="inlineStr">
        <is>
          <t>%/yr</t>
        </is>
      </c>
      <c r="C44" s="6" t="inlineStr">
        <is>
          <t>Applied to all prices/costs</t>
        </is>
      </c>
      <c r="D44" s="32" t="n">
        <v>0.025</v>
      </c>
    </row>
    <row r="45"/>
    <row r="46">
      <c r="A46" s="3" t="inlineStr">
        <is>
          <t>COST INPUTS</t>
        </is>
      </c>
      <c r="B46" s="4" t="n"/>
      <c r="C46" s="4" t="n"/>
      <c r="D46" s="4" t="n"/>
      <c r="E46" s="4" t="n"/>
      <c r="F46" s="4" t="n"/>
      <c r="G46" s="4" t="n"/>
      <c r="H46" s="4" t="n"/>
      <c r="I46" s="4" t="n"/>
      <c r="J46" s="4" t="n"/>
      <c r="K46" s="4" t="n"/>
      <c r="L46" s="4" t="n"/>
      <c r="M46" s="4" t="n"/>
      <c r="N46" s="4" t="n"/>
    </row>
    <row r="47">
      <c r="A47" s="5" t="inlineStr">
        <is>
          <t>VOM</t>
        </is>
      </c>
      <c r="B47" s="6" t="inlineStr">
        <is>
          <t>$/MWh</t>
        </is>
      </c>
      <c r="C47" s="6" t="inlineStr">
        <is>
          <t>Variable O&amp;M</t>
        </is>
      </c>
      <c r="D47" s="15" t="n">
        <v>4</v>
      </c>
    </row>
    <row r="48">
      <c r="A48" s="5" t="inlineStr">
        <is>
          <t>FOM</t>
        </is>
      </c>
      <c r="B48" s="6" t="inlineStr">
        <is>
          <t>$/kW-yr</t>
        </is>
      </c>
      <c r="C48" s="6" t="inlineStr">
        <is>
          <t>Fixed O&amp;M</t>
        </is>
      </c>
      <c r="D48" s="15" t="n">
        <v>12</v>
      </c>
    </row>
    <row r="49">
      <c r="A49" s="5" t="inlineStr">
        <is>
          <t>Major Maintenance Year</t>
        </is>
      </c>
      <c r="B49" s="6" t="inlineStr">
        <is>
          <t>#</t>
        </is>
      </c>
      <c r="C49" s="6" t="inlineStr">
        <is>
          <t>Hot gas path inspection</t>
        </is>
      </c>
      <c r="D49" s="14" t="n">
        <v>5</v>
      </c>
    </row>
    <row r="50">
      <c r="A50" s="5" t="inlineStr">
        <is>
          <t>Major Maintenance Cost</t>
        </is>
      </c>
      <c r="B50" s="6" t="inlineStr">
        <is>
          <t>$mm</t>
        </is>
      </c>
      <c r="C50" s="6" t="inlineStr">
        <is>
          <t>HGP inspection cost</t>
        </is>
      </c>
      <c r="D50" s="11" t="n">
        <v>4</v>
      </c>
    </row>
    <row r="51"/>
    <row r="52">
      <c r="A52" s="3" t="inlineStr">
        <is>
          <t>FINANCING INPUTS</t>
        </is>
      </c>
      <c r="B52" s="4" t="n"/>
      <c r="C52" s="4" t="n"/>
      <c r="D52" s="4" t="n"/>
      <c r="E52" s="4" t="n"/>
      <c r="F52" s="4" t="n"/>
      <c r="G52" s="4" t="n"/>
      <c r="H52" s="4" t="n"/>
      <c r="I52" s="4" t="n"/>
      <c r="J52" s="4" t="n"/>
      <c r="K52" s="4" t="n"/>
      <c r="L52" s="4" t="n"/>
      <c r="M52" s="4" t="n"/>
      <c r="N52" s="4" t="n"/>
    </row>
    <row r="53">
      <c r="A53" s="5" t="inlineStr">
        <is>
          <t>Leverage</t>
        </is>
      </c>
      <c r="B53" s="6" t="inlineStr">
        <is>
          <t>%</t>
        </is>
      </c>
      <c r="C53" s="6" t="inlineStr">
        <is>
          <t>Debt / Entry EV (lower)</t>
        </is>
      </c>
      <c r="D53" s="32" t="n">
        <v>0.3</v>
      </c>
    </row>
    <row r="54">
      <c r="A54" s="5" t="inlineStr">
        <is>
          <t>Interest Rate</t>
        </is>
      </c>
      <c r="B54" s="6" t="inlineStr">
        <is>
          <t>%</t>
        </is>
      </c>
      <c r="C54" s="6" t="inlineStr">
        <is>
          <t>All-in borrowing cost</t>
        </is>
      </c>
      <c r="D54" s="32" t="n">
        <v>0.07000000000000001</v>
      </c>
    </row>
    <row r="55">
      <c r="A55" s="5" t="inlineStr">
        <is>
          <t>Debt Tenor</t>
        </is>
      </c>
      <c r="B55" s="6" t="inlineStr">
        <is>
          <t>years</t>
        </is>
      </c>
      <c r="C55" s="6" t="inlineStr">
        <is>
          <t>Amortization period</t>
        </is>
      </c>
      <c r="D55" s="14" t="n">
        <v>7</v>
      </c>
    </row>
    <row r="56">
      <c r="A56" s="5" t="inlineStr">
        <is>
          <t>DSRA Months</t>
        </is>
      </c>
      <c r="B56" s="6" t="inlineStr">
        <is>
          <t>months</t>
        </is>
      </c>
      <c r="C56" s="6" t="inlineStr">
        <is>
          <t>Debt service reserve</t>
        </is>
      </c>
      <c r="D56" s="14" t="n">
        <v>6</v>
      </c>
    </row>
    <row r="57">
      <c r="A57" s="5" t="inlineStr">
        <is>
          <t>Cash Sweep %</t>
        </is>
      </c>
      <c r="B57" s="6" t="inlineStr">
        <is>
          <t>%</t>
        </is>
      </c>
      <c r="C57" s="6" t="inlineStr">
        <is>
          <t>Lower for maint reserves</t>
        </is>
      </c>
      <c r="D57" s="32" t="n">
        <v>0.5</v>
      </c>
    </row>
    <row r="58">
      <c r="A58" s="5" t="inlineStr">
        <is>
          <t>Lock-up DSCR</t>
        </is>
      </c>
      <c r="B58" s="6" t="inlineStr">
        <is>
          <t>x</t>
        </is>
      </c>
      <c r="C58" s="6" t="inlineStr">
        <is>
          <t>Distribution threshold</t>
        </is>
      </c>
      <c r="D58" s="33" t="n">
        <v>1.1</v>
      </c>
    </row>
    <row r="59"/>
    <row r="60">
      <c r="A60" s="3" t="inlineStr">
        <is>
          <t>TAX INPUTS</t>
        </is>
      </c>
      <c r="B60" s="4" t="n"/>
      <c r="C60" s="4" t="n"/>
      <c r="D60" s="4" t="n"/>
      <c r="E60" s="4" t="n"/>
      <c r="F60" s="4" t="n"/>
      <c r="G60" s="4" t="n"/>
      <c r="H60" s="4" t="n"/>
      <c r="I60" s="4" t="n"/>
      <c r="J60" s="4" t="n"/>
      <c r="K60" s="4" t="n"/>
      <c r="L60" s="4" t="n"/>
      <c r="M60" s="4" t="n"/>
      <c r="N60" s="4" t="n"/>
    </row>
    <row r="61">
      <c r="A61" s="5" t="inlineStr">
        <is>
          <t>Tax Rate</t>
        </is>
      </c>
      <c r="B61" s="6" t="inlineStr">
        <is>
          <t>%</t>
        </is>
      </c>
      <c r="C61" s="6" t="inlineStr">
        <is>
          <t>Blended federal + state</t>
        </is>
      </c>
      <c r="D61" s="32" t="n">
        <v>0.25</v>
      </c>
    </row>
    <row r="62">
      <c r="A62" s="5" t="inlineStr">
        <is>
          <t>Depreciable Basis</t>
        </is>
      </c>
      <c r="B62" s="6" t="inlineStr">
        <is>
          <t>%</t>
        </is>
      </c>
      <c r="C62" s="6" t="inlineStr">
        <is>
          <t>% of EV for depreciation</t>
        </is>
      </c>
      <c r="D62" s="32" t="n">
        <v>0.85</v>
      </c>
    </row>
    <row r="63">
      <c r="A63" s="5" t="inlineStr">
        <is>
          <t>Depreciation Life</t>
        </is>
      </c>
      <c r="B63" s="6" t="inlineStr">
        <is>
          <t>years</t>
        </is>
      </c>
      <c r="C63" s="6" t="inlineStr">
        <is>
          <t>Straight-line</t>
        </is>
      </c>
      <c r="D63" s="14" t="n">
        <v>15</v>
      </c>
    </row>
    <row r="64"/>
    <row r="65">
      <c r="A65" s="3" t="inlineStr">
        <is>
          <t>CALCULATED ITEMS</t>
        </is>
      </c>
      <c r="B65" s="4" t="n"/>
      <c r="C65" s="4" t="n"/>
      <c r="D65" s="4" t="n"/>
      <c r="E65" s="4" t="n"/>
      <c r="F65" s="4" t="n"/>
      <c r="G65" s="4" t="n"/>
      <c r="H65" s="4" t="n"/>
      <c r="I65" s="4" t="n"/>
      <c r="J65" s="4" t="n"/>
      <c r="K65" s="4" t="n"/>
      <c r="L65" s="4" t="n"/>
      <c r="M65" s="4" t="n"/>
      <c r="N65" s="4" t="n"/>
    </row>
    <row r="66">
      <c r="A66" s="5" t="inlineStr">
        <is>
          <t>UCAP (Unforced Capacity)</t>
        </is>
      </c>
      <c r="B66" s="6" t="inlineStr">
        <is>
          <t>MW</t>
        </is>
      </c>
      <c r="C66" s="6" t="inlineStr">
        <is>
          <t>Capacity × (1 - FOR)</t>
        </is>
      </c>
      <c r="D66" s="16">
        <f>$D$23*(1-$D$26)</f>
        <v/>
      </c>
    </row>
    <row r="67">
      <c r="A67" s="5" t="inlineStr">
        <is>
          <t>Annual Generation</t>
        </is>
      </c>
      <c r="B67" s="6" t="inlineStr">
        <is>
          <t>MWh</t>
        </is>
      </c>
      <c r="C67" s="6" t="inlineStr">
        <is>
          <t>Capacity × Hours × Avail</t>
        </is>
      </c>
      <c r="D67" s="17">
        <f>$D$23*$D$27*$D$25</f>
        <v/>
      </c>
    </row>
    <row r="68">
      <c r="A68" s="5" t="inlineStr">
        <is>
          <t>Debt Amount</t>
        </is>
      </c>
      <c r="B68" s="6" t="inlineStr">
        <is>
          <t>$mm</t>
        </is>
      </c>
      <c r="C68" s="6" t="inlineStr">
        <is>
          <t>Entry EV × Leverage</t>
        </is>
      </c>
      <c r="D68" s="18">
        <f>$D$17*$D$42</f>
        <v/>
      </c>
    </row>
    <row r="69">
      <c r="A69" s="5" t="inlineStr">
        <is>
          <t>Annual Depreciation</t>
        </is>
      </c>
      <c r="B69" s="6" t="inlineStr">
        <is>
          <t>$mm</t>
        </is>
      </c>
      <c r="C69" s="6" t="inlineStr">
        <is>
          <t>EV × Basis / Life</t>
        </is>
      </c>
      <c r="D69" s="18">
        <f>$D$17*$D$51/$D$52</f>
        <v/>
      </c>
    </row>
    <row r="70">
      <c r="A70" s="5" t="inlineStr">
        <is>
          <t>Scheduled Principal</t>
        </is>
      </c>
      <c r="B70" s="6" t="inlineStr">
        <is>
          <t>$mm/yr</t>
        </is>
      </c>
      <c r="C70" s="6" t="inlineStr">
        <is>
          <t>Debt / Tenor</t>
        </is>
      </c>
      <c r="D70" s="18">
        <f>$D$57/$D$44</f>
        <v/>
      </c>
    </row>
    <row r="71"/>
    <row r="72">
      <c r="A72" s="3" t="inlineStr">
        <is>
          <t>OPERATING MODEL</t>
        </is>
      </c>
      <c r="B72" s="4" t="n"/>
      <c r="C72" s="4" t="n"/>
      <c r="D72" s="4" t="n"/>
      <c r="E72" s="4" t="n"/>
      <c r="F72" s="4" t="n"/>
      <c r="G72" s="4" t="n"/>
      <c r="H72" s="4" t="n"/>
      <c r="I72" s="4" t="n"/>
      <c r="J72" s="4" t="n"/>
      <c r="K72" s="4" t="n"/>
      <c r="L72" s="4" t="n"/>
      <c r="M72" s="4" t="n"/>
      <c r="N72" s="4" t="n"/>
    </row>
    <row r="73">
      <c r="A73" s="5" t="inlineStr">
        <is>
          <t>Power Price</t>
        </is>
      </c>
      <c r="B73" s="6" t="inlineStr">
        <is>
          <t>$/MWh</t>
        </is>
      </c>
      <c r="C73" s="6" t="inlineStr">
        <is>
          <t>Escalated</t>
        </is>
      </c>
      <c r="E73" s="18">
        <f>$D$30*(1+$D$33)^(1-1)</f>
        <v/>
      </c>
      <c r="F73" s="18">
        <f>$D$30*(1+$D$33)^(2-1)</f>
        <v/>
      </c>
      <c r="G73" s="18">
        <f>$D$30*(1+$D$33)^(3-1)</f>
        <v/>
      </c>
      <c r="H73" s="18">
        <f>$D$30*(1+$D$33)^(4-1)</f>
        <v/>
      </c>
      <c r="I73" s="18">
        <f>$D$30*(1+$D$33)^(5-1)</f>
        <v/>
      </c>
      <c r="J73" s="18">
        <f>$D$30*(1+$D$33)^(6-1)</f>
        <v/>
      </c>
      <c r="K73" s="18">
        <f>$D$30*(1+$D$33)^(7-1)</f>
        <v/>
      </c>
      <c r="L73" s="18">
        <f>$D$30*(1+$D$33)^(8-1)</f>
        <v/>
      </c>
      <c r="M73" s="18">
        <f>$D$30*(1+$D$33)^(9-1)</f>
        <v/>
      </c>
      <c r="N73" s="18">
        <f>$D$30*(1+$D$33)^(10-1)</f>
        <v/>
      </c>
    </row>
    <row r="74">
      <c r="A74" s="5" t="inlineStr">
        <is>
          <t>Capacity Price</t>
        </is>
      </c>
      <c r="B74" s="6" t="inlineStr">
        <is>
          <t>$/kW-yr</t>
        </is>
      </c>
      <c r="C74" s="6" t="inlineStr">
        <is>
          <t>Escalated</t>
        </is>
      </c>
      <c r="E74" s="18">
        <f>$D$31*(1+$D$33)^(1-1)</f>
        <v/>
      </c>
      <c r="F74" s="18">
        <f>$D$31*(1+$D$33)^(2-1)</f>
        <v/>
      </c>
      <c r="G74" s="18">
        <f>$D$31*(1+$D$33)^(3-1)</f>
        <v/>
      </c>
      <c r="H74" s="18">
        <f>$D$31*(1+$D$33)^(4-1)</f>
        <v/>
      </c>
      <c r="I74" s="18">
        <f>$D$31*(1+$D$33)^(5-1)</f>
        <v/>
      </c>
      <c r="J74" s="18">
        <f>$D$31*(1+$D$33)^(6-1)</f>
        <v/>
      </c>
      <c r="K74" s="18">
        <f>$D$31*(1+$D$33)^(7-1)</f>
        <v/>
      </c>
      <c r="L74" s="18">
        <f>$D$31*(1+$D$33)^(8-1)</f>
        <v/>
      </c>
      <c r="M74" s="18">
        <f>$D$31*(1+$D$33)^(9-1)</f>
        <v/>
      </c>
      <c r="N74" s="18">
        <f>$D$31*(1+$D$33)^(10-1)</f>
        <v/>
      </c>
    </row>
    <row r="75">
      <c r="A75" s="5" t="inlineStr">
        <is>
          <t>Gas Price</t>
        </is>
      </c>
      <c r="B75" s="6" t="inlineStr">
        <is>
          <t>$/mmBtu</t>
        </is>
      </c>
      <c r="C75" s="6" t="inlineStr">
        <is>
          <t>Escalated</t>
        </is>
      </c>
      <c r="E75" s="19">
        <f>$D$32*(1+$D$33)^(1-1)</f>
        <v/>
      </c>
      <c r="F75" s="19">
        <f>$D$32*(1+$D$33)^(2-1)</f>
        <v/>
      </c>
      <c r="G75" s="19">
        <f>$D$32*(1+$D$33)^(3-1)</f>
        <v/>
      </c>
      <c r="H75" s="19">
        <f>$D$32*(1+$D$33)^(4-1)</f>
        <v/>
      </c>
      <c r="I75" s="19">
        <f>$D$32*(1+$D$33)^(5-1)</f>
        <v/>
      </c>
      <c r="J75" s="19">
        <f>$D$32*(1+$D$33)^(6-1)</f>
        <v/>
      </c>
      <c r="K75" s="19">
        <f>$D$32*(1+$D$33)^(7-1)</f>
        <v/>
      </c>
      <c r="L75" s="19">
        <f>$D$32*(1+$D$33)^(8-1)</f>
        <v/>
      </c>
      <c r="M75" s="19">
        <f>$D$32*(1+$D$33)^(9-1)</f>
        <v/>
      </c>
      <c r="N75" s="19">
        <f>$D$32*(1+$D$33)^(10-1)</f>
        <v/>
      </c>
    </row>
    <row r="76"/>
    <row r="77">
      <c r="A77" s="5" t="inlineStr">
        <is>
          <t>Energy Revenue</t>
        </is>
      </c>
      <c r="B77" s="6" t="inlineStr">
        <is>
          <t>$mm</t>
        </is>
      </c>
      <c r="C77" s="6" t="inlineStr">
        <is>
          <t>Generation × Power Price / 1M</t>
        </is>
      </c>
      <c r="E77" s="18">
        <f>$D$56*E62/1000000</f>
        <v/>
      </c>
      <c r="F77" s="18">
        <f>$D$56*F62/1000000</f>
        <v/>
      </c>
      <c r="G77" s="18">
        <f>$D$56*G62/1000000</f>
        <v/>
      </c>
      <c r="H77" s="18">
        <f>$D$56*H62/1000000</f>
        <v/>
      </c>
      <c r="I77" s="18">
        <f>$D$56*I62/1000000</f>
        <v/>
      </c>
      <c r="J77" s="18">
        <f>$D$56*J62/1000000</f>
        <v/>
      </c>
      <c r="K77" s="18">
        <f>$D$56*K62/1000000</f>
        <v/>
      </c>
      <c r="L77" s="18">
        <f>$D$56*L62/1000000</f>
        <v/>
      </c>
      <c r="M77" s="18">
        <f>$D$56*M62/1000000</f>
        <v/>
      </c>
      <c r="N77" s="18">
        <f>$D$56*N62/1000000</f>
        <v/>
      </c>
    </row>
    <row r="78">
      <c r="A78" s="5" t="inlineStr">
        <is>
          <t>Capacity Revenue</t>
        </is>
      </c>
      <c r="B78" s="6" t="inlineStr">
        <is>
          <t>$mm</t>
        </is>
      </c>
      <c r="C78" s="6" t="inlineStr">
        <is>
          <t>UCAP × Cap Price × 1000 / 1M</t>
        </is>
      </c>
      <c r="E78" s="18">
        <f>$D$55*E63*1000/1000000</f>
        <v/>
      </c>
      <c r="F78" s="18">
        <f>$D$55*F63*1000/1000000</f>
        <v/>
      </c>
      <c r="G78" s="18">
        <f>$D$55*G63*1000/1000000</f>
        <v/>
      </c>
      <c r="H78" s="18">
        <f>$D$55*H63*1000/1000000</f>
        <v/>
      </c>
      <c r="I78" s="18">
        <f>$D$55*I63*1000/1000000</f>
        <v/>
      </c>
      <c r="J78" s="18">
        <f>$D$55*J63*1000/1000000</f>
        <v/>
      </c>
      <c r="K78" s="18">
        <f>$D$55*K63*1000/1000000</f>
        <v/>
      </c>
      <c r="L78" s="18">
        <f>$D$55*L63*1000/1000000</f>
        <v/>
      </c>
      <c r="M78" s="18">
        <f>$D$55*M63*1000/1000000</f>
        <v/>
      </c>
      <c r="N78" s="18">
        <f>$D$55*N63*1000/1000000</f>
        <v/>
      </c>
    </row>
    <row r="79">
      <c r="A79" s="5" t="inlineStr">
        <is>
          <t>Total Revenue</t>
        </is>
      </c>
      <c r="B79" s="6" t="inlineStr">
        <is>
          <t>$mm</t>
        </is>
      </c>
      <c r="C79" s="6" t="inlineStr"/>
      <c r="E79" s="20">
        <f>E66+E67</f>
        <v/>
      </c>
      <c r="F79" s="20">
        <f>F66+F67</f>
        <v/>
      </c>
      <c r="G79" s="20">
        <f>G66+G67</f>
        <v/>
      </c>
      <c r="H79" s="20">
        <f>H66+H67</f>
        <v/>
      </c>
      <c r="I79" s="20">
        <f>I66+I67</f>
        <v/>
      </c>
      <c r="J79" s="20">
        <f>J66+J67</f>
        <v/>
      </c>
      <c r="K79" s="20">
        <f>K66+K67</f>
        <v/>
      </c>
      <c r="L79" s="20">
        <f>L66+L67</f>
        <v/>
      </c>
      <c r="M79" s="20">
        <f>M66+M67</f>
        <v/>
      </c>
      <c r="N79" s="20">
        <f>N66+N67</f>
        <v/>
      </c>
    </row>
    <row r="80"/>
    <row r="81">
      <c r="A81" s="5" t="inlineStr">
        <is>
          <t>Fuel Cost</t>
        </is>
      </c>
      <c r="B81" s="6" t="inlineStr">
        <is>
          <t>$mm</t>
        </is>
      </c>
      <c r="C81" s="6" t="inlineStr">
        <is>
          <t>Gen × HR × Gas / 1B</t>
        </is>
      </c>
      <c r="E81" s="18">
        <f>$D$56*$D$24*E64/1E9</f>
        <v/>
      </c>
      <c r="F81" s="18">
        <f>$D$56*$D$24*F64/1E9</f>
        <v/>
      </c>
      <c r="G81" s="18">
        <f>$D$56*$D$24*G64/1E9</f>
        <v/>
      </c>
      <c r="H81" s="18">
        <f>$D$56*$D$24*H64/1E9</f>
        <v/>
      </c>
      <c r="I81" s="18">
        <f>$D$56*$D$24*I64/1E9</f>
        <v/>
      </c>
      <c r="J81" s="18">
        <f>$D$56*$D$24*J64/1E9</f>
        <v/>
      </c>
      <c r="K81" s="18">
        <f>$D$56*$D$24*K64/1E9</f>
        <v/>
      </c>
      <c r="L81" s="18">
        <f>$D$56*$D$24*L64/1E9</f>
        <v/>
      </c>
      <c r="M81" s="18">
        <f>$D$56*$D$24*M64/1E9</f>
        <v/>
      </c>
      <c r="N81" s="18">
        <f>$D$56*$D$24*N64/1E9</f>
        <v/>
      </c>
    </row>
    <row r="82">
      <c r="A82" s="34" t="inlineStr">
        <is>
          <t>Spark Spread</t>
        </is>
      </c>
      <c r="B82" t="inlineStr">
        <is>
          <t>$/MWh</t>
        </is>
      </c>
      <c r="C82" s="55" t="inlineStr">
        <is>
          <t>[WHAT] Spark Spread = Power Price - (Plant HR × Gas / 1000)
[WHY] Gross margin per MWh after fuel. Core driver of thermal profitability.
[RMHR EQUIVALENCE - For Interview Discussion]
Traders express this as "Market Heat Rate":
  RMHR = Power / Gas × 1000
  If RMHR &gt; Plant HR → "In the money" → Dispatch
Spark Spread = (RMHR - Plant HR) × Gas / 1000
Same math, different framing. Use Spark Spread in model (simpler).
[EXAMPLE] Power=$50, Gas=$5, HR=7000
  RMHR = 50/5 × 1000 = 10,000 Btu/kWh
  Spread = 10,000 - 7,000 = 3,000 Btu/kWh
  Spark = 3,000 × $5 / 1000 = $15/MWh ✓
  (Or directly: $50 - 7×$5 = $15/MWh)
[UNITS] $/MWh - (Btu/kWh × $/MMBtu / 1000) = $/MWh ✓</t>
        </is>
      </c>
      <c r="E82" s="56">
        <f>E72-($D$34/1000)*E74</f>
        <v/>
      </c>
      <c r="F82" s="56">
        <f>F72-($D$34/1000)*F74</f>
        <v/>
      </c>
      <c r="G82" s="56">
        <f>G72-($D$34/1000)*G74</f>
        <v/>
      </c>
      <c r="H82" s="56">
        <f>H72-($D$34/1000)*H74</f>
        <v/>
      </c>
      <c r="I82" s="56">
        <f>I72-($D$34/1000)*I74</f>
        <v/>
      </c>
      <c r="J82" s="56">
        <f>J72-($D$34/1000)*J74</f>
        <v/>
      </c>
      <c r="K82" s="56">
        <f>K72-($D$34/1000)*K74</f>
        <v/>
      </c>
      <c r="L82" s="56">
        <f>L72-($D$34/1000)*L74</f>
        <v/>
      </c>
      <c r="M82" s="56">
        <f>M72-($D$34/1000)*M74</f>
        <v/>
      </c>
      <c r="N82" s="56">
        <f>N72-($D$34/1000)*N74</f>
        <v/>
      </c>
    </row>
    <row r="83">
      <c r="A83" s="5" t="inlineStr">
        <is>
          <t>VOM</t>
        </is>
      </c>
      <c r="B83" s="6" t="inlineStr">
        <is>
          <t>$mm</t>
        </is>
      </c>
      <c r="C83" s="6" t="inlineStr">
        <is>
          <t>Generation × VOM rate / 1M</t>
        </is>
      </c>
      <c r="E83" s="18">
        <f>$D$56*$D$36/1000000</f>
        <v/>
      </c>
      <c r="F83" s="18">
        <f>$D$56*$D$36/1000000</f>
        <v/>
      </c>
      <c r="G83" s="18">
        <f>$D$56*$D$36/1000000</f>
        <v/>
      </c>
      <c r="H83" s="18">
        <f>$D$56*$D$36/1000000</f>
        <v/>
      </c>
      <c r="I83" s="18">
        <f>$D$56*$D$36/1000000</f>
        <v/>
      </c>
      <c r="J83" s="18">
        <f>$D$56*$D$36/1000000</f>
        <v/>
      </c>
      <c r="K83" s="18">
        <f>$D$56*$D$36/1000000</f>
        <v/>
      </c>
      <c r="L83" s="18">
        <f>$D$56*$D$36/1000000</f>
        <v/>
      </c>
      <c r="M83" s="18">
        <f>$D$56*$D$36/1000000</f>
        <v/>
      </c>
      <c r="N83" s="18">
        <f>$D$56*$D$36/1000000</f>
        <v/>
      </c>
    </row>
    <row r="84">
      <c r="A84" s="5" t="inlineStr">
        <is>
          <t>FOM</t>
        </is>
      </c>
      <c r="B84" s="6" t="inlineStr">
        <is>
          <t>$mm</t>
        </is>
      </c>
      <c r="C84" s="6" t="inlineStr">
        <is>
          <t>Capacity × FOM × esc × 1000 / 1M</t>
        </is>
      </c>
      <c r="E84" s="18">
        <f>$D$23*$D$37*(1+$D$33)^(1-1)*1000/1000000</f>
        <v/>
      </c>
      <c r="F84" s="18">
        <f>$D$23*$D$37*(1+$D$33)^(2-1)*1000/1000000</f>
        <v/>
      </c>
      <c r="G84" s="18">
        <f>$D$23*$D$37*(1+$D$33)^(3-1)*1000/1000000</f>
        <v/>
      </c>
      <c r="H84" s="18">
        <f>$D$23*$D$37*(1+$D$33)^(4-1)*1000/1000000</f>
        <v/>
      </c>
      <c r="I84" s="18">
        <f>$D$23*$D$37*(1+$D$33)^(5-1)*1000/1000000</f>
        <v/>
      </c>
      <c r="J84" s="18">
        <f>$D$23*$D$37*(1+$D$33)^(6-1)*1000/1000000</f>
        <v/>
      </c>
      <c r="K84" s="18">
        <f>$D$23*$D$37*(1+$D$33)^(7-1)*1000/1000000</f>
        <v/>
      </c>
      <c r="L84" s="18">
        <f>$D$23*$D$37*(1+$D$33)^(8-1)*1000/1000000</f>
        <v/>
      </c>
      <c r="M84" s="18">
        <f>$D$23*$D$37*(1+$D$33)^(9-1)*1000/1000000</f>
        <v/>
      </c>
      <c r="N84" s="18">
        <f>$D$23*$D$37*(1+$D$33)^(10-1)*1000/1000000</f>
        <v/>
      </c>
    </row>
    <row r="85">
      <c r="A85" s="5" t="inlineStr">
        <is>
          <t>Total Operating Costs</t>
        </is>
      </c>
      <c r="B85" s="6" t="inlineStr">
        <is>
          <t>$mm</t>
        </is>
      </c>
      <c r="C85" s="6" t="inlineStr"/>
      <c r="E85" s="18">
        <f>E70+E71+E72</f>
        <v/>
      </c>
      <c r="F85" s="18">
        <f>F70+F71+F72</f>
        <v/>
      </c>
      <c r="G85" s="18">
        <f>G70+G71+G72</f>
        <v/>
      </c>
      <c r="H85" s="18">
        <f>H70+H71+H72</f>
        <v/>
      </c>
      <c r="I85" s="18">
        <f>I70+I71+I72</f>
        <v/>
      </c>
      <c r="J85" s="18">
        <f>J70+J71+J72</f>
        <v/>
      </c>
      <c r="K85" s="18">
        <f>K70+K71+K72</f>
        <v/>
      </c>
      <c r="L85" s="18">
        <f>L70+L71+L72</f>
        <v/>
      </c>
      <c r="M85" s="18">
        <f>M70+M71+M72</f>
        <v/>
      </c>
      <c r="N85" s="18">
        <f>N70+N71+N72</f>
        <v/>
      </c>
    </row>
    <row r="86"/>
    <row r="87">
      <c r="A87" s="5" t="inlineStr">
        <is>
          <t>EBITDA</t>
        </is>
      </c>
      <c r="B87" s="6" t="inlineStr">
        <is>
          <t>$mm</t>
        </is>
      </c>
      <c r="C87" s="6" t="inlineStr"/>
      <c r="E87" s="7">
        <f>E68-E73</f>
        <v/>
      </c>
      <c r="F87" s="7">
        <f>F68-F73</f>
        <v/>
      </c>
      <c r="G87" s="7">
        <f>G68-G73</f>
        <v/>
      </c>
      <c r="H87" s="7">
        <f>H68-H73</f>
        <v/>
      </c>
      <c r="I87" s="7">
        <f>I68-I73</f>
        <v/>
      </c>
      <c r="J87" s="7">
        <f>J68-J73</f>
        <v/>
      </c>
      <c r="K87" s="7">
        <f>K68-K73</f>
        <v/>
      </c>
      <c r="L87" s="7">
        <f>L68-L73</f>
        <v/>
      </c>
      <c r="M87" s="7">
        <f>M68-M73</f>
        <v/>
      </c>
      <c r="N87" s="7">
        <f>N68-N73</f>
        <v/>
      </c>
    </row>
    <row r="88"/>
    <row r="89">
      <c r="A89" s="3" t="inlineStr">
        <is>
          <t>CASH FLOW</t>
        </is>
      </c>
      <c r="B89" s="4" t="n"/>
      <c r="C89" s="4" t="n"/>
      <c r="D89" s="4" t="n"/>
      <c r="E89" s="4" t="n"/>
      <c r="F89" s="4" t="n"/>
      <c r="G89" s="4" t="n"/>
      <c r="H89" s="4" t="n"/>
      <c r="I89" s="4" t="n"/>
      <c r="J89" s="4" t="n"/>
      <c r="K89" s="4" t="n"/>
      <c r="L89" s="4" t="n"/>
      <c r="M89" s="4" t="n"/>
      <c r="N89" s="4" t="n"/>
    </row>
    <row r="90">
      <c r="A90" s="5" t="inlineStr">
        <is>
          <t>EBIT</t>
        </is>
      </c>
      <c r="B90" s="6" t="inlineStr">
        <is>
          <t>$mm</t>
        </is>
      </c>
      <c r="C90" s="6" t="inlineStr">
        <is>
          <t>EBITDA - Depreciation</t>
        </is>
      </c>
      <c r="E90" s="18">
        <f>E75-$D$58</f>
        <v/>
      </c>
      <c r="F90" s="18">
        <f>F75-$D$58</f>
        <v/>
      </c>
      <c r="G90" s="18">
        <f>G75-$D$58</f>
        <v/>
      </c>
      <c r="H90" s="18">
        <f>H75-$D$58</f>
        <v/>
      </c>
      <c r="I90" s="18">
        <f>I75-$D$58</f>
        <v/>
      </c>
      <c r="J90" s="18">
        <f>J75-$D$58</f>
        <v/>
      </c>
      <c r="K90" s="18">
        <f>K75-$D$58</f>
        <v/>
      </c>
      <c r="L90" s="18">
        <f>L75-$D$58</f>
        <v/>
      </c>
      <c r="M90" s="18">
        <f>M75-$D$58</f>
        <v/>
      </c>
      <c r="N90" s="18">
        <f>N75-$D$58</f>
        <v/>
      </c>
    </row>
    <row r="91">
      <c r="A91" s="5" t="inlineStr">
        <is>
          <t>Taxes</t>
        </is>
      </c>
      <c r="B91" s="6" t="inlineStr">
        <is>
          <t>$mm</t>
        </is>
      </c>
      <c r="C91" s="6" t="inlineStr">
        <is>
          <t>MAX(0, EBIT) × Tax Rate</t>
        </is>
      </c>
      <c r="E91" s="18">
        <f>MAX(0,E78)*$D$50</f>
        <v/>
      </c>
      <c r="F91" s="18">
        <f>MAX(0,F78)*$D$50</f>
        <v/>
      </c>
      <c r="G91" s="18">
        <f>MAX(0,G78)*$D$50</f>
        <v/>
      </c>
      <c r="H91" s="18">
        <f>MAX(0,H78)*$D$50</f>
        <v/>
      </c>
      <c r="I91" s="18">
        <f>MAX(0,I78)*$D$50</f>
        <v/>
      </c>
      <c r="J91" s="18">
        <f>MAX(0,J78)*$D$50</f>
        <v/>
      </c>
      <c r="K91" s="18">
        <f>MAX(0,K78)*$D$50</f>
        <v/>
      </c>
      <c r="L91" s="18">
        <f>MAX(0,L78)*$D$50</f>
        <v/>
      </c>
      <c r="M91" s="18">
        <f>MAX(0,M78)*$D$50</f>
        <v/>
      </c>
      <c r="N91" s="18">
        <f>MAX(0,N78)*$D$50</f>
        <v/>
      </c>
    </row>
    <row r="92">
      <c r="A92" s="5" t="inlineStr">
        <is>
          <t>Major Maintenance</t>
        </is>
      </c>
      <c r="B92" s="6" t="inlineStr">
        <is>
          <t>$mm</t>
        </is>
      </c>
      <c r="C92" s="6" t="inlineStr">
        <is>
          <t>HGP in specified year</t>
        </is>
      </c>
      <c r="E92" s="21">
        <f>IF(1=$D$38,$D$39,0)</f>
        <v/>
      </c>
      <c r="F92" s="21">
        <f>IF(2=$D$38,$D$39,0)</f>
        <v/>
      </c>
      <c r="G92" s="21">
        <f>IF(3=$D$38,$D$39,0)</f>
        <v/>
      </c>
      <c r="H92" s="21">
        <f>IF(4=$D$38,$D$39,0)</f>
        <v/>
      </c>
      <c r="I92" s="21">
        <f>IF(5=$D$38,$D$39,0)</f>
        <v/>
      </c>
      <c r="J92" s="21">
        <f>IF(6=$D$38,$D$39,0)</f>
        <v/>
      </c>
      <c r="K92" s="21">
        <f>IF(7=$D$38,$D$39,0)</f>
        <v/>
      </c>
      <c r="L92" s="21">
        <f>IF(8=$D$38,$D$39,0)</f>
        <v/>
      </c>
      <c r="M92" s="21">
        <f>IF(9=$D$38,$D$39,0)</f>
        <v/>
      </c>
      <c r="N92" s="21">
        <f>IF(10=$D$38,$D$39,0)</f>
        <v/>
      </c>
    </row>
    <row r="93">
      <c r="A93" s="5" t="inlineStr">
        <is>
          <t>CFADS</t>
        </is>
      </c>
      <c r="B93" s="6" t="inlineStr">
        <is>
          <t>$mm</t>
        </is>
      </c>
      <c r="C93" s="6" t="inlineStr">
        <is>
          <t>EBITDA - Taxes - Maint</t>
        </is>
      </c>
      <c r="E93" s="7">
        <f>E75-E79-E80</f>
        <v/>
      </c>
      <c r="F93" s="7">
        <f>F75-F79-F80</f>
        <v/>
      </c>
      <c r="G93" s="7">
        <f>G75-G79-G80</f>
        <v/>
      </c>
      <c r="H93" s="7">
        <f>H75-H79-H80</f>
        <v/>
      </c>
      <c r="I93" s="7">
        <f>I75-I79-I80</f>
        <v/>
      </c>
      <c r="J93" s="7">
        <f>J75-J79-J80</f>
        <v/>
      </c>
      <c r="K93" s="7">
        <f>K75-K79-K80</f>
        <v/>
      </c>
      <c r="L93" s="7">
        <f>L75-L79-L80</f>
        <v/>
      </c>
      <c r="M93" s="7">
        <f>M75-M79-M80</f>
        <v/>
      </c>
      <c r="N93" s="7">
        <f>N75-N79-N80</f>
        <v/>
      </c>
    </row>
    <row r="94"/>
    <row r="95">
      <c r="A95" s="3" t="inlineStr">
        <is>
          <t>DEBT SCHEDULE (50% Cash Sweep)</t>
        </is>
      </c>
      <c r="B95" s="4" t="n"/>
      <c r="C95" s="4" t="n"/>
      <c r="D95" s="4" t="n"/>
      <c r="E95" s="4" t="n"/>
      <c r="F95" s="4" t="n"/>
      <c r="G95" s="4" t="n"/>
      <c r="H95" s="4" t="n"/>
      <c r="I95" s="4" t="n"/>
      <c r="J95" s="4" t="n"/>
      <c r="K95" s="4" t="n"/>
      <c r="L95" s="4" t="n"/>
      <c r="M95" s="4" t="n"/>
      <c r="N95" s="4" t="n"/>
    </row>
    <row r="96">
      <c r="A96" s="5" t="inlineStr">
        <is>
          <t>Beginning Balance</t>
        </is>
      </c>
      <c r="B96" s="6" t="inlineStr">
        <is>
          <t>$mm</t>
        </is>
      </c>
      <c r="C96" s="6" t="inlineStr"/>
      <c r="E96" s="18">
        <f>$D$57</f>
        <v/>
      </c>
      <c r="F96" s="18">
        <f>E91</f>
        <v/>
      </c>
      <c r="G96" s="18">
        <f>F91</f>
        <v/>
      </c>
      <c r="H96" s="18">
        <f>G91</f>
        <v/>
      </c>
      <c r="I96" s="18">
        <f>H91</f>
        <v/>
      </c>
      <c r="J96" s="18">
        <f>I91</f>
        <v/>
      </c>
      <c r="K96" s="18">
        <f>J91</f>
        <v/>
      </c>
      <c r="L96" s="18">
        <f>K91</f>
        <v/>
      </c>
      <c r="M96" s="18">
        <f>L91</f>
        <v/>
      </c>
      <c r="N96" s="18">
        <f>M91</f>
        <v/>
      </c>
    </row>
    <row r="97">
      <c r="A97" s="5" t="inlineStr">
        <is>
          <t>Interest</t>
        </is>
      </c>
      <c r="B97" s="6" t="inlineStr">
        <is>
          <t>$mm</t>
        </is>
      </c>
      <c r="C97" s="6" t="inlineStr">
        <is>
          <t>Beg Bal × Int Rate</t>
        </is>
      </c>
      <c r="E97" s="18">
        <f>E84*$D$43</f>
        <v/>
      </c>
      <c r="F97" s="18">
        <f>F84*$D$43</f>
        <v/>
      </c>
      <c r="G97" s="18">
        <f>G84*$D$43</f>
        <v/>
      </c>
      <c r="H97" s="18">
        <f>H84*$D$43</f>
        <v/>
      </c>
      <c r="I97" s="18">
        <f>I84*$D$43</f>
        <v/>
      </c>
      <c r="J97" s="18">
        <f>J84*$D$43</f>
        <v/>
      </c>
      <c r="K97" s="18">
        <f>K84*$D$43</f>
        <v/>
      </c>
      <c r="L97" s="18">
        <f>L84*$D$43</f>
        <v/>
      </c>
      <c r="M97" s="18">
        <f>M84*$D$43</f>
        <v/>
      </c>
      <c r="N97" s="18">
        <f>N84*$D$43</f>
        <v/>
      </c>
    </row>
    <row r="98">
      <c r="A98" s="5" t="inlineStr">
        <is>
          <t>Scheduled Principal</t>
        </is>
      </c>
      <c r="B98" s="6" t="inlineStr">
        <is>
          <t>$mm</t>
        </is>
      </c>
      <c r="C98" s="6" t="inlineStr">
        <is>
          <t>MIN(Sched, Beg Bal)</t>
        </is>
      </c>
      <c r="E98" s="18">
        <f>MIN($D$59,E84)</f>
        <v/>
      </c>
      <c r="F98" s="18">
        <f>MIN($D$59,F84)</f>
        <v/>
      </c>
      <c r="G98" s="18">
        <f>MIN($D$59,G84)</f>
        <v/>
      </c>
      <c r="H98" s="18">
        <f>MIN($D$59,H84)</f>
        <v/>
      </c>
      <c r="I98" s="18">
        <f>MIN($D$59,I84)</f>
        <v/>
      </c>
      <c r="J98" s="18">
        <f>MIN($D$59,J84)</f>
        <v/>
      </c>
      <c r="K98" s="18">
        <f>MIN($D$59,K84)</f>
        <v/>
      </c>
      <c r="L98" s="18">
        <f>MIN($D$59,L84)</f>
        <v/>
      </c>
      <c r="M98" s="18">
        <f>MIN($D$59,M84)</f>
        <v/>
      </c>
      <c r="N98" s="18">
        <f>MIN($D$59,N84)</f>
        <v/>
      </c>
    </row>
    <row r="99">
      <c r="A99" s="5" t="inlineStr">
        <is>
          <t>Debt Service (Pre-Sweep)</t>
        </is>
      </c>
      <c r="B99" s="6" t="inlineStr">
        <is>
          <t>$mm</t>
        </is>
      </c>
      <c r="C99" s="6" t="inlineStr">
        <is>
          <t>Interest + Sched Prin</t>
        </is>
      </c>
      <c r="E99" s="18">
        <f>E85+E86</f>
        <v/>
      </c>
      <c r="F99" s="18">
        <f>F85+F86</f>
        <v/>
      </c>
      <c r="G99" s="18">
        <f>G85+G86</f>
        <v/>
      </c>
      <c r="H99" s="18">
        <f>H85+H86</f>
        <v/>
      </c>
      <c r="I99" s="18">
        <f>I85+I86</f>
        <v/>
      </c>
      <c r="J99" s="18">
        <f>J85+J86</f>
        <v/>
      </c>
      <c r="K99" s="18">
        <f>K85+K86</f>
        <v/>
      </c>
      <c r="L99" s="18">
        <f>L85+L86</f>
        <v/>
      </c>
      <c r="M99" s="18">
        <f>M85+M86</f>
        <v/>
      </c>
      <c r="N99" s="18">
        <f>N85+N86</f>
        <v/>
      </c>
    </row>
    <row r="100">
      <c r="A100" s="5" t="inlineStr">
        <is>
          <t>Excess Cash</t>
        </is>
      </c>
      <c r="B100" s="6" t="inlineStr">
        <is>
          <t>$mm</t>
        </is>
      </c>
      <c r="C100" s="6" t="inlineStr">
        <is>
          <t>CFADS - DS - DSRA Funding</t>
        </is>
      </c>
      <c r="E100" s="18">
        <f>MAX(0,E81-E87-E97)</f>
        <v/>
      </c>
      <c r="F100" s="18">
        <f>MAX(0,F81-F87-F97)</f>
        <v/>
      </c>
      <c r="G100" s="18">
        <f>MAX(0,G81-G87-G97)</f>
        <v/>
      </c>
      <c r="H100" s="18">
        <f>MAX(0,H81-H87-H97)</f>
        <v/>
      </c>
      <c r="I100" s="18">
        <f>MAX(0,I81-I87-I97)</f>
        <v/>
      </c>
      <c r="J100" s="18">
        <f>MAX(0,J81-J87-J97)</f>
        <v/>
      </c>
      <c r="K100" s="18">
        <f>MAX(0,K81-K87-K97)</f>
        <v/>
      </c>
      <c r="L100" s="18">
        <f>MAX(0,L81-L87-L97)</f>
        <v/>
      </c>
      <c r="M100" s="18">
        <f>MAX(0,M81-M87-M97)</f>
        <v/>
      </c>
      <c r="N100" s="18">
        <f>MAX(0,N81-N87-N97)</f>
        <v/>
      </c>
    </row>
    <row r="101">
      <c r="A101" s="5" t="inlineStr">
        <is>
          <t>Cash Sweep</t>
        </is>
      </c>
      <c r="B101" s="6" t="inlineStr">
        <is>
          <t>$mm</t>
        </is>
      </c>
      <c r="C101" s="6" t="inlineStr">
        <is>
          <t>MIN(Excess×50%, Beg-Sched)</t>
        </is>
      </c>
      <c r="E101" s="21">
        <f>MIN(MAX(0,E88)*$D$46,MAX(0,E84-E86))</f>
        <v/>
      </c>
      <c r="F101" s="21">
        <f>MIN(MAX(0,F88)*$D$46,MAX(0,F84-F86))</f>
        <v/>
      </c>
      <c r="G101" s="21">
        <f>MIN(MAX(0,G88)*$D$46,MAX(0,G84-G86))</f>
        <v/>
      </c>
      <c r="H101" s="21">
        <f>MIN(MAX(0,H88)*$D$46,MAX(0,H84-H86))</f>
        <v/>
      </c>
      <c r="I101" s="21">
        <f>MIN(MAX(0,I88)*$D$46,MAX(0,I84-I86))</f>
        <v/>
      </c>
      <c r="J101" s="21">
        <f>MIN(MAX(0,J88)*$D$46,MAX(0,J84-J86))</f>
        <v/>
      </c>
      <c r="K101" s="21">
        <f>MIN(MAX(0,K88)*$D$46,MAX(0,K84-K86))</f>
        <v/>
      </c>
      <c r="L101" s="21">
        <f>MIN(MAX(0,L88)*$D$46,MAX(0,L84-L86))</f>
        <v/>
      </c>
      <c r="M101" s="21">
        <f>MIN(MAX(0,M88)*$D$46,MAX(0,M84-M86))</f>
        <v/>
      </c>
      <c r="N101" s="21">
        <f>MIN(MAX(0,N88)*$D$46,MAX(0,N84-N86))</f>
        <v/>
      </c>
    </row>
    <row r="102">
      <c r="A102" s="5" t="inlineStr">
        <is>
          <t>Total Principal</t>
        </is>
      </c>
      <c r="B102" s="6" t="inlineStr">
        <is>
          <t>$mm</t>
        </is>
      </c>
      <c r="C102" s="6" t="inlineStr">
        <is>
          <t>Scheduled + Sweep</t>
        </is>
      </c>
      <c r="E102" s="18">
        <f>E86+E89</f>
        <v/>
      </c>
      <c r="F102" s="18">
        <f>F86+F89</f>
        <v/>
      </c>
      <c r="G102" s="18">
        <f>G86+G89</f>
        <v/>
      </c>
      <c r="H102" s="18">
        <f>H86+H89</f>
        <v/>
      </c>
      <c r="I102" s="18">
        <f>I86+I89</f>
        <v/>
      </c>
      <c r="J102" s="18">
        <f>J86+J89</f>
        <v/>
      </c>
      <c r="K102" s="18">
        <f>K86+K89</f>
        <v/>
      </c>
      <c r="L102" s="18">
        <f>L86+L89</f>
        <v/>
      </c>
      <c r="M102" s="18">
        <f>M86+M89</f>
        <v/>
      </c>
      <c r="N102" s="18">
        <f>N86+N89</f>
        <v/>
      </c>
    </row>
    <row r="103">
      <c r="A103" s="5" t="inlineStr">
        <is>
          <t>Ending Balance</t>
        </is>
      </c>
      <c r="B103" s="6" t="inlineStr">
        <is>
          <t>$mm</t>
        </is>
      </c>
      <c r="C103" s="6" t="inlineStr">
        <is>
          <t>MAX(0, Beg - Total Prin)</t>
        </is>
      </c>
      <c r="E103" s="18">
        <f>MAX(0,E84-E90)</f>
        <v/>
      </c>
      <c r="F103" s="18">
        <f>MAX(0,F84-F90)</f>
        <v/>
      </c>
      <c r="G103" s="18">
        <f>MAX(0,G84-G90)</f>
        <v/>
      </c>
      <c r="H103" s="18">
        <f>MAX(0,H84-H90)</f>
        <v/>
      </c>
      <c r="I103" s="18">
        <f>MAX(0,I84-I90)</f>
        <v/>
      </c>
      <c r="J103" s="18">
        <f>MAX(0,J84-J90)</f>
        <v/>
      </c>
      <c r="K103" s="18">
        <f>MAX(0,K84-K90)</f>
        <v/>
      </c>
      <c r="L103" s="18">
        <f>MAX(0,L84-L90)</f>
        <v/>
      </c>
      <c r="M103" s="18">
        <f>MAX(0,M84-M90)</f>
        <v/>
      </c>
      <c r="N103" s="18">
        <f>MAX(0,N84-N90)</f>
        <v/>
      </c>
    </row>
    <row r="104">
      <c r="A104" s="5" t="inlineStr">
        <is>
          <t>DSCR</t>
        </is>
      </c>
      <c r="B104" s="6" t="inlineStr">
        <is>
          <t>x</t>
        </is>
      </c>
      <c r="C104" s="6" t="inlineStr">
        <is>
          <t>CFADS / Debt Service</t>
        </is>
      </c>
      <c r="E104" s="30">
        <f>IF(E87&gt;0,E81/E87,0)</f>
        <v/>
      </c>
      <c r="F104" s="30">
        <f>IF(F87&gt;0,F81/F87,0)</f>
        <v/>
      </c>
      <c r="G104" s="30">
        <f>IF(G87&gt;0,G81/G87,0)</f>
        <v/>
      </c>
      <c r="H104" s="30">
        <f>IF(H87&gt;0,H81/H87,0)</f>
        <v/>
      </c>
      <c r="I104" s="30">
        <f>IF(I87&gt;0,I81/I87,0)</f>
        <v/>
      </c>
      <c r="J104" s="30">
        <f>IF(J87&gt;0,J81/J87,0)</f>
        <v/>
      </c>
      <c r="K104" s="30">
        <f>IF(K87&gt;0,K81/K87,0)</f>
        <v/>
      </c>
      <c r="L104" s="30">
        <f>IF(L87&gt;0,L81/L87,0)</f>
        <v/>
      </c>
      <c r="M104" s="30">
        <f>IF(M87&gt;0,M81/M87,0)</f>
        <v/>
      </c>
      <c r="N104" s="30">
        <f>IF(N87&gt;0,N81/N87,0)</f>
        <v/>
      </c>
    </row>
    <row r="105">
      <c r="A105" s="5" t="inlineStr">
        <is>
          <t>Scheduled DS (for DSRA)</t>
        </is>
      </c>
      <c r="B105" s="6" t="inlineStr">
        <is>
          <t>$mm</t>
        </is>
      </c>
      <c r="C105" s="6" t="inlineStr">
        <is>
          <t>Based on straight-line amort</t>
        </is>
      </c>
      <c r="E105" s="18">
        <f>MAX(0,$D$57-(1-1)*$D$59)*$D$43+$D$59</f>
        <v/>
      </c>
      <c r="F105" s="18">
        <f>MAX(0,$D$57-(2-1)*$D$59)*$D$43+$D$59</f>
        <v/>
      </c>
      <c r="G105" s="18">
        <f>MAX(0,$D$57-(3-1)*$D$59)*$D$43+$D$59</f>
        <v/>
      </c>
      <c r="H105" s="18">
        <f>MAX(0,$D$57-(4-1)*$D$59)*$D$43+$D$59</f>
        <v/>
      </c>
      <c r="I105" s="18">
        <f>MAX(0,$D$57-(5-1)*$D$59)*$D$43+$D$59</f>
        <v/>
      </c>
      <c r="J105" s="18">
        <f>MAX(0,$D$57-(6-1)*$D$59)*$D$43+$D$59</f>
        <v/>
      </c>
      <c r="K105" s="18">
        <f>MAX(0,$D$57-(7-1)*$D$59)*$D$43+$D$59</f>
        <v/>
      </c>
      <c r="L105" s="18">
        <f>MAX(0,$D$57-(8-1)*$D$59)*$D$43+$D$59</f>
        <v/>
      </c>
      <c r="M105" s="18">
        <f>MAX(0,$D$57-(9-1)*$D$59)*$D$43+$D$59</f>
        <v/>
      </c>
      <c r="N105" s="18">
        <f>MAX(0,$D$57-(10-1)*$D$59)*$D$43+$D$59</f>
        <v/>
      </c>
    </row>
    <row r="106">
      <c r="A106" s="3" t="inlineStr">
        <is>
          <t>DSRA (Debt Service Reserve Account)</t>
        </is>
      </c>
      <c r="B106" s="4" t="n"/>
      <c r="C106" s="4" t="n"/>
      <c r="D106" s="4" t="n"/>
      <c r="E106" s="4" t="n"/>
      <c r="F106" s="4" t="n"/>
      <c r="G106" s="4" t="n"/>
      <c r="H106" s="4" t="n"/>
      <c r="I106" s="4" t="n"/>
      <c r="J106" s="4" t="n"/>
      <c r="K106" s="4" t="n"/>
      <c r="L106" s="4" t="n"/>
      <c r="M106" s="4" t="n"/>
      <c r="N106" s="4" t="n"/>
    </row>
    <row r="107">
      <c r="A107" s="5" t="inlineStr">
        <is>
          <t>DSRA Target</t>
        </is>
      </c>
      <c r="B107" s="6" t="inlineStr">
        <is>
          <t>$mm</t>
        </is>
      </c>
      <c r="C107" s="6" t="inlineStr">
        <is>
          <t>Next Yr Scheduled DS × DSRA Months / 12</t>
        </is>
      </c>
      <c r="D107" s="18">
        <f>E93*$D$45/12</f>
        <v/>
      </c>
      <c r="E107" s="18">
        <f>F93*$D$45/12</f>
        <v/>
      </c>
      <c r="F107" s="18">
        <f>G93*$D$45/12</f>
        <v/>
      </c>
      <c r="G107" s="18">
        <f>H93*$D$45/12</f>
        <v/>
      </c>
      <c r="H107" s="18">
        <f>I93*$D$45/12</f>
        <v/>
      </c>
      <c r="I107" s="18">
        <f>J93*$D$45/12</f>
        <v/>
      </c>
      <c r="J107" s="18">
        <f>K93*$D$45/12</f>
        <v/>
      </c>
      <c r="K107" s="18">
        <f>L93*$D$45/12</f>
        <v/>
      </c>
      <c r="L107" s="18">
        <f>M93*$D$45/12</f>
        <v/>
      </c>
      <c r="M107" s="18">
        <f>N93*$D$45/12</f>
        <v/>
      </c>
      <c r="N107" s="18">
        <f>0</f>
        <v/>
      </c>
    </row>
    <row r="108">
      <c r="A108" s="5" t="inlineStr">
        <is>
          <t>DSRA Beginning</t>
        </is>
      </c>
      <c r="B108" s="6" t="inlineStr">
        <is>
          <t>$mm</t>
        </is>
      </c>
      <c r="C108" s="6" t="inlineStr"/>
      <c r="D108" s="18">
        <f>0</f>
        <v/>
      </c>
      <c r="E108" s="18">
        <f>D98</f>
        <v/>
      </c>
      <c r="F108" s="18">
        <f>E98</f>
        <v/>
      </c>
      <c r="G108" s="18">
        <f>F98</f>
        <v/>
      </c>
      <c r="H108" s="18">
        <f>G98</f>
        <v/>
      </c>
      <c r="I108" s="18">
        <f>H98</f>
        <v/>
      </c>
      <c r="J108" s="18">
        <f>I98</f>
        <v/>
      </c>
      <c r="K108" s="18">
        <f>J98</f>
        <v/>
      </c>
      <c r="L108" s="18">
        <f>K98</f>
        <v/>
      </c>
      <c r="M108" s="18">
        <f>L98</f>
        <v/>
      </c>
      <c r="N108" s="18">
        <f>M98</f>
        <v/>
      </c>
    </row>
    <row r="109">
      <c r="A109" s="5" t="inlineStr">
        <is>
          <t>DSRA Funding/(Release)</t>
        </is>
      </c>
      <c r="B109" s="6" t="inlineStr">
        <is>
          <t>$mm</t>
        </is>
      </c>
      <c r="C109" s="6" t="inlineStr">
        <is>
          <t>Target - Beginning</t>
        </is>
      </c>
      <c r="D109" s="18">
        <f>D95-D96</f>
        <v/>
      </c>
      <c r="E109" s="18">
        <f>E95-E96</f>
        <v/>
      </c>
      <c r="F109" s="18">
        <f>F95-F96</f>
        <v/>
      </c>
      <c r="G109" s="18">
        <f>G95-G96</f>
        <v/>
      </c>
      <c r="H109" s="18">
        <f>H95-H96</f>
        <v/>
      </c>
      <c r="I109" s="18">
        <f>I95-I96</f>
        <v/>
      </c>
      <c r="J109" s="18">
        <f>J95-J96</f>
        <v/>
      </c>
      <c r="K109" s="18">
        <f>K95-K96</f>
        <v/>
      </c>
      <c r="L109" s="18">
        <f>L95-L96</f>
        <v/>
      </c>
      <c r="M109" s="18">
        <f>M95-M96</f>
        <v/>
      </c>
      <c r="N109" s="18">
        <f>N95-N96</f>
        <v/>
      </c>
    </row>
    <row r="110">
      <c r="A110" s="5" t="inlineStr">
        <is>
          <t>DSRA Ending</t>
        </is>
      </c>
      <c r="B110" s="6" t="inlineStr">
        <is>
          <t>$mm</t>
        </is>
      </c>
      <c r="C110" s="6" t="inlineStr">
        <is>
          <t>Beginning + Funding</t>
        </is>
      </c>
      <c r="D110" s="18">
        <f>D96+D97</f>
        <v/>
      </c>
      <c r="E110" s="18">
        <f>E96+E97</f>
        <v/>
      </c>
      <c r="F110" s="18">
        <f>F96+F97</f>
        <v/>
      </c>
      <c r="G110" s="18">
        <f>G96+G97</f>
        <v/>
      </c>
      <c r="H110" s="18">
        <f>H96+H97</f>
        <v/>
      </c>
      <c r="I110" s="18">
        <f>I96+I97</f>
        <v/>
      </c>
      <c r="J110" s="18">
        <f>J96+J97</f>
        <v/>
      </c>
      <c r="K110" s="18">
        <f>K96+K97</f>
        <v/>
      </c>
      <c r="L110" s="18">
        <f>L96+L97</f>
        <v/>
      </c>
      <c r="M110" s="18">
        <f>M96+M97</f>
        <v/>
      </c>
      <c r="N110" s="18">
        <f>N96+N97</f>
        <v/>
      </c>
    </row>
    <row r="111"/>
    <row r="112">
      <c r="A112" s="3" t="inlineStr">
        <is>
          <t>DISTRIBUTION WATERFALL</t>
        </is>
      </c>
      <c r="B112" s="4" t="n"/>
      <c r="C112" s="4" t="n"/>
      <c r="D112" s="4" t="n"/>
      <c r="E112" s="4" t="n"/>
      <c r="F112" s="4" t="n"/>
      <c r="G112" s="4" t="n"/>
      <c r="H112" s="4" t="n"/>
      <c r="I112" s="4" t="n"/>
      <c r="J112" s="4" t="n"/>
      <c r="K112" s="4" t="n"/>
      <c r="L112" s="4" t="n"/>
      <c r="M112" s="4" t="n"/>
      <c r="N112" s="4" t="n"/>
    </row>
    <row r="113">
      <c r="A113" s="5" t="inlineStr">
        <is>
          <t>Cash Available for Distribution</t>
        </is>
      </c>
      <c r="B113" s="6" t="inlineStr">
        <is>
          <t>$mm</t>
        </is>
      </c>
      <c r="C113" s="6" t="inlineStr">
        <is>
          <t>CFADS - Total DS - DSRA Fund</t>
        </is>
      </c>
      <c r="E113" s="18">
        <f>E81-(E85+E90)-E97</f>
        <v/>
      </c>
      <c r="F113" s="18">
        <f>F81-(F85+F90)-F97</f>
        <v/>
      </c>
      <c r="G113" s="18">
        <f>G81-(G85+G90)-G97</f>
        <v/>
      </c>
      <c r="H113" s="18">
        <f>H81-(H85+H90)-H97</f>
        <v/>
      </c>
      <c r="I113" s="18">
        <f>I81-(I85+I90)-I97</f>
        <v/>
      </c>
      <c r="J113" s="18">
        <f>J81-(J85+J90)-J97</f>
        <v/>
      </c>
      <c r="K113" s="18">
        <f>K81-(K85+K90)-K97</f>
        <v/>
      </c>
      <c r="L113" s="18">
        <f>L81-(L85+L90)-L97</f>
        <v/>
      </c>
      <c r="M113" s="18">
        <f>M81-(M85+M90)-M97</f>
        <v/>
      </c>
      <c r="N113" s="18">
        <f>N81-(N85+N90)-N97</f>
        <v/>
      </c>
    </row>
    <row r="114">
      <c r="A114" s="5" t="inlineStr">
        <is>
          <t>Lock-up Test</t>
        </is>
      </c>
      <c r="B114" s="6" t="inlineStr"/>
      <c r="C114" s="6" t="inlineStr">
        <is>
          <t>PASS if DSCR ≥ Lock-up</t>
        </is>
      </c>
      <c r="E114" s="22">
        <f>IF(E92&gt;=$D$47,"PASS","LOCKED")</f>
        <v/>
      </c>
      <c r="F114" s="22">
        <f>IF(F92&gt;=$D$47,"PASS","LOCKED")</f>
        <v/>
      </c>
      <c r="G114" s="22">
        <f>IF(G92&gt;=$D$47,"PASS","LOCKED")</f>
        <v/>
      </c>
      <c r="H114" s="22">
        <f>IF(H92&gt;=$D$47,"PASS","LOCKED")</f>
        <v/>
      </c>
      <c r="I114" s="22">
        <f>IF(I92&gt;=$D$47,"PASS","LOCKED")</f>
        <v/>
      </c>
      <c r="J114" s="22">
        <f>IF(J92&gt;=$D$47,"PASS","LOCKED")</f>
        <v/>
      </c>
      <c r="K114" s="22">
        <f>IF(K92&gt;=$D$47,"PASS","LOCKED")</f>
        <v/>
      </c>
      <c r="L114" s="22">
        <f>IF(L92&gt;=$D$47,"PASS","LOCKED")</f>
        <v/>
      </c>
      <c r="M114" s="22">
        <f>IF(M92&gt;=$D$47,"PASS","LOCKED")</f>
        <v/>
      </c>
      <c r="N114" s="22">
        <f>IF(N92&gt;=$D$47,"PASS","LOCKED")</f>
        <v/>
      </c>
    </row>
    <row r="115">
      <c r="A115" s="5" t="inlineStr">
        <is>
          <t>Distributable Cash</t>
        </is>
      </c>
      <c r="B115" s="6" t="inlineStr">
        <is>
          <t>$mm</t>
        </is>
      </c>
      <c r="C115" s="6" t="inlineStr">
        <is>
          <t>If PASS, MAX(0, Cash Avail)</t>
        </is>
      </c>
      <c r="E115" s="7">
        <f>IF(E102="PASS",MAX(0,E101),0)</f>
        <v/>
      </c>
      <c r="F115" s="7">
        <f>IF(F102="PASS",MAX(0,F101),0)</f>
        <v/>
      </c>
      <c r="G115" s="7">
        <f>IF(G102="PASS",MAX(0,G101),0)</f>
        <v/>
      </c>
      <c r="H115" s="7">
        <f>IF(H102="PASS",MAX(0,H101),0)</f>
        <v/>
      </c>
      <c r="I115" s="7">
        <f>IF(I102="PASS",MAX(0,I101),0)</f>
        <v/>
      </c>
      <c r="J115" s="7">
        <f>IF(J102="PASS",MAX(0,J101),0)</f>
        <v/>
      </c>
      <c r="K115" s="7">
        <f>IF(K102="PASS",MAX(0,K101),0)</f>
        <v/>
      </c>
      <c r="L115" s="7">
        <f>IF(L102="PASS",MAX(0,L101),0)</f>
        <v/>
      </c>
      <c r="M115" s="7">
        <f>IF(M102="PASS",MAX(0,M101),0)</f>
        <v/>
      </c>
      <c r="N115" s="7">
        <f>IF(N102="PASS",MAX(0,N101),0)</f>
        <v/>
      </c>
    </row>
    <row r="116"/>
    <row r="117">
      <c r="A117" s="3" t="inlineStr">
        <is>
          <t>SOURCES &amp; USES (Year 0)</t>
        </is>
      </c>
      <c r="B117" s="4" t="n"/>
      <c r="C117" s="4" t="n"/>
      <c r="D117" s="4" t="n"/>
      <c r="E117" s="4" t="n"/>
      <c r="F117" s="4" t="n"/>
      <c r="G117" s="4" t="n"/>
      <c r="H117" s="4" t="n"/>
      <c r="I117" s="4" t="n"/>
      <c r="J117" s="4" t="n"/>
      <c r="K117" s="4" t="n"/>
      <c r="L117" s="4" t="n"/>
      <c r="M117" s="4" t="n"/>
      <c r="N117" s="4" t="n"/>
    </row>
    <row r="118">
      <c r="A118" s="23" t="inlineStr">
        <is>
          <t>USES</t>
        </is>
      </c>
      <c r="B118" s="6" t="inlineStr"/>
      <c r="C118" s="6" t="inlineStr"/>
    </row>
    <row r="119">
      <c r="A119" s="5" t="inlineStr">
        <is>
          <t xml:space="preserve">  Purchase Price</t>
        </is>
      </c>
      <c r="B119" s="6" t="inlineStr">
        <is>
          <t>$mm</t>
        </is>
      </c>
      <c r="C119" s="6" t="inlineStr"/>
      <c r="D119" s="18">
        <f>$D$17</f>
        <v/>
      </c>
    </row>
    <row r="120">
      <c r="A120" s="5" t="inlineStr">
        <is>
          <t xml:space="preserve">  Transaction Fees</t>
        </is>
      </c>
      <c r="B120" s="6" t="inlineStr">
        <is>
          <t>$mm</t>
        </is>
      </c>
      <c r="C120" s="6" t="inlineStr"/>
      <c r="D120" s="18">
        <f>$D$17*$D$18</f>
        <v/>
      </c>
    </row>
    <row r="121">
      <c r="A121" s="5" t="inlineStr">
        <is>
          <t xml:space="preserve">  DSRA Funding</t>
        </is>
      </c>
      <c r="B121" s="6" t="inlineStr">
        <is>
          <t>$mm</t>
        </is>
      </c>
      <c r="C121" s="6" t="inlineStr"/>
      <c r="D121" s="18">
        <f>D95</f>
        <v/>
      </c>
    </row>
    <row r="122">
      <c r="A122" s="38" t="inlineStr">
        <is>
          <t>─────────── PROJECT FINANCE COVERAGE ───────────</t>
        </is>
      </c>
    </row>
    <row r="123">
      <c r="A123" t="inlineStr">
        <is>
          <t>LLCR (Loan Life Coverage)</t>
        </is>
      </c>
      <c r="B123" t="inlineStr">
        <is>
          <t>x</t>
        </is>
      </c>
      <c r="C123" t="inlineStr">
        <is>
          <t>[WHAT] NPV(CFADS over loan life) / Debt; [WHY] Total debt capacity</t>
        </is>
      </c>
      <c r="D123" s="46">
        <f>NPV(D45,E82:K82)/D100</f>
        <v/>
      </c>
    </row>
    <row r="124">
      <c r="A124" t="inlineStr">
        <is>
          <t>PLCR (Project Life Coverage)</t>
        </is>
      </c>
      <c r="B124" t="inlineStr">
        <is>
          <t>x</t>
        </is>
      </c>
      <c r="C124" t="inlineStr">
        <is>
          <t>[WHAT] NPV(CFADS over project life) / Debt; [WHY] Full asset capacity</t>
        </is>
      </c>
      <c r="D124" s="46">
        <f>NPV(D45,E82:N82)/D100</f>
        <v/>
      </c>
    </row>
    <row r="125">
      <c r="A125" t="inlineStr">
        <is>
          <t>─────────────────────────────────────────────────</t>
        </is>
      </c>
    </row>
    <row r="126"/>
    <row r="127"/>
    <row r="128">
      <c r="A128" s="5" t="inlineStr">
        <is>
          <t>Total Uses</t>
        </is>
      </c>
      <c r="B128" s="6" t="inlineStr">
        <is>
          <t>$mm</t>
        </is>
      </c>
      <c r="C128" s="6" t="inlineStr"/>
      <c r="D128" s="7">
        <f>D107+D108+D109</f>
        <v/>
      </c>
    </row>
    <row r="129"/>
    <row r="130">
      <c r="A130" s="23" t="inlineStr">
        <is>
          <t>SOURCES</t>
        </is>
      </c>
      <c r="B130" s="6" t="inlineStr"/>
      <c r="C130" s="6" t="inlineStr"/>
    </row>
    <row r="131">
      <c r="A131" s="5" t="inlineStr">
        <is>
          <t xml:space="preserve">  Debt</t>
        </is>
      </c>
      <c r="B131" s="6" t="inlineStr">
        <is>
          <t>$mm</t>
        </is>
      </c>
      <c r="C131" s="6" t="inlineStr"/>
      <c r="D131" s="18">
        <f>$D$57</f>
        <v/>
      </c>
    </row>
    <row r="132">
      <c r="A132" s="5" t="inlineStr">
        <is>
          <t xml:space="preserve">  Equity</t>
        </is>
      </c>
      <c r="B132" s="6" t="inlineStr">
        <is>
          <t>$mm</t>
        </is>
      </c>
      <c r="C132" s="6" t="inlineStr">
        <is>
          <t>Plug to balance</t>
        </is>
      </c>
      <c r="D132" s="18">
        <f>D110-D113</f>
        <v/>
      </c>
    </row>
    <row r="133">
      <c r="A133" s="5" t="inlineStr">
        <is>
          <t>Total Sources</t>
        </is>
      </c>
      <c r="B133" s="6" t="inlineStr">
        <is>
          <t>$mm</t>
        </is>
      </c>
      <c r="C133" s="6" t="inlineStr"/>
      <c r="D133" s="7">
        <f>D113+D114</f>
        <v/>
      </c>
    </row>
    <row r="134">
      <c r="A134" s="5" t="inlineStr">
        <is>
          <t>Balance Check</t>
        </is>
      </c>
      <c r="B134" s="6" t="inlineStr"/>
      <c r="C134" s="6" t="inlineStr"/>
      <c r="D134" s="10">
        <f>IF(ABS(D110-D115)&lt;0.01,"PASS","FAIL")</f>
        <v/>
      </c>
    </row>
    <row r="135"/>
    <row r="136">
      <c r="A136" s="3" t="inlineStr">
        <is>
          <t>EXIT CALCULATIONS</t>
        </is>
      </c>
      <c r="B136" s="4" t="n"/>
      <c r="C136" s="4" t="n"/>
      <c r="D136" s="4" t="n"/>
      <c r="E136" s="4" t="n"/>
      <c r="F136" s="4" t="n"/>
      <c r="G136" s="4" t="n"/>
      <c r="H136" s="4" t="n"/>
      <c r="I136" s="4" t="n"/>
      <c r="J136" s="4" t="n"/>
      <c r="K136" s="4" t="n"/>
      <c r="L136" s="4" t="n"/>
      <c r="M136" s="4" t="n"/>
      <c r="N136" s="4" t="n"/>
    </row>
    <row r="137">
      <c r="A137" s="5" t="inlineStr">
        <is>
          <t>Exit EV</t>
        </is>
      </c>
      <c r="B137" s="6" t="inlineStr">
        <is>
          <t>$mm</t>
        </is>
      </c>
      <c r="C137" s="6" t="inlineStr">
        <is>
          <t>Exit Multiple × Exit Yr EBITDA</t>
        </is>
      </c>
      <c r="K137" s="18">
        <f>$D$19*K75</f>
        <v/>
      </c>
    </row>
    <row r="138">
      <c r="A138" s="5" t="inlineStr">
        <is>
          <t>Exit Debt Payoff</t>
        </is>
      </c>
      <c r="B138" s="6" t="inlineStr">
        <is>
          <t>$mm</t>
        </is>
      </c>
      <c r="C138" s="6" t="inlineStr">
        <is>
          <t>Ending Bal at Exit</t>
        </is>
      </c>
      <c r="K138" s="18">
        <f>K91</f>
        <v/>
      </c>
    </row>
    <row r="139">
      <c r="A139" s="5" t="inlineStr">
        <is>
          <t>DSRA Release</t>
        </is>
      </c>
      <c r="B139" s="6" t="inlineStr">
        <is>
          <t>$mm</t>
        </is>
      </c>
      <c r="C139" s="6" t="inlineStr">
        <is>
          <t>DSRA Ending at Exit</t>
        </is>
      </c>
      <c r="K139" s="18">
        <f>K98</f>
        <v/>
      </c>
    </row>
    <row r="140">
      <c r="A140" s="5" t="inlineStr">
        <is>
          <t>Exit Equity Proceeds</t>
        </is>
      </c>
      <c r="B140" s="6" t="inlineStr">
        <is>
          <t>$mm</t>
        </is>
      </c>
      <c r="C140" s="6" t="inlineStr">
        <is>
          <t>Exit EV - Debt + DSRA</t>
        </is>
      </c>
      <c r="K140" s="7">
        <f>K119-K120+K121</f>
        <v/>
      </c>
    </row>
    <row r="141"/>
    <row r="142">
      <c r="A142" s="3" t="inlineStr">
        <is>
          <t>EQUITY RETURNS</t>
        </is>
      </c>
      <c r="B142" s="4" t="n"/>
      <c r="C142" s="4" t="n"/>
      <c r="D142" s="4" t="n"/>
      <c r="E142" s="4" t="n"/>
      <c r="F142" s="4" t="n"/>
      <c r="G142" s="4" t="n"/>
      <c r="H142" s="4" t="n"/>
      <c r="I142" s="4" t="n"/>
      <c r="J142" s="4" t="n"/>
      <c r="K142" s="4" t="n"/>
      <c r="L142" s="4" t="n"/>
      <c r="M142" s="4" t="n"/>
      <c r="N142" s="4" t="n"/>
    </row>
    <row r="143">
      <c r="A143" s="5" t="inlineStr">
        <is>
          <t>Equity Cash Flow</t>
        </is>
      </c>
      <c r="B143" s="6" t="inlineStr">
        <is>
          <t>$mm</t>
        </is>
      </c>
      <c r="C143" s="6" t="inlineStr"/>
      <c r="D143" s="18">
        <f>-D114</f>
        <v/>
      </c>
      <c r="E143" s="18">
        <f>E103</f>
        <v/>
      </c>
      <c r="F143" s="18">
        <f>F103</f>
        <v/>
      </c>
      <c r="G143" s="18">
        <f>G103</f>
        <v/>
      </c>
      <c r="H143" s="18">
        <f>H103</f>
        <v/>
      </c>
      <c r="I143" s="18">
        <f>I103</f>
        <v/>
      </c>
      <c r="J143" s="18">
        <f>J103</f>
        <v/>
      </c>
      <c r="K143" s="18">
        <f>K103+K122</f>
        <v/>
      </c>
      <c r="L143" s="18">
        <f>0</f>
        <v/>
      </c>
      <c r="M143" s="18">
        <f>0</f>
        <v/>
      </c>
      <c r="N143" s="18">
        <f>0</f>
        <v/>
      </c>
    </row>
    <row r="144">
      <c r="A144" s="5" t="inlineStr">
        <is>
          <t>Levered IRR</t>
        </is>
      </c>
      <c r="B144" s="6" t="inlineStr">
        <is>
          <t>%</t>
        </is>
      </c>
      <c r="C144" s="6" t="inlineStr"/>
      <c r="D144" s="31">
        <f>IRR(D125:K125)</f>
        <v/>
      </c>
    </row>
    <row r="145">
      <c r="A145" s="5" t="inlineStr">
        <is>
          <t>MOIC</t>
        </is>
      </c>
      <c r="B145" s="6" t="inlineStr">
        <is>
          <t>x</t>
        </is>
      </c>
      <c r="C145" s="6" t="inlineStr">
        <is>
          <t>Sum inflows / outflow</t>
        </is>
      </c>
      <c r="D145" s="30">
        <f>SUMIF(D125:K125,"&gt;0")/ABS(D125)</f>
        <v/>
      </c>
    </row>
    <row r="146"/>
    <row r="147">
      <c r="A147" s="23" t="inlineStr">
        <is>
          <t>Unlevered Returns (for reference)</t>
        </is>
      </c>
      <c r="B147" s="6" t="inlineStr"/>
      <c r="C147" s="6" t="inlineStr"/>
    </row>
    <row r="148">
      <c r="A148" s="5" t="inlineStr">
        <is>
          <t>Unlevered Cash Flow</t>
        </is>
      </c>
      <c r="B148" s="6" t="inlineStr">
        <is>
          <t>$mm</t>
        </is>
      </c>
      <c r="C148" s="6" t="inlineStr"/>
      <c r="D148" s="18">
        <f>-$D$17-D108</f>
        <v/>
      </c>
      <c r="E148" s="18">
        <f>E81</f>
        <v/>
      </c>
      <c r="F148" s="18">
        <f>F81</f>
        <v/>
      </c>
      <c r="G148" s="18">
        <f>G81</f>
        <v/>
      </c>
      <c r="H148" s="18">
        <f>H81</f>
        <v/>
      </c>
      <c r="I148" s="18">
        <f>I81</f>
        <v/>
      </c>
      <c r="J148" s="18">
        <f>J81</f>
        <v/>
      </c>
      <c r="K148" s="18">
        <f>K81+K119</f>
        <v/>
      </c>
      <c r="L148" s="18">
        <f>0</f>
        <v/>
      </c>
      <c r="M148" s="18">
        <f>0</f>
        <v/>
      </c>
      <c r="N148" s="18">
        <f>0</f>
        <v/>
      </c>
    </row>
    <row r="149">
      <c r="A149" s="5" t="inlineStr">
        <is>
          <t>Unlevered IRR</t>
        </is>
      </c>
      <c r="B149" s="6" t="inlineStr">
        <is>
          <t>%</t>
        </is>
      </c>
      <c r="C149" s="6" t="inlineStr"/>
      <c r="D149" s="31">
        <f>IRR(D130:K130)</f>
        <v/>
      </c>
    </row>
    <row r="150"/>
    <row r="151"/>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2026-01-20T03:00:01Z</dcterms:created>
  <dcterms:modified xmlns:dcterms="http://purl.org/dc/terms/" xmlns:xsi="http://www.w3.org/2001/XMLSchema-instance" xsi:type="dcterms:W3CDTF">2026-01-20T22:45:39Z</dcterms:modified>
</cp:coreProperties>
</file>