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&quot;x&quot;"/>
  </numFmts>
  <fonts count="12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2"/>
    <row r="3">
      <c r="A3" s="6" t="inlineStr">
        <is>
          <t>═══ AUDIT STRIP ═══</t>
        </is>
      </c>
      <c r="M3" s="20" t="inlineStr">
        <is>
          <t>IRR Sensitivity: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0"/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3"/>
    <row r="14">
      <c r="A14" s="6" t="inlineStr">
        <is>
          <t>═══ QA CHECKS ═══</t>
        </is>
      </c>
    </row>
    <row r="15">
      <c r="A15" t="inlineStr">
        <is>
          <t>S&amp;U Balance</t>
        </is>
      </c>
      <c r="D15" s="7">
        <f>IF(ABS(D111-D116)&lt;0.01,"PASS","FAIL")</f>
        <v/>
      </c>
    </row>
    <row r="16">
      <c r="A16" t="inlineStr">
        <is>
          <t>Debt Payoff</t>
        </is>
      </c>
      <c r="D16" s="7">
        <f>IF(OFFSET(E90,0,$D$59-1)&lt;1,"PASS","FAIL")</f>
        <v/>
      </c>
    </row>
    <row r="17">
      <c r="A17" t="inlineStr">
        <is>
          <t>Min DSCR Check</t>
        </is>
      </c>
      <c r="D17" s="7">
        <f>IF(D7&gt;=1.3,"PASS","FAIL")</f>
        <v/>
      </c>
    </row>
    <row r="18"/>
    <row r="19">
      <c r="A19" s="6" t="inlineStr">
        <is>
          <t>═══════════ CONTROL PANEL ═══════════</t>
        </is>
      </c>
    </row>
    <row r="20"/>
    <row r="21">
      <c r="A21" s="13" t="inlineStr">
        <is>
          <t>REVENUE</t>
        </is>
      </c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t="inlineStr">
        <is>
          <t>Contract End Year</t>
        </is>
      </c>
      <c r="C23" t="inlineStr">
        <is>
          <t>Year PPA expires</t>
        </is>
      </c>
      <c r="D23" s="9" t="n">
        <v>12</v>
      </c>
    </row>
    <row r="24"/>
    <row r="25">
      <c r="A25" s="13" t="inlineStr">
        <is>
          <t>TIMING</t>
        </is>
      </c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t="inlineStr">
        <is>
          <t>PTC End Year</t>
        </is>
      </c>
      <c r="C27" t="inlineStr">
        <is>
          <t>Last year of PTC</t>
        </is>
      </c>
      <c r="D27" s="9" t="n">
        <v>5</v>
      </c>
    </row>
    <row r="28"/>
    <row r="29">
      <c r="A29" s="13" t="inlineStr">
        <is>
          <t>DEBT</t>
        </is>
      </c>
    </row>
    <row r="30">
      <c r="A30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1"/>
    <row r="32">
      <c r="A32" s="6" t="inlineStr">
        <is>
          <t>════════════════════════════════════</t>
        </is>
      </c>
    </row>
    <row r="33"/>
    <row r="34">
      <c r="A34" s="6" t="inlineStr">
        <is>
          <t>═══ TRANSACTION INPUTS ═══</t>
        </is>
      </c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8"/>
    <row r="39">
      <c r="A39" s="6" t="inlineStr">
        <is>
          <t>═══ ASSET INPUTS ═══</t>
        </is>
      </c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6"/>
    <row r="47">
      <c r="A47" s="6" t="inlineStr">
        <is>
          <t>═══ COST INPUTS ═══</t>
        </is>
      </c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2"/>
    <row r="53">
      <c r="A53" s="6" t="inlineStr">
        <is>
          <t>═══ TAX INPUTS ═══</t>
        </is>
      </c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8"/>
    <row r="59">
      <c r="A59" s="6" t="inlineStr">
        <is>
          <t>═══ FINANCING INPUTS ═══</t>
        </is>
      </c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5"/>
    <row r="66"/>
    <row r="67">
      <c r="A67" s="6" t="inlineStr">
        <is>
          <t>═══ OPERATING MODEL ═══</t>
        </is>
      </c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E68" s="14">
        <f>$D$37*$D$38*8760*(1-$D$39)^(1-1)</f>
        <v/>
      </c>
      <c r="F68" s="14">
        <f>$D$37*$D$38*8760*(1-$D$39)^(2-1)</f>
        <v/>
      </c>
      <c r="G68" s="14">
        <f>$D$37*$D$38*8760*(1-$D$39)^(3-1)</f>
        <v/>
      </c>
      <c r="H68" s="14">
        <f>$D$37*$D$38*8760*(1-$D$39)^(4-1)</f>
        <v/>
      </c>
      <c r="I68" s="14">
        <f>$D$37*$D$38*8760*(1-$D$39)^(5-1)</f>
        <v/>
      </c>
      <c r="J68" s="14">
        <f>$D$37*$D$38*8760*(1-$D$39)^(6-1)</f>
        <v/>
      </c>
      <c r="K68" s="14">
        <f>$D$37*$D$38*8760*(1-$D$39)^(7-1)</f>
        <v/>
      </c>
      <c r="L68" s="14">
        <f>$D$37*$D$38*8760*(1-$D$39)^(8-1)</f>
        <v/>
      </c>
      <c r="M68" s="14">
        <f>$D$37*$D$38*8760*(1-$D$39)^(9-1)</f>
        <v/>
      </c>
      <c r="N68" s="14">
        <f>$D$37*$D$38*8760*(1-$D$39)^(10-1)</f>
        <v/>
      </c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E69" s="18">
        <f>IF(1&lt;=$D$20,E65*$D$40*(1+$D$42)^(1-1)/1E6,E65*$D$41*(1+$D$42)^(1-1)/1E6)</f>
        <v/>
      </c>
      <c r="F69" s="18">
        <f>IF(2&lt;=$D$20,F65*$D$40*(1+$D$42)^(2-1)/1E6,F65*$D$41*(1+$D$42)^(2-1)/1E6)</f>
        <v/>
      </c>
      <c r="G69" s="18">
        <f>IF(3&lt;=$D$20,G65*$D$40*(1+$D$42)^(3-1)/1E6,G65*$D$41*(1+$D$42)^(3-1)/1E6)</f>
        <v/>
      </c>
      <c r="H69" s="18">
        <f>IF(4&lt;=$D$20,H65*$D$40*(1+$D$42)^(4-1)/1E6,H65*$D$41*(1+$D$42)^(4-1)/1E6)</f>
        <v/>
      </c>
      <c r="I69" s="18">
        <f>IF(5&lt;=$D$20,I65*$D$40*(1+$D$42)^(5-1)/1E6,I65*$D$41*(1+$D$42)^(5-1)/1E6)</f>
        <v/>
      </c>
      <c r="J69" s="18">
        <f>IF(6&lt;=$D$20,J65*$D$40*(1+$D$42)^(6-1)/1E6,J65*$D$41*(1+$D$42)^(6-1)/1E6)</f>
        <v/>
      </c>
      <c r="K69" s="18">
        <f>IF(7&lt;=$D$20,K65*$D$40*(1+$D$42)^(7-1)/1E6,K65*$D$41*(1+$D$42)^(7-1)/1E6)</f>
        <v/>
      </c>
      <c r="L69" s="18">
        <f>IF(8&lt;=$D$20,L65*$D$40*(1+$D$42)^(8-1)/1E6,L65*$D$41*(1+$D$42)^(8-1)/1E6)</f>
        <v/>
      </c>
      <c r="M69" s="18">
        <f>IF(9&lt;=$D$20,M65*$D$40*(1+$D$42)^(9-1)/1E6,M65*$D$41*(1+$D$42)^(9-1)/1E6)</f>
        <v/>
      </c>
      <c r="N69" s="18">
        <f>IF(10&lt;=$D$20,N65*$D$40*(1+$D$42)^(10-1)/1E6,N65*$D$41*(1+$D$42)^(10-1)/1E6)</f>
        <v/>
      </c>
    </row>
    <row r="70"/>
    <row r="71">
      <c r="A71" t="inlineStr">
        <is>
          <t>O&amp;M Expense</t>
        </is>
      </c>
      <c r="B71" t="inlineStr">
        <is>
          <t>$mm</t>
        </is>
      </c>
      <c r="E71" s="19">
        <f>$D$45*$D$37*(1+$D$46)^(1-1)/1E6</f>
        <v/>
      </c>
      <c r="F71" s="19">
        <f>$D$45*$D$37*(1+$D$46)^(2-1)/1E6</f>
        <v/>
      </c>
      <c r="G71" s="19">
        <f>$D$45*$D$37*(1+$D$46)^(3-1)/1E6</f>
        <v/>
      </c>
      <c r="H71" s="19">
        <f>$D$45*$D$37*(1+$D$46)^(4-1)/1E6</f>
        <v/>
      </c>
      <c r="I71" s="19">
        <f>$D$45*$D$37*(1+$D$46)^(5-1)/1E6</f>
        <v/>
      </c>
      <c r="J71" s="19">
        <f>$D$45*$D$37*(1+$D$46)^(6-1)/1E6</f>
        <v/>
      </c>
      <c r="K71" s="19">
        <f>$D$45*$D$37*(1+$D$46)^(7-1)/1E6</f>
        <v/>
      </c>
      <c r="L71" s="19">
        <f>$D$45*$D$37*(1+$D$46)^(8-1)/1E6</f>
        <v/>
      </c>
      <c r="M71" s="19">
        <f>$D$45*$D$37*(1+$D$46)^(9-1)/1E6</f>
        <v/>
      </c>
      <c r="N71" s="19">
        <f>$D$45*$D$37*(1+$D$46)^(10-1)/1E6</f>
        <v/>
      </c>
    </row>
    <row r="72">
      <c r="A72" t="inlineStr">
        <is>
          <t>Land Lease</t>
        </is>
      </c>
      <c r="B72" t="inlineStr">
        <is>
          <t>$mm</t>
        </is>
      </c>
      <c r="E72" s="19">
        <f>$D$47</f>
        <v/>
      </c>
      <c r="F72" s="19">
        <f>$D$47</f>
        <v/>
      </c>
      <c r="G72" s="19">
        <f>$D$47</f>
        <v/>
      </c>
      <c r="H72" s="19">
        <f>$D$47</f>
        <v/>
      </c>
      <c r="I72" s="19">
        <f>$D$47</f>
        <v/>
      </c>
      <c r="J72" s="19">
        <f>$D$47</f>
        <v/>
      </c>
      <c r="K72" s="19">
        <f>$D$47</f>
        <v/>
      </c>
      <c r="L72" s="19">
        <f>$D$47</f>
        <v/>
      </c>
      <c r="M72" s="19">
        <f>$D$47</f>
        <v/>
      </c>
      <c r="N72" s="19">
        <f>$D$47</f>
        <v/>
      </c>
    </row>
    <row r="73">
      <c r="A73" t="inlineStr">
        <is>
          <t>Insurance</t>
        </is>
      </c>
      <c r="B73" t="inlineStr">
        <is>
          <t>$mm</t>
        </is>
      </c>
      <c r="E73" s="19">
        <f>$D$32*$D$48</f>
        <v/>
      </c>
      <c r="F73" s="19">
        <f>$D$32*$D$48</f>
        <v/>
      </c>
      <c r="G73" s="19">
        <f>$D$32*$D$48</f>
        <v/>
      </c>
      <c r="H73" s="19">
        <f>$D$32*$D$48</f>
        <v/>
      </c>
      <c r="I73" s="19">
        <f>$D$32*$D$48</f>
        <v/>
      </c>
      <c r="J73" s="19">
        <f>$D$32*$D$48</f>
        <v/>
      </c>
      <c r="K73" s="19">
        <f>$D$32*$D$48</f>
        <v/>
      </c>
      <c r="L73" s="19">
        <f>$D$32*$D$48</f>
        <v/>
      </c>
      <c r="M73" s="19">
        <f>$D$32*$D$48</f>
        <v/>
      </c>
      <c r="N73" s="19">
        <f>$D$32*$D$48</f>
        <v/>
      </c>
    </row>
    <row r="74">
      <c r="A74" s="5" t="inlineStr">
        <is>
          <t>EBITDA</t>
        </is>
      </c>
      <c r="B74" t="inlineStr">
        <is>
          <t>$mm</t>
        </is>
      </c>
      <c r="E74" s="18">
        <f>E66-E68-E69-E70</f>
        <v/>
      </c>
      <c r="F74" s="18">
        <f>F66-F68-F69-F70</f>
        <v/>
      </c>
      <c r="G74" s="18">
        <f>G66-G68-G69-G70</f>
        <v/>
      </c>
      <c r="H74" s="18">
        <f>H66-H68-H69-H70</f>
        <v/>
      </c>
      <c r="I74" s="18">
        <f>I66-I68-I69-I70</f>
        <v/>
      </c>
      <c r="J74" s="18">
        <f>J66-J68-J69-J70</f>
        <v/>
      </c>
      <c r="K74" s="18">
        <f>K66-K68-K69-K70</f>
        <v/>
      </c>
      <c r="L74" s="18">
        <f>L66-L68-L69-L70</f>
        <v/>
      </c>
      <c r="M74" s="18">
        <f>M66-M68-M69-M70</f>
        <v/>
      </c>
      <c r="N74" s="18">
        <f>N66-N68-N69-N70</f>
        <v/>
      </c>
    </row>
    <row r="75"/>
    <row r="76">
      <c r="A76" s="6" t="inlineStr">
        <is>
          <t>═══ DEPRECIATION &amp; TAX ═══</t>
        </is>
      </c>
    </row>
    <row r="77">
      <c r="A77" t="inlineStr">
        <is>
          <t>Depreciation</t>
        </is>
      </c>
      <c r="B77" t="inlineStr">
        <is>
          <t>$mm</t>
        </is>
      </c>
      <c r="E77" s="19">
        <f>IF(1&lt;=$D$54,$D$53*$D$32/$D$54,0)</f>
        <v/>
      </c>
      <c r="F77" s="19">
        <f>IF(2&lt;=$D$54,$D$53*$D$32/$D$54,0)</f>
        <v/>
      </c>
      <c r="G77" s="19">
        <f>IF(3&lt;=$D$54,$D$53*$D$32/$D$54,0)</f>
        <v/>
      </c>
      <c r="H77" s="19">
        <f>IF(4&lt;=$D$54,$D$53*$D$32/$D$54,0)</f>
        <v/>
      </c>
      <c r="I77" s="19">
        <f>IF(5&lt;=$D$54,$D$53*$D$32/$D$54,0)</f>
        <v/>
      </c>
      <c r="J77" s="19">
        <f>IF(6&lt;=$D$54,$D$53*$D$32/$D$54,0)</f>
        <v/>
      </c>
      <c r="K77" s="19">
        <f>IF(7&lt;=$D$54,$D$53*$D$32/$D$54,0)</f>
        <v/>
      </c>
      <c r="L77" s="19">
        <f>IF(8&lt;=$D$54,$D$53*$D$32/$D$54,0)</f>
        <v/>
      </c>
      <c r="M77" s="19">
        <f>IF(9&lt;=$D$54,$D$53*$D$32/$D$54,0)</f>
        <v/>
      </c>
      <c r="N77" s="19">
        <f>IF(10&lt;=$D$54,$D$53*$D$32/$D$54,0)</f>
        <v/>
      </c>
    </row>
    <row r="78">
      <c r="A78" t="inlineStr">
        <is>
          <t>EBIT</t>
        </is>
      </c>
      <c r="B78" t="inlineStr">
        <is>
          <t>$mm</t>
        </is>
      </c>
      <c r="E78" s="19">
        <f>E71-E74</f>
        <v/>
      </c>
      <c r="F78" s="19">
        <f>F71-F74</f>
        <v/>
      </c>
      <c r="G78" s="19">
        <f>G71-G74</f>
        <v/>
      </c>
      <c r="H78" s="19">
        <f>H71-H74</f>
        <v/>
      </c>
      <c r="I78" s="19">
        <f>I71-I74</f>
        <v/>
      </c>
      <c r="J78" s="19">
        <f>J71-J74</f>
        <v/>
      </c>
      <c r="K78" s="19">
        <f>K71-K74</f>
        <v/>
      </c>
      <c r="L78" s="19">
        <f>L71-L74</f>
        <v/>
      </c>
      <c r="M78" s="19">
        <f>M71-M74</f>
        <v/>
      </c>
      <c r="N78" s="19">
        <f>N71-N74</f>
        <v/>
      </c>
    </row>
    <row r="79">
      <c r="A79" t="inlineStr">
        <is>
          <t>Pre-PTC Tax</t>
        </is>
      </c>
      <c r="B79" t="inlineStr">
        <is>
          <t>$mm</t>
        </is>
      </c>
      <c r="C79" t="inlineStr">
        <is>
          <t>[WHAT] MAX(0, EBIT) × Rate</t>
        </is>
      </c>
      <c r="E79" s="19">
        <f>MAX(0,E75)*$D$51</f>
        <v/>
      </c>
      <c r="F79" s="19">
        <f>MAX(0,F75)*$D$51</f>
        <v/>
      </c>
      <c r="G79" s="19">
        <f>MAX(0,G75)*$D$51</f>
        <v/>
      </c>
      <c r="H79" s="19">
        <f>MAX(0,H75)*$D$51</f>
        <v/>
      </c>
      <c r="I79" s="19">
        <f>MAX(0,I75)*$D$51</f>
        <v/>
      </c>
      <c r="J79" s="19">
        <f>MAX(0,J75)*$D$51</f>
        <v/>
      </c>
      <c r="K79" s="19">
        <f>MAX(0,K75)*$D$51</f>
        <v/>
      </c>
      <c r="L79" s="19">
        <f>MAX(0,L75)*$D$51</f>
        <v/>
      </c>
      <c r="M79" s="19">
        <f>MAX(0,M75)*$D$51</f>
        <v/>
      </c>
      <c r="N79" s="19">
        <f>MAX(0,N75)*$D$51</f>
        <v/>
      </c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>
        <f>IF(1&lt;=$D$24,E65*$D$52/1E6,0)</f>
        <v/>
      </c>
      <c r="F80" s="19">
        <f>IF(2&lt;=$D$24,F65*$D$52/1E6,0)</f>
        <v/>
      </c>
      <c r="G80" s="19">
        <f>IF(3&lt;=$D$24,G65*$D$52/1E6,0)</f>
        <v/>
      </c>
      <c r="H80" s="19">
        <f>IF(4&lt;=$D$24,H65*$D$52/1E6,0)</f>
        <v/>
      </c>
      <c r="I80" s="19">
        <f>IF(5&lt;=$D$24,I65*$D$52/1E6,0)</f>
        <v/>
      </c>
      <c r="J80" s="19">
        <f>IF(6&lt;=$D$24,J65*$D$52/1E6,0)</f>
        <v/>
      </c>
      <c r="K80" s="19">
        <f>IF(7&lt;=$D$24,K65*$D$52/1E6,0)</f>
        <v/>
      </c>
      <c r="L80" s="19">
        <f>IF(8&lt;=$D$24,L65*$D$52/1E6,0)</f>
        <v/>
      </c>
      <c r="M80" s="19">
        <f>IF(9&lt;=$D$24,M65*$D$52/1E6,0)</f>
        <v/>
      </c>
      <c r="N80" s="19">
        <f>IF(10&lt;=$D$24,N65*$D$52/1E6,0)</f>
        <v/>
      </c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>
        <f>MIN(E77,E76)</f>
        <v/>
      </c>
      <c r="F81" s="18">
        <f>MIN(F77,F76)</f>
        <v/>
      </c>
      <c r="G81" s="18">
        <f>MIN(G77,G76)</f>
        <v/>
      </c>
      <c r="H81" s="18">
        <f>MIN(H77,H76)</f>
        <v/>
      </c>
      <c r="I81" s="18">
        <f>MIN(I77,I76)</f>
        <v/>
      </c>
      <c r="J81" s="18">
        <f>MIN(J77,J76)</f>
        <v/>
      </c>
      <c r="K81" s="18">
        <f>MIN(K77,K76)</f>
        <v/>
      </c>
      <c r="L81" s="18">
        <f>MIN(L77,L76)</f>
        <v/>
      </c>
      <c r="M81" s="18">
        <f>MIN(M77,M76)</f>
        <v/>
      </c>
      <c r="N81" s="18">
        <f>MIN(N77,N76)</f>
        <v/>
      </c>
    </row>
    <row r="82">
      <c r="A82" t="inlineStr">
        <is>
          <t>Net Taxes</t>
        </is>
      </c>
      <c r="B82" t="inlineStr">
        <is>
          <t>$mm</t>
        </is>
      </c>
      <c r="E82" s="19">
        <f>E76-E78</f>
        <v/>
      </c>
      <c r="F82" s="19">
        <f>F76-F78</f>
        <v/>
      </c>
      <c r="G82" s="19">
        <f>G76-G78</f>
        <v/>
      </c>
      <c r="H82" s="19">
        <f>H76-H78</f>
        <v/>
      </c>
      <c r="I82" s="19">
        <f>I76-I78</f>
        <v/>
      </c>
      <c r="J82" s="19">
        <f>J76-J78</f>
        <v/>
      </c>
      <c r="K82" s="19">
        <f>K76-K78</f>
        <v/>
      </c>
      <c r="L82" s="19">
        <f>L76-L78</f>
        <v/>
      </c>
      <c r="M82" s="19">
        <f>M76-M78</f>
        <v/>
      </c>
      <c r="N82" s="19">
        <f>N76-N78</f>
        <v/>
      </c>
    </row>
    <row r="83"/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18">
        <f>E71-E79</f>
        <v/>
      </c>
      <c r="F84" s="18">
        <f>F71-F79</f>
        <v/>
      </c>
      <c r="G84" s="18">
        <f>G71-G79</f>
        <v/>
      </c>
      <c r="H84" s="18">
        <f>H71-H79</f>
        <v/>
      </c>
      <c r="I84" s="18">
        <f>I71-I79</f>
        <v/>
      </c>
      <c r="J84" s="18">
        <f>J71-J79</f>
        <v/>
      </c>
      <c r="K84" s="18">
        <f>K71-K79</f>
        <v/>
      </c>
      <c r="L84" s="18">
        <f>L71-L79</f>
        <v/>
      </c>
      <c r="M84" s="18">
        <f>M71-M79</f>
        <v/>
      </c>
      <c r="N84" s="18">
        <f>N71-N79</f>
        <v/>
      </c>
    </row>
    <row r="85"/>
    <row r="86">
      <c r="A86" s="6" t="inlineStr">
        <is>
          <t>═══ DEBT SCHEDULE (Sculpted to DSCR) ═══</t>
        </is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E81/$D$60</f>
        <v/>
      </c>
      <c r="F87" s="18">
        <f>F81/$D$60</f>
        <v/>
      </c>
      <c r="G87" s="18">
        <f>G81/$D$60</f>
        <v/>
      </c>
      <c r="H87" s="18">
        <f>H81/$D$60</f>
        <v/>
      </c>
      <c r="I87" s="18">
        <f>I81/$D$60</f>
        <v/>
      </c>
      <c r="J87" s="18">
        <f>J81/$D$60</f>
        <v/>
      </c>
      <c r="K87" s="18">
        <f>K81/$D$60</f>
        <v/>
      </c>
      <c r="L87" s="18">
        <f>L81/$D$60</f>
        <v/>
      </c>
      <c r="M87" s="18">
        <f>M81/$D$60</f>
        <v/>
      </c>
      <c r="N87" s="18">
        <f>N81/$D$60</f>
        <v/>
      </c>
    </row>
    <row r="88"/>
    <row r="89">
      <c r="A89" t="inlineStr">
        <is>
          <t>Beginning Balance</t>
        </is>
      </c>
      <c r="B89" t="inlineStr">
        <is>
          <t>$mm</t>
        </is>
      </c>
      <c r="D89">
        <f>$D$32*$D$57</f>
        <v/>
      </c>
      <c r="E89" s="19">
        <f>D86</f>
        <v/>
      </c>
      <c r="F89" s="19">
        <f>E90</f>
        <v/>
      </c>
      <c r="G89" s="19">
        <f>F90</f>
        <v/>
      </c>
      <c r="H89" s="19">
        <f>G90</f>
        <v/>
      </c>
      <c r="I89" s="19">
        <f>H90</f>
        <v/>
      </c>
      <c r="J89" s="19">
        <f>I90</f>
        <v/>
      </c>
      <c r="K89" s="19">
        <f>J90</f>
        <v/>
      </c>
      <c r="L89" s="19">
        <f>K90</f>
        <v/>
      </c>
      <c r="M89" s="19">
        <f>L90</f>
        <v/>
      </c>
      <c r="N89" s="19">
        <f>M90</f>
        <v/>
      </c>
    </row>
    <row r="90">
      <c r="A90" t="inlineStr">
        <is>
          <t>Interest</t>
        </is>
      </c>
      <c r="B90" t="inlineStr">
        <is>
          <t>$mm</t>
        </is>
      </c>
      <c r="E90" s="19">
        <f>E86*$D$58</f>
        <v/>
      </c>
      <c r="F90" s="19">
        <f>F86*$D$58</f>
        <v/>
      </c>
      <c r="G90" s="19">
        <f>G86*$D$58</f>
        <v/>
      </c>
      <c r="H90" s="19">
        <f>H86*$D$58</f>
        <v/>
      </c>
      <c r="I90" s="19">
        <f>I86*$D$58</f>
        <v/>
      </c>
      <c r="J90" s="19">
        <f>J86*$D$58</f>
        <v/>
      </c>
      <c r="K90" s="19">
        <f>K86*$D$58</f>
        <v/>
      </c>
      <c r="L90" s="19">
        <f>L86*$D$58</f>
        <v/>
      </c>
      <c r="M90" s="19">
        <f>M86*$D$58</f>
        <v/>
      </c>
      <c r="N90" s="19">
        <f>N86*$D$58</f>
        <v/>
      </c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19">
        <f>MAX(0,E84-E87)</f>
        <v/>
      </c>
      <c r="F91" s="19">
        <f>MAX(0,F84-F87)</f>
        <v/>
      </c>
      <c r="G91" s="19">
        <f>MAX(0,G84-G87)</f>
        <v/>
      </c>
      <c r="H91" s="19">
        <f>MAX(0,H84-H87)</f>
        <v/>
      </c>
      <c r="I91" s="19">
        <f>MAX(0,I84-I87)</f>
        <v/>
      </c>
      <c r="J91" s="19">
        <f>MAX(0,J84-J87)</f>
        <v/>
      </c>
      <c r="K91" s="19">
        <f>MAX(0,K84-K87)</f>
        <v/>
      </c>
      <c r="L91" s="19">
        <f>MAX(0,L84-L87)</f>
        <v/>
      </c>
      <c r="M91" s="19">
        <f>MAX(0,M84-M87)</f>
        <v/>
      </c>
      <c r="N91" s="19">
        <f>MAX(0,N84-N87)</f>
        <v/>
      </c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>
        <f>MIN(E88,E86)</f>
        <v/>
      </c>
      <c r="F92" s="19">
        <f>MIN(F88,F86)</f>
        <v/>
      </c>
      <c r="G92" s="19">
        <f>MIN(G88,G86)</f>
        <v/>
      </c>
      <c r="H92" s="19">
        <f>MIN(H88,H86)</f>
        <v/>
      </c>
      <c r="I92" s="19">
        <f>MIN(I88,I86)</f>
        <v/>
      </c>
      <c r="J92" s="19">
        <f>MIN(J88,J86)</f>
        <v/>
      </c>
      <c r="K92" s="19">
        <f>MIN(K88,K86)</f>
        <v/>
      </c>
      <c r="L92" s="19">
        <f>MIN(L88,L86)</f>
        <v/>
      </c>
      <c r="M92" s="19">
        <f>MIN(M88,M86)</f>
        <v/>
      </c>
      <c r="N92" s="19">
        <f>MIN(N88,N86)</f>
        <v/>
      </c>
    </row>
    <row r="93">
      <c r="A93" t="inlineStr">
        <is>
          <t>Ending Balance</t>
        </is>
      </c>
      <c r="B93" t="inlineStr">
        <is>
          <t>$mm</t>
        </is>
      </c>
      <c r="E93" s="19">
        <f>MAX(0,E86-E89)</f>
        <v/>
      </c>
      <c r="F93" s="19">
        <f>MAX(0,F86-F89)</f>
        <v/>
      </c>
      <c r="G93" s="19">
        <f>MAX(0,G86-G89)</f>
        <v/>
      </c>
      <c r="H93" s="19">
        <f>MAX(0,H86-H89)</f>
        <v/>
      </c>
      <c r="I93" s="19">
        <f>MAX(0,I86-I89)</f>
        <v/>
      </c>
      <c r="J93" s="19">
        <f>MAX(0,J86-J89)</f>
        <v/>
      </c>
      <c r="K93" s="19">
        <f>MAX(0,K86-K89)</f>
        <v/>
      </c>
      <c r="L93" s="19">
        <f>MAX(0,L86-L89)</f>
        <v/>
      </c>
      <c r="M93" s="19">
        <f>MAX(0,M86-M89)</f>
        <v/>
      </c>
      <c r="N93" s="19">
        <f>MAX(0,N86-N89)</f>
        <v/>
      </c>
    </row>
    <row r="94"/>
    <row r="95">
      <c r="A95" t="inlineStr">
        <is>
          <t>Actual Debt Service</t>
        </is>
      </c>
      <c r="B95" t="inlineStr">
        <is>
          <t>$mm</t>
        </is>
      </c>
      <c r="E95" s="19">
        <f>E87+E89</f>
        <v/>
      </c>
      <c r="F95" s="19">
        <f>F87+F89</f>
        <v/>
      </c>
      <c r="G95" s="19">
        <f>G87+G89</f>
        <v/>
      </c>
      <c r="H95" s="19">
        <f>H87+H89</f>
        <v/>
      </c>
      <c r="I95" s="19">
        <f>I87+I89</f>
        <v/>
      </c>
      <c r="J95" s="19">
        <f>J87+J89</f>
        <v/>
      </c>
      <c r="K95" s="19">
        <f>K87+K89</f>
        <v/>
      </c>
      <c r="L95" s="19">
        <f>L87+L89</f>
        <v/>
      </c>
      <c r="M95" s="19">
        <f>M87+M89</f>
        <v/>
      </c>
      <c r="N95" s="19">
        <f>N87+N89</f>
        <v/>
      </c>
    </row>
    <row r="96">
      <c r="A96" s="5" t="inlineStr">
        <is>
          <t>DSCR</t>
        </is>
      </c>
      <c r="B96" t="inlineStr">
        <is>
          <t>x</t>
        </is>
      </c>
      <c r="E96" s="12">
        <f>IF(E92&gt;0,E81/E92,0)</f>
        <v/>
      </c>
      <c r="F96" s="12">
        <f>IF(F92&gt;0,F81/F92,0)</f>
        <v/>
      </c>
      <c r="G96" s="12">
        <f>IF(G92&gt;0,G81/G92,0)</f>
        <v/>
      </c>
      <c r="H96" s="12">
        <f>IF(H92&gt;0,H81/H92,0)</f>
        <v/>
      </c>
      <c r="I96" s="12">
        <f>IF(I92&gt;0,I81/I92,0)</f>
        <v/>
      </c>
      <c r="J96" s="12">
        <f>IF(J92&gt;0,J81/J92,0)</f>
        <v/>
      </c>
      <c r="K96" s="12">
        <f>IF(K92&gt;0,K81/K92,0)</f>
        <v/>
      </c>
      <c r="L96" s="12">
        <f>IF(L92&gt;0,L81/L92,0)</f>
        <v/>
      </c>
      <c r="M96" s="12">
        <f>IF(M92&gt;0,M81/M92,0)</f>
        <v/>
      </c>
      <c r="N96" s="12">
        <f>IF(N92&gt;0,N81/N92,0)</f>
        <v/>
      </c>
    </row>
    <row r="97">
      <c r="A97" t="inlineStr">
        <is>
          <t>DSCR Check</t>
        </is>
      </c>
      <c r="C97" t="inlineStr">
        <is>
          <t>Should equal Target (within rounding)</t>
        </is>
      </c>
      <c r="E97">
        <f>IF(E86&gt;0,IF(ABS(E93-$D$60)&lt;0.02,"✓","!"),"─")</f>
        <v/>
      </c>
      <c r="F97">
        <f>IF(F86&gt;0,IF(ABS(F93-$D$60)&lt;0.02,"✓","!"),"─")</f>
        <v/>
      </c>
      <c r="G97">
        <f>IF(G86&gt;0,IF(ABS(G93-$D$60)&lt;0.02,"✓","!"),"─")</f>
        <v/>
      </c>
      <c r="H97">
        <f>IF(H86&gt;0,IF(ABS(H93-$D$60)&lt;0.02,"✓","!"),"─")</f>
        <v/>
      </c>
      <c r="I97">
        <f>IF(I86&gt;0,IF(ABS(I93-$D$60)&lt;0.02,"✓","!"),"─")</f>
        <v/>
      </c>
      <c r="J97">
        <f>IF(J86&gt;0,IF(ABS(J93-$D$60)&lt;0.02,"✓","!"),"─")</f>
        <v/>
      </c>
      <c r="K97">
        <f>IF(K86&gt;0,IF(ABS(K93-$D$60)&lt;0.02,"✓","!"),"─")</f>
        <v/>
      </c>
      <c r="L97">
        <f>IF(L86&gt;0,IF(ABS(L93-$D$60)&lt;0.02,"✓","!"),"─")</f>
        <v/>
      </c>
      <c r="M97">
        <f>IF(M86&gt;0,IF(ABS(M93-$D$60)&lt;0.02,"✓","!"),"─")</f>
        <v/>
      </c>
      <c r="N97">
        <f>IF(N86&gt;0,IF(ABS(N93-$D$60)&lt;0.02,"✓","!"),"─")</f>
        <v/>
      </c>
    </row>
    <row r="98"/>
    <row r="99">
      <c r="A99" s="6" t="inlineStr">
        <is>
          <t>═══ DSRA ═══</t>
        </is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E100" s="19">
        <f>F92*$D$61/12</f>
        <v/>
      </c>
      <c r="F100" s="19">
        <f>G92*$D$61/12</f>
        <v/>
      </c>
      <c r="G100" s="19">
        <f>H92*$D$61/12</f>
        <v/>
      </c>
      <c r="H100" s="19">
        <f>I92*$D$61/12</f>
        <v/>
      </c>
      <c r="I100" s="19">
        <f>J92*$D$61/12</f>
        <v/>
      </c>
      <c r="J100" s="19">
        <f>K92*$D$61/12</f>
        <v/>
      </c>
      <c r="K100" s="19">
        <f>L92*$D$61/12</f>
        <v/>
      </c>
      <c r="L100" s="19">
        <f>M92*$D$61/12</f>
        <v/>
      </c>
      <c r="M100" s="19">
        <f>N92*$D$61/12</f>
        <v/>
      </c>
      <c r="N100" t="n">
        <v>0</v>
      </c>
    </row>
    <row r="101">
      <c r="A101" t="inlineStr">
        <is>
          <t>DSRA Beginning</t>
        </is>
      </c>
      <c r="B101" t="inlineStr">
        <is>
          <t>$mm</t>
        </is>
      </c>
      <c r="E101">
        <f>E97</f>
        <v/>
      </c>
      <c r="F101" s="19">
        <f>E100</f>
        <v/>
      </c>
      <c r="G101" s="19">
        <f>F100</f>
        <v/>
      </c>
      <c r="H101" s="19">
        <f>G100</f>
        <v/>
      </c>
      <c r="I101" s="19">
        <f>H100</f>
        <v/>
      </c>
      <c r="J101" s="19">
        <f>I100</f>
        <v/>
      </c>
      <c r="K101" s="19">
        <f>J100</f>
        <v/>
      </c>
      <c r="L101" s="19">
        <f>K100</f>
        <v/>
      </c>
      <c r="M101" s="19">
        <f>L100</f>
        <v/>
      </c>
      <c r="N101" s="19">
        <f>M100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E97-E98</f>
        <v/>
      </c>
      <c r="F102" s="19">
        <f>F97-F98</f>
        <v/>
      </c>
      <c r="G102" s="19">
        <f>G97-G98</f>
        <v/>
      </c>
      <c r="H102" s="19">
        <f>H97-H98</f>
        <v/>
      </c>
      <c r="I102" s="19">
        <f>I97-I98</f>
        <v/>
      </c>
      <c r="J102" s="19">
        <f>J97-J98</f>
        <v/>
      </c>
      <c r="K102" s="19">
        <f>K97-K98</f>
        <v/>
      </c>
      <c r="L102" s="19">
        <f>L97-L98</f>
        <v/>
      </c>
      <c r="M102" s="19">
        <f>M97-M98</f>
        <v/>
      </c>
      <c r="N102" s="19">
        <f>N97-N98</f>
        <v/>
      </c>
    </row>
    <row r="103">
      <c r="A103" t="inlineStr">
        <is>
          <t>DSRA Ending</t>
        </is>
      </c>
      <c r="B103" t="inlineStr">
        <is>
          <t>$mm</t>
        </is>
      </c>
      <c r="E103" s="19">
        <f>E98+E99</f>
        <v/>
      </c>
      <c r="F103" s="19">
        <f>F98+F99</f>
        <v/>
      </c>
      <c r="G103" s="19">
        <f>G98+G99</f>
        <v/>
      </c>
      <c r="H103" s="19">
        <f>H98+H99</f>
        <v/>
      </c>
      <c r="I103" s="19">
        <f>I98+I99</f>
        <v/>
      </c>
      <c r="J103" s="19">
        <f>J98+J99</f>
        <v/>
      </c>
      <c r="K103" s="19">
        <f>K98+K99</f>
        <v/>
      </c>
      <c r="L103" s="19">
        <f>L98+L99</f>
        <v/>
      </c>
      <c r="M103" s="19">
        <f>M98+M99</f>
        <v/>
      </c>
      <c r="N103" s="19">
        <f>N98+N99</f>
        <v/>
      </c>
    </row>
    <row r="104"/>
    <row r="105">
      <c r="A105" s="6" t="inlineStr">
        <is>
          <t>═══ DISTRIBUTION WATERFALL ═══</t>
        </is>
      </c>
    </row>
    <row r="106">
      <c r="A106" t="inlineStr">
        <is>
          <t>Cash Available</t>
        </is>
      </c>
      <c r="B106" t="inlineStr">
        <is>
          <t>$mm</t>
        </is>
      </c>
      <c r="E106" s="19">
        <f>E81-E92-E99</f>
        <v/>
      </c>
      <c r="F106" s="19">
        <f>F81-F92-F99</f>
        <v/>
      </c>
      <c r="G106" s="19">
        <f>G81-G92-G99</f>
        <v/>
      </c>
      <c r="H106" s="19">
        <f>H81-H92-H99</f>
        <v/>
      </c>
      <c r="I106" s="19">
        <f>I81-I92-I99</f>
        <v/>
      </c>
      <c r="J106" s="19">
        <f>J81-J92-J99</f>
        <v/>
      </c>
      <c r="K106" s="19">
        <f>K81-K92-K99</f>
        <v/>
      </c>
      <c r="L106" s="19">
        <f>L81-L92-L99</f>
        <v/>
      </c>
      <c r="M106" s="19">
        <f>M81-M92-M99</f>
        <v/>
      </c>
      <c r="N106" s="19">
        <f>N81-N92-N99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MAX(0,E103)</f>
        <v/>
      </c>
      <c r="F107" s="18">
        <f>MAX(0,F103)</f>
        <v/>
      </c>
      <c r="G107" s="18">
        <f>MAX(0,G103)</f>
        <v/>
      </c>
      <c r="H107" s="18">
        <f>MAX(0,H103)</f>
        <v/>
      </c>
      <c r="I107" s="18">
        <f>MAX(0,I103)</f>
        <v/>
      </c>
      <c r="J107" s="18">
        <f>MAX(0,J103)</f>
        <v/>
      </c>
      <c r="K107" s="18">
        <f>MAX(0,K103)</f>
        <v/>
      </c>
      <c r="L107" s="18">
        <f>MAX(0,L103)</f>
        <v/>
      </c>
      <c r="M107" s="18">
        <f>MAX(0,M103)</f>
        <v/>
      </c>
      <c r="N107" s="18">
        <f>MAX(0,N103)</f>
        <v/>
      </c>
    </row>
    <row r="108"/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$D$32</f>
        <v/>
      </c>
    </row>
    <row r="112">
      <c r="A112" t="inlineStr">
        <is>
          <t xml:space="preserve">  Transaction Fees</t>
        </is>
      </c>
      <c r="D112">
        <f>$D$32*$D$33</f>
        <v/>
      </c>
    </row>
    <row r="113">
      <c r="A113" t="inlineStr">
        <is>
          <t xml:space="preserve">  DSRA Funding</t>
        </is>
      </c>
      <c r="D113">
        <f>E97</f>
        <v/>
      </c>
    </row>
    <row r="114">
      <c r="A114" s="5" t="inlineStr">
        <is>
          <t>Total Uses</t>
        </is>
      </c>
      <c r="D114" s="7">
        <f>D108+D109+D110</f>
        <v/>
      </c>
    </row>
    <row r="115"/>
    <row r="116">
      <c r="A116" s="5" t="inlineStr">
        <is>
          <t>SOURCES</t>
        </is>
      </c>
    </row>
    <row r="117">
      <c r="A117" t="inlineStr">
        <is>
          <t xml:space="preserve">  Debt</t>
        </is>
      </c>
      <c r="D117">
        <f>D86</f>
        <v/>
      </c>
    </row>
    <row r="118">
      <c r="A118" t="inlineStr">
        <is>
          <t xml:space="preserve">  Equity</t>
        </is>
      </c>
      <c r="D118">
        <f>D111-D114</f>
        <v/>
      </c>
    </row>
    <row r="119">
      <c r="A119" s="5" t="inlineStr">
        <is>
          <t>Total Sources</t>
        </is>
      </c>
      <c r="D119" s="7">
        <f>D114+D115</f>
        <v/>
      </c>
    </row>
    <row r="120">
      <c r="A120" t="inlineStr">
        <is>
          <t>S&amp;U Balance Check</t>
        </is>
      </c>
      <c r="D120" s="7">
        <f>IF(ABS(D111-D116)&lt;0.01,"PASS","FAIL")</f>
        <v/>
      </c>
    </row>
    <row r="121"/>
    <row r="122">
      <c r="A122" s="6" t="inlineStr">
        <is>
          <t>═══ EXIT &amp; RETURNS ═══</t>
        </is>
      </c>
    </row>
    <row r="123">
      <c r="A123" t="inlineStr">
        <is>
          <t>Exit EBITDA</t>
        </is>
      </c>
      <c r="D123" s="19">
        <f>OFFSET(E71,0,$D$23-1)</f>
        <v/>
      </c>
    </row>
    <row r="124">
      <c r="A124" t="inlineStr">
        <is>
          <t>Exit EV</t>
        </is>
      </c>
      <c r="D124" s="18">
        <f>D120*$D$34</f>
        <v/>
      </c>
    </row>
    <row r="125">
      <c r="A125" t="inlineStr">
        <is>
          <t>Exit Debt Payoff</t>
        </is>
      </c>
      <c r="D125" s="19">
        <f>OFFSET(E90,0,$D$23-1)</f>
        <v/>
      </c>
    </row>
    <row r="126">
      <c r="A126" t="inlineStr">
        <is>
          <t>DSRA Release</t>
        </is>
      </c>
      <c r="D126" s="19">
        <f>OFFSET(E100,0,$D$23-1)</f>
        <v/>
      </c>
    </row>
    <row r="127">
      <c r="A127" s="5" t="inlineStr">
        <is>
          <t>Exit Equity Proceeds</t>
        </is>
      </c>
      <c r="D127" s="18">
        <f>D121-D122+D123</f>
        <v/>
      </c>
    </row>
    <row r="128"/>
    <row r="129">
      <c r="A129" t="inlineStr">
        <is>
          <t>Equity Cash Flow</t>
        </is>
      </c>
      <c r="B129" t="inlineStr">
        <is>
          <t>$mm</t>
        </is>
      </c>
      <c r="D129">
        <f>-D115</f>
        <v/>
      </c>
      <c r="E129" s="19">
        <f>E104+IF(1=$D$23,D124,0)</f>
        <v/>
      </c>
      <c r="F129" s="19">
        <f>F104+IF(2=$D$23,D124,0)</f>
        <v/>
      </c>
      <c r="G129" s="19">
        <f>G104+IF(3=$D$23,D124,0)</f>
        <v/>
      </c>
      <c r="H129" s="19">
        <f>H104+IF(4=$D$23,D124,0)</f>
        <v/>
      </c>
      <c r="I129" s="19">
        <f>I104+IF(5=$D$23,D124,0)</f>
        <v/>
      </c>
      <c r="J129" s="19">
        <f>J104+IF(6=$D$23,D124,0)</f>
        <v/>
      </c>
      <c r="K129" s="19">
        <f>K104+IF(7=$D$23,D124,0)</f>
        <v/>
      </c>
      <c r="L129" s="19">
        <f>L104+IF(8=$D$23,D124,0)</f>
        <v/>
      </c>
      <c r="M129" s="19">
        <f>M104+IF(9=$D$23,D124,0)</f>
        <v/>
      </c>
      <c r="N129" s="19">
        <f>N104+IF(10=$D$23,D124,0)</f>
        <v/>
      </c>
    </row>
    <row r="130"/>
    <row r="131">
      <c r="A131" s="5" t="inlineStr">
        <is>
          <t>Levered IRR</t>
        </is>
      </c>
      <c r="B131" t="inlineStr">
        <is>
          <t>%</t>
        </is>
      </c>
      <c r="D131" s="17">
        <f>IRR(D126:N126)</f>
        <v/>
      </c>
    </row>
    <row r="132">
      <c r="A132" s="5" t="inlineStr">
        <is>
          <t>MOIC</t>
        </is>
      </c>
      <c r="B132" t="inlineStr">
        <is>
          <t>x</t>
        </is>
      </c>
      <c r="D132" s="12">
        <f>(SUM(E126:N126))/-D126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2026-01-20T23:35:38Z</dcterms:modified>
</cp:coreProperties>
</file>