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1" authorId="0" shapeId="0">
      <text>
        <t>Mandatory prepayment from excess cash. Lenders require this for merchant assets.</t>
      </text>
    </comment>
    <comment ref="C52" authorId="0" shapeId="0">
      <text>
        <t>Debt Service Coverage Ratio. Key lender metric. Target: 1.25-1.40x.</t>
      </text>
    </comment>
    <comment ref="C72" authorId="0" shapeId="0">
      <text>
        <t>Cash earnings before financing. What is available to service debt and pay equity.</t>
      </text>
    </comment>
    <comment ref="C78" authorId="0" shapeId="0">
      <text>
        <t>Cash Flow Available for Debt Service. What remains after taxes to pay interest and principal.</t>
      </text>
    </comment>
    <comment ref="C86" authorId="0" shapeId="0">
      <text>
        <t>Mandatory prepayment from excess cash. Lenders require this for merchant assets.</t>
      </text>
    </comment>
    <comment ref="C89" authorId="0" shapeId="0">
      <text>
        <t>Debt Service Coverage Ratio. Key lender metric. Target: 1.25-1.40x.</t>
      </text>
    </comment>
    <comment ref="C90" authorId="0" shapeId="0">
      <text>
        <t>Debt service using straight-line principal only. Used for DSRA to avoid circularity.</t>
      </text>
    </comment>
    <comment ref="C93" authorId="0" shapeId="0">
      <text>
        <t>Reserve sized to cover NEXT years debt service. Uses SCHEDULED DS to avoid circular reference.</t>
      </text>
    </comment>
    <comment ref="C123" authorId="0" shapeId="0">
      <text>
        <t>Return to equity after debt service. Should exceed cost of equity (12-15% for infra).</t>
      </text>
    </comment>
    <comment ref="C124" authorId="0" shapeId="0">
      <text>
        <t>Multiple on Invested Capital. Cash-on-cash return. 2.0x = doubled money.</t>
      </text>
    </comment>
    <comment ref="C128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1" authorId="0" shapeId="0">
      <text>
        <t>Mandatory prepayment from excess cash. Lenders require this for merchant assets.</t>
      </text>
    </comment>
    <comment ref="C52" authorId="0" shapeId="0">
      <text>
        <t>Debt Service Coverage Ratio. Key lender metric. Target: 1.25-1.40x.</t>
      </text>
    </comment>
    <comment ref="C72" authorId="0" shapeId="0">
      <text>
        <t>Cash earnings before financing. What is available to service debt and pay equity.</t>
      </text>
    </comment>
    <comment ref="C78" authorId="0" shapeId="0">
      <text>
        <t>Cash Flow Available for Debt Service. What remains after taxes to pay interest and principal.</t>
      </text>
    </comment>
    <comment ref="C86" authorId="0" shapeId="0">
      <text>
        <t>Mandatory prepayment from excess cash. Lenders require this for merchant assets.</t>
      </text>
    </comment>
    <comment ref="C89" authorId="0" shapeId="0">
      <text>
        <t>Debt Service Coverage Ratio. Key lender metric. Target: 1.25-1.40x.</t>
      </text>
    </comment>
    <comment ref="C90" authorId="0" shapeId="0">
      <text>
        <t>Debt service using straight-line principal only. Used for DSRA to avoid circularity.</t>
      </text>
    </comment>
    <comment ref="C93" authorId="0" shapeId="0">
      <text>
        <t>Reserve sized to cover NEXT years debt service. Uses SCHEDULED DS to avoid circular reference.</t>
      </text>
    </comment>
    <comment ref="C129" authorId="0" shapeId="0">
      <text>
        <t>Return to equity after debt service. Should exceed cost of equity (12-15% for infra).</t>
      </text>
    </comment>
    <comment ref="C130" authorId="0" shapeId="0">
      <text>
        <t>Multiple on Invested Capital. Cash-on-cash return. 2.0x = doubled money.</t>
      </text>
    </comment>
    <comment ref="C134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NATURAL GAS GATHERING SYSTEM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1-5 (2026-2030): Growth phase; volumes increase with new connections</t>
        </is>
      </c>
    </row>
    <row r="11">
      <c r="A11" t="inlineStr">
        <is>
          <t>Year 5 (2030): Anchor shipper contract expires; recontracting risk</t>
        </is>
      </c>
    </row>
    <row r="12">
      <c r="A12" t="inlineStr">
        <is>
          <t>Year 6-10 (2031-2035): Potential decline phase if no new drilling</t>
        </is>
      </c>
    </row>
    <row r="14">
      <c r="A14" s="29" t="inlineStr">
        <is>
          <t>--- SITUATION ---</t>
        </is>
      </c>
    </row>
    <row r="15">
      <c r="A15" s="31" t="inlineStr">
        <is>
          <t>Lotus Infrastructure Partners is evaluating a natural gas gathering
system in the Permian Basin (Delaware sub-basin). Nameplate capacity is
500 MMcf/d with current throughput of ~80 MMcf/d from 15 producer connections.</t>
        </is>
      </c>
    </row>
    <row r="17">
      <c r="A17" s="31" t="inlineStr">
        <is>
          <t>The anchor shipper contract covers 50 MMcf/d at $0.55/Mcf through 2030
(5 years remaining) with 80% take-or-pay. Remaining ~30 MMcf/d is under
short-term (1-2 year) gathering agreements.</t>
        </is>
      </c>
    </row>
    <row r="19">
      <c r="A19" s="31" t="inlineStr">
        <is>
          <t>Basin activity is strong with rig counts up 15% YoY. However, producer
economics are sensitive to WTI and Henry Hub prices. The system has
expansion capacity without major capex.</t>
        </is>
      </c>
    </row>
    <row r="21">
      <c r="A21" s="31" t="inlineStr">
        <is>
          <t>The seller (PE fund approaching end of fund life) is asking $85mm with
bids due by February 10, 2026.</t>
        </is>
      </c>
    </row>
    <row r="23">
      <c r="A23" s="29" t="inlineStr">
        <is>
          <t>--- KEY VALUE DRIVERS ---</t>
        </is>
      </c>
    </row>
    <row r="24">
      <c r="A24" t="inlineStr">
        <is>
          <t>* Volume Trajectory: Producer drilling activity drives throughput</t>
        </is>
      </c>
    </row>
    <row r="25">
      <c r="A25" t="inlineStr">
        <is>
          <t>* Take-or-Pay: 80% MVC provides revenue floor on contracted volumes</t>
        </is>
      </c>
    </row>
    <row r="26">
      <c r="A26" t="inlineStr">
        <is>
          <t>* Recontracting Risk: Anchor contract expiry in 2030 is key risk</t>
        </is>
      </c>
    </row>
    <row r="27">
      <c r="A27" t="inlineStr">
        <is>
          <t>* Basin Economics: WTI/HH prices drive producer drilling decisions</t>
        </is>
      </c>
    </row>
    <row r="29">
      <c r="A29" s="29" t="inlineStr">
        <is>
          <t>--- STEP-BY-STEP MODEL BUILDING GUIDE ---</t>
        </is>
      </c>
    </row>
    <row r="30">
      <c r="A30" s="31" t="inlineStr">
        <is>
          <t>STEP-BY-STEP MODEL BUILDING GUIDE FOR MIDSTREAM</t>
        </is>
      </c>
    </row>
    <row r="31">
      <c r="A31" s="31" t="inlineStr"/>
    </row>
    <row r="32">
      <c r="A32" s="31" t="inlineStr">
        <is>
          <t>KEY DIFFERENCES:</t>
        </is>
      </c>
    </row>
    <row r="33">
      <c r="A33" s="31" t="inlineStr">
        <is>
          <t>- Volume-based revenue (not capacity x price)</t>
        </is>
      </c>
    </row>
    <row r="34">
      <c r="A34" s="31" t="inlineStr">
        <is>
          <t>- Producer counterparty credit risk</t>
        </is>
      </c>
    </row>
    <row r="35">
      <c r="A35" s="31" t="inlineStr">
        <is>
          <t>- Volume decline curves for existing wells</t>
        </is>
      </c>
    </row>
    <row r="36">
      <c r="A36" s="31" t="inlineStr">
        <is>
          <t>- Recontracting risk at contract expiry</t>
        </is>
      </c>
    </row>
    <row r="37">
      <c r="A37" s="31" t="inlineStr">
        <is>
          <t>- Gathering fee is $/Mcf</t>
        </is>
      </c>
    </row>
    <row r="38">
      <c r="A38" s="31" t="inlineStr"/>
    </row>
    <row r="39">
      <c r="A39" s="31" t="inlineStr">
        <is>
          <t>1. SET UP INPUTS</t>
        </is>
      </c>
    </row>
    <row r="40">
      <c r="A40" s="31" t="inlineStr">
        <is>
          <t xml:space="preserve">   - Y1 Volume: 80 MMcf/d (current throughput)</t>
        </is>
      </c>
    </row>
    <row r="41">
      <c r="A41" s="31" t="inlineStr">
        <is>
          <t xml:space="preserve">   - Gathering Fee: $0.55/Mcf</t>
        </is>
      </c>
    </row>
    <row r="42">
      <c r="A42" s="31" t="inlineStr">
        <is>
          <t xml:space="preserve">   - Growth Rate Y1-5: 3%/year</t>
        </is>
      </c>
    </row>
    <row r="43">
      <c r="A43" s="31" t="inlineStr">
        <is>
          <t xml:space="preserve">   - Decline Rate Y6-10: 5%/year</t>
        </is>
      </c>
    </row>
    <row r="44">
      <c r="A44" s="31" t="inlineStr">
        <is>
          <t xml:space="preserve">   - O&amp;M: $3.5mm/year base</t>
        </is>
      </c>
    </row>
    <row r="45">
      <c r="A45" s="31" t="inlineStr"/>
    </row>
    <row r="46">
      <c r="A46" s="31" t="inlineStr">
        <is>
          <t>2. BUILD VOLUME TRAJECTORY</t>
        </is>
      </c>
    </row>
    <row r="47">
      <c r="A47" s="31" t="inlineStr">
        <is>
          <t xml:space="preserve">   Daily Volume Y1 = 80 MMcf/d</t>
        </is>
      </c>
    </row>
    <row r="48">
      <c r="A48" s="31" t="inlineStr">
        <is>
          <t xml:space="preserve">   Daily Volume Yn = Y(n-1) x (1 + Growth/Decline Rate)</t>
        </is>
      </c>
    </row>
    <row r="49">
      <c r="A49" s="31" t="inlineStr">
        <is>
          <t xml:space="preserve">   Annual Volume (Bcf) = Daily Volume x 365 / 1000</t>
        </is>
      </c>
    </row>
    <row r="50">
      <c r="A50" s="31" t="inlineStr"/>
    </row>
    <row r="51">
      <c r="A51" s="31" t="inlineStr">
        <is>
          <t>3. BUILD REVENUE</t>
        </is>
      </c>
    </row>
    <row r="52">
      <c r="A52" s="31" t="inlineStr">
        <is>
          <t xml:space="preserve">   Revenue ($mm) = Annual Volume (Bcf) x Fee ($/Mcf)</t>
        </is>
      </c>
    </row>
    <row r="53">
      <c r="A53" s="31" t="inlineStr"/>
    </row>
    <row r="54">
      <c r="A54" s="31" t="inlineStr">
        <is>
          <t xml:space="preserve">   Why this works:</t>
        </is>
      </c>
    </row>
    <row r="55">
      <c r="A55" s="31" t="inlineStr">
        <is>
          <t xml:space="preserve">   - 1 Bcf = 1,000,000 Mcf</t>
        </is>
      </c>
    </row>
    <row r="56">
      <c r="A56" s="31" t="inlineStr">
        <is>
          <t xml:space="preserve">   - Revenue ($) = Bcf x 1,000,000 x $/Mcf</t>
        </is>
      </c>
    </row>
    <row r="57">
      <c r="A57" s="31" t="inlineStr">
        <is>
          <t xml:space="preserve">   - Revenue ($mm) = Revenue ($) / 1,000,000</t>
        </is>
      </c>
    </row>
    <row r="58">
      <c r="A58" s="31" t="inlineStr">
        <is>
          <t xml:space="preserve">   - Therefore: Revenue ($mm) = Bcf x $/Mcf (factors cancel)</t>
        </is>
      </c>
    </row>
    <row r="59">
      <c r="A59" s="31" t="inlineStr"/>
    </row>
    <row r="60">
      <c r="A60" s="31" t="inlineStr">
        <is>
          <t xml:space="preserve">   NO *1000 multiplier needed!</t>
        </is>
      </c>
    </row>
    <row r="61">
      <c r="A61" s="31" t="inlineStr"/>
    </row>
    <row r="62">
      <c r="A62" s="31" t="inlineStr">
        <is>
          <t xml:space="preserve">   Sanity Check: 29 Bcf x $0.55/Mcf = ~$16mm revenue</t>
        </is>
      </c>
    </row>
    <row r="63">
      <c r="A63" s="31" t="inlineStr">
        <is>
          <t xml:space="preserve">   This is reasonable for $85mm EV (5x EV/Revenue)</t>
        </is>
      </c>
    </row>
    <row r="64">
      <c r="A64" s="31" t="inlineStr"/>
    </row>
    <row r="65">
      <c r="A65" s="31" t="inlineStr">
        <is>
          <t>4. BUILD CFADS</t>
        </is>
      </c>
    </row>
    <row r="66">
      <c r="A66" s="31" t="inlineStr">
        <is>
          <t xml:space="preserve">   CFADS = Revenue - O&amp;M - Taxes - Growth Capex</t>
        </is>
      </c>
    </row>
    <row r="67">
      <c r="A67" s="31" t="inlineStr">
        <is>
          <t xml:space="preserve">   Growth capex (wellhead connections) is BEFORE CFADS for midstream</t>
        </is>
      </c>
    </row>
    <row r="68">
      <c r="A68" s="31" t="inlineStr"/>
    </row>
    <row r="69">
      <c r="A69" s="31" t="inlineStr">
        <is>
          <t>5. DEBT STRUCTURE</t>
        </is>
      </c>
    </row>
    <row r="70">
      <c r="A70" s="31" t="inlineStr">
        <is>
          <t xml:space="preserve">   75% cash sweep (volume uncertainty warrants sweep)</t>
        </is>
      </c>
    </row>
    <row r="71">
      <c r="A71" s="31" t="inlineStr">
        <is>
          <t xml:space="preserve">   Shorter tenor (5 years) due to recontracting risk</t>
        </is>
      </c>
    </row>
    <row r="73">
      <c r="A73" s="29" t="inlineStr">
        <is>
          <t>--- HOW TO AVOID CIRCULARITY ---</t>
        </is>
      </c>
    </row>
    <row r="74">
      <c r="A74" t="inlineStr">
        <is>
          <t>Same as CCGT - use Scheduled DS for DSRA Target to avoid circularity.</t>
        </is>
      </c>
    </row>
    <row r="76">
      <c r="A76" s="29" t="inlineStr">
        <is>
          <t>--- ALTERNATIVE SCENARIOS ---</t>
        </is>
      </c>
    </row>
    <row r="77">
      <c r="A77" t="inlineStr">
        <is>
          <t>ALTERNATIVE SCENARIOS</t>
        </is>
      </c>
    </row>
    <row r="78"/>
    <row r="79">
      <c r="A79" t="inlineStr">
        <is>
          <t>A. Processing vs Gathering:</t>
        </is>
      </c>
    </row>
    <row r="80">
      <c r="A80" t="inlineStr">
        <is>
          <t xml:space="preserve">   - If system includes processing plant</t>
        </is>
      </c>
    </row>
    <row r="81">
      <c r="A81" t="inlineStr">
        <is>
          <t xml:space="preserve">   - Processing revenue is $/MMBtu (different unit)</t>
        </is>
      </c>
    </row>
    <row r="82"/>
    <row r="83">
      <c r="A83" t="inlineStr">
        <is>
          <t>B. Commodity Exposure:</t>
        </is>
      </c>
    </row>
    <row r="84">
      <c r="A84" t="inlineStr">
        <is>
          <t xml:space="preserve">   - If fee has commodity-linked component</t>
        </is>
      </c>
    </row>
    <row r="85">
      <c r="A85" t="inlineStr">
        <is>
          <t xml:space="preserve">   - Must model WTI/HH price scenarios</t>
        </is>
      </c>
    </row>
    <row r="86"/>
    <row r="87">
      <c r="A87" t="inlineStr">
        <is>
          <t>C. Acreage Dedication:</t>
        </is>
      </c>
    </row>
    <row r="88">
      <c r="A88" t="inlineStr">
        <is>
          <t xml:space="preserve">   - If contract includes acreage dedication</t>
        </is>
      </c>
    </row>
    <row r="89">
      <c r="A89" t="inlineStr">
        <is>
          <t xml:space="preserve">   - Provides volume upside if producer drills more</t>
        </is>
      </c>
    </row>
    <row r="91">
      <c r="A91" s="29" t="inlineStr">
        <is>
          <t>--- QA CHECKS ---</t>
        </is>
      </c>
    </row>
    <row r="92">
      <c r="A92" t="inlineStr">
        <is>
          <t>QA CHECKS</t>
        </is>
      </c>
    </row>
    <row r="93"/>
    <row r="94">
      <c r="A94" t="inlineStr">
        <is>
          <t>1. Revenue formula does NOT have erroneous *1000</t>
        </is>
      </c>
    </row>
    <row r="95">
      <c r="A95" t="inlineStr">
        <is>
          <t>2. Y1 Revenue / Entry EV = reasonable multiple (4-6x typical)</t>
        </is>
      </c>
    </row>
    <row r="96">
      <c r="A96" t="inlineStr">
        <is>
          <t>3. Volume trajectory makes sense (growth then decline)</t>
        </is>
      </c>
    </row>
    <row r="97">
      <c r="A97" t="inlineStr">
        <is>
          <t>4. Take-or-pay floor revenue = MVC x Fee</t>
        </is>
      </c>
    </row>
    <row r="98">
      <c r="A98" t="inlineStr">
        <is>
          <t>5. Recontracting scenario modeled for Year 5+</t>
        </is>
      </c>
    </row>
    <row r="99">
      <c r="A99" t="inlineStr">
        <is>
          <t>6. DSCR &gt;= 1.25x during debt tenor</t>
        </is>
      </c>
    </row>
    <row r="101">
      <c r="A101" s="29" t="inlineStr">
        <is>
          <t>--- HINTS &amp; PITFALLS ---</t>
        </is>
      </c>
    </row>
    <row r="102">
      <c r="A102" s="32" t="inlineStr">
        <is>
          <t>* Revenue = Bcf x $/Mcf (NO conversion factor - they cancel)</t>
        </is>
      </c>
    </row>
    <row r="103">
      <c r="A103" s="32" t="inlineStr">
        <is>
          <t>* Y1 Revenue of ~$16mm on $85mm EV is ~5.3x, reasonable</t>
        </is>
      </c>
    </row>
    <row r="104">
      <c r="A104" s="32" t="inlineStr">
        <is>
          <t>* Recontracting at Year 5 is THE key risk - show sensitivity</t>
        </is>
      </c>
    </row>
    <row r="105">
      <c r="A105" s="32" t="inlineStr">
        <is>
          <t>* Take-or-pay provides 80% floor on contracted volume</t>
        </is>
      </c>
    </row>
    <row r="107">
      <c r="A107" s="29" t="inlineStr">
        <is>
          <t>--- INTERVIEW QUESTIONS ---</t>
        </is>
      </c>
    </row>
    <row r="108">
      <c r="A108" t="inlineStr">
        <is>
          <t>Q: Walk me through how you modeled volume decline.</t>
        </is>
      </c>
    </row>
    <row r="109">
      <c r="A109" t="inlineStr">
        <is>
          <t>Q: What's your recontracting assumption when anchor expires?</t>
        </is>
      </c>
    </row>
    <row r="110">
      <c r="A110" t="inlineStr">
        <is>
          <t>Q: How would a $10/bbl drop in WTI affect volume projections?</t>
        </is>
      </c>
    </row>
    <row r="111">
      <c r="A111" t="inlineStr">
        <is>
          <t>Q: What producer credit diligence would you conduct?</t>
        </is>
      </c>
    </row>
    <row r="113">
      <c r="A113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4" t="inlineStr">
        <is>
          <t>COLD START WORKFLOW (4-Hour Test)</t>
        </is>
      </c>
    </row>
    <row r="116">
      <c r="A116" s="33" t="inlineStr">
        <is>
          <t>Phase 1: Setup (15 min)</t>
        </is>
      </c>
    </row>
    <row r="117">
      <c r="A117" s="35" t="inlineStr">
        <is>
          <t>→ Create workbook, freeze panes at E2</t>
        </is>
      </c>
    </row>
    <row r="118">
      <c r="A118" s="35" t="inlineStr">
        <is>
          <t>→ Set column widths: A=32, B=12, C=38, D-N=14</t>
        </is>
      </c>
    </row>
    <row r="119">
      <c r="A119" s="35" t="inlineStr">
        <is>
          <t>→ Build year headers: Y0 (2025), Y1 (2026), ... Y10 (2035)</t>
        </is>
      </c>
    </row>
    <row r="120">
      <c r="A120" s="35" t="inlineStr">
        <is>
          <t>→ Create section placeholders with ═══ dividers</t>
        </is>
      </c>
    </row>
    <row r="122">
      <c r="A122" s="33" t="inlineStr">
        <is>
          <t>Phase 2: Inputs &amp; S&amp;U (30 min)</t>
        </is>
      </c>
    </row>
    <row r="123">
      <c r="A123" s="35" t="inlineStr">
        <is>
          <t>→ Transaction: Entry EV, Fees %, Exit Multiple, Exit Year</t>
        </is>
      </c>
    </row>
    <row r="124">
      <c r="A124" s="35" t="inlineStr">
        <is>
          <t>→ Asset: Capacity, CF/Dispatch, Prices, Escalation</t>
        </is>
      </c>
    </row>
    <row r="125">
      <c r="A125" s="35" t="inlineStr">
        <is>
          <t>→ Financing: Leverage, Rate, Tenor, DSRA months, Sweep %</t>
        </is>
      </c>
    </row>
    <row r="126">
      <c r="A126" s="35" t="inlineStr">
        <is>
          <t>→ Build Uses first, then Sources (balancing item = equity)</t>
        </is>
      </c>
    </row>
    <row r="128">
      <c r="A128" s="33" t="inlineStr">
        <is>
          <t>Phase 3: Operating Model (45 min)</t>
        </is>
      </c>
    </row>
    <row r="129">
      <c r="A129" s="35" t="inlineStr">
        <is>
          <t>→ Generation = Capacity × CF × 8760 (baseload) OR Capacity × Dispatch × Avail (peaker)</t>
        </is>
      </c>
    </row>
    <row r="130">
      <c r="A130" s="35" t="inlineStr">
        <is>
          <t>→ Revenue = Generation × Price / 1E6  (careful: capacity $/kW needs ×1000)</t>
        </is>
      </c>
    </row>
    <row r="131">
      <c r="A131" s="35" t="inlineStr">
        <is>
          <t>→ Fuel = Gen × HR × Gas / 1E9  (CRITICAL: divide by BILLION)</t>
        </is>
      </c>
    </row>
    <row r="132">
      <c r="A132" s="35" t="inlineStr">
        <is>
          <t>→ EBITDA = Revenue - OpEx</t>
        </is>
      </c>
    </row>
    <row r="133">
      <c r="A133" s="35" t="inlineStr">
        <is>
          <t>→ Taxes = MAX(0, Taxable Income) × Rate  (no negative taxes!)</t>
        </is>
      </c>
    </row>
    <row r="135">
      <c r="A135" s="33" t="inlineStr">
        <is>
          <t>Phase 4: Debt Schedule (45 min)</t>
        </is>
      </c>
    </row>
    <row r="136">
      <c r="A136" s="35" t="inlineStr">
        <is>
          <t>→ Beginning Bal Y1 = Funded Debt; Yn = Prior Ending</t>
        </is>
      </c>
    </row>
    <row r="137">
      <c r="A137" s="35" t="inlineStr">
        <is>
          <t>→ Interest = Beg Bal × Rate</t>
        </is>
      </c>
    </row>
    <row r="138">
      <c r="A138" s="35" t="inlineStr">
        <is>
          <t>→ Principal: Straight-line OR Sculpted OR Sweep</t>
        </is>
      </c>
    </row>
    <row r="139">
      <c r="A139" s="35" t="inlineStr">
        <is>
          <t>→ DSCR = CFADS / Debt Service</t>
        </is>
      </c>
    </row>
    <row r="140">
      <c r="A140" s="35" t="inlineStr">
        <is>
          <t>→ DSRA Target = NEXT year's DS × (months/12)  [TRAP: not current year!]</t>
        </is>
      </c>
    </row>
    <row r="142">
      <c r="A142" s="33" t="inlineStr">
        <is>
          <t>Phase 5: Exit &amp; Returns (30 min)</t>
        </is>
      </c>
    </row>
    <row r="143">
      <c r="A143" s="35" t="inlineStr">
        <is>
          <t>→ Exit EV = Exit EBITDA × Multiple</t>
        </is>
      </c>
    </row>
    <row r="144">
      <c r="A144" s="35" t="inlineStr">
        <is>
          <t>→ Exit Equity = Exit EV - Debt Payoff + DSRA Release</t>
        </is>
      </c>
    </row>
    <row r="145">
      <c r="A145" s="35" t="inlineStr">
        <is>
          <t>→ Equity CF row: Y0 = -Entry Equity, Y1-n = Distributions, Exit Year += Exit Equity</t>
        </is>
      </c>
    </row>
    <row r="146">
      <c r="A146" s="35" t="inlineStr">
        <is>
          <t>→ IRR = IRR(Y0:Y10 equity CFs)</t>
        </is>
      </c>
    </row>
    <row r="147">
      <c r="A147" s="35" t="inlineStr">
        <is>
          <t>→ MOIC = (Distributions + Exit) / Entry Equity</t>
        </is>
      </c>
    </row>
    <row r="149">
      <c r="A149" s="33" t="inlineStr">
        <is>
          <t>Phase 6: QA &amp; Polish (15 min)</t>
        </is>
      </c>
    </row>
    <row r="150">
      <c r="A150" s="35" t="inlineStr">
        <is>
          <t>→ S&amp;U Balance Check = PASS</t>
        </is>
      </c>
    </row>
    <row r="151">
      <c r="A151" s="35" t="inlineStr">
        <is>
          <t>→ Debt Payoff Check = PASS (ending bal &lt; $1mm)</t>
        </is>
      </c>
    </row>
    <row r="152">
      <c r="A152" s="35" t="inlineStr">
        <is>
          <t>→ Min DSCR Check = PASS (≥1.25x merchant, ≥1.30x contracted)</t>
        </is>
      </c>
    </row>
    <row r="153">
      <c r="A153" s="35" t="inlineStr">
        <is>
          <t>→ Sanity: DSCR 1.2-2.5x, IRR 12-25%, Fuel $30-50mm (CCGT)</t>
        </is>
      </c>
    </row>
    <row r="156">
      <c r="A156" s="36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9" t="inlineStr">
        <is>
          <t>TOTAL</t>
        </is>
      </c>
      <c r="B169" s="29" t="inlineStr">
        <is>
          <t>4:00</t>
        </is>
      </c>
      <c r="C169" t="inlineStr"/>
    </row>
    <row r="172">
      <c r="A172" s="36" t="inlineStr">
        <is>
          <t>DEBT SIZING APPROACHES</t>
        </is>
      </c>
    </row>
    <row r="174">
      <c r="A174" s="33" t="inlineStr">
        <is>
          <t>1. STRAIGHT-LINE (Simplest)</t>
        </is>
      </c>
    </row>
    <row r="175">
      <c r="A175" s="35" t="inlineStr">
        <is>
          <t xml:space="preserve">  Principal = Debt Amount / Tenor</t>
        </is>
      </c>
    </row>
    <row r="176">
      <c r="A176" s="35" t="inlineStr">
        <is>
          <t xml:space="preserve">  Best for: Quick models, Model_Quick, when told 'ignore sweep'</t>
        </is>
      </c>
    </row>
    <row r="177">
      <c r="A177" s="35" t="inlineStr">
        <is>
          <t xml:space="preserve">  Pros: No circularity, fast to build</t>
        </is>
      </c>
    </row>
    <row r="178">
      <c r="A178" s="35" t="inlineStr">
        <is>
          <t xml:space="preserve">  Cons: May not reflect economic reality</t>
        </is>
      </c>
    </row>
    <row r="180">
      <c r="A180" s="33" t="inlineStr">
        <is>
          <t>2. CASH SWEEP (Merchant)</t>
        </is>
      </c>
    </row>
    <row r="181">
      <c r="A181" s="35" t="inlineStr">
        <is>
          <t xml:space="preserve">  Sweep = Excess Cash × Sweep%  (Excess = CFADS - DS - DSRA)</t>
        </is>
      </c>
    </row>
    <row r="182">
      <c r="A182" s="35" t="inlineStr">
        <is>
          <t xml:space="preserve">  Best for: Merchant assets, volatile CFADS</t>
        </is>
      </c>
    </row>
    <row r="183">
      <c r="A183" s="35" t="inlineStr">
        <is>
          <t xml:space="preserve">  Pros: Realistic for bank debt, de-levers faster</t>
        </is>
      </c>
    </row>
    <row r="184">
      <c r="A184" s="35" t="inlineStr">
        <is>
          <t xml:space="preserve">  Cons: Requires DSRA logic, near-circular (use scheduled_ds trick)</t>
        </is>
      </c>
    </row>
    <row r="186">
      <c r="A186" s="33" t="inlineStr">
        <is>
          <t>3. SCULPTED (Contracted)</t>
        </is>
      </c>
    </row>
    <row r="187">
      <c r="A187" s="35" t="inlineStr">
        <is>
          <t xml:space="preserve">  Target DS = CFADS / Target DSCR; Principal = Target DS - Interest</t>
        </is>
      </c>
    </row>
    <row r="188">
      <c r="A188" s="35" t="inlineStr">
        <is>
          <t xml:space="preserve">  Best for: PPAs, regulated assets, predictable CFADS</t>
        </is>
      </c>
    </row>
    <row r="189">
      <c r="A189" s="35" t="inlineStr">
        <is>
          <t xml:space="preserve">  Pros: Maximizes debt capacity, matches CF profile</t>
        </is>
      </c>
    </row>
    <row r="190">
      <c r="A190" s="35" t="inlineStr">
        <is>
          <t xml:space="preserve">  Cons: More complex, requires CFADS forecast first</t>
        </is>
      </c>
    </row>
    <row r="193">
      <c r="A193" s="36" t="inlineStr">
        <is>
          <t>KEY FORMULA CONCEPTS</t>
        </is>
      </c>
    </row>
    <row r="195">
      <c r="A195" s="33" t="inlineStr">
        <is>
          <t>SPARK SPREAD (Thermal Plants)</t>
        </is>
      </c>
    </row>
    <row r="196">
      <c r="A196" s="35" t="inlineStr">
        <is>
          <t xml:space="preserve">  = Power Price ($/MWh) - Fuel Cost per MWh</t>
        </is>
      </c>
    </row>
    <row r="197">
      <c r="A197" s="35" t="inlineStr">
        <is>
          <t xml:space="preserve">  = Power Price - (Heat Rate × Gas Price / 1000)</t>
        </is>
      </c>
    </row>
    <row r="198">
      <c r="A198" s="35" t="inlineStr">
        <is>
          <t xml:space="preserve">  Example: $45/MWh - (7000 Btu/kWh × $3/mmBtu / 1000) = $45 - $21 = $24/MWh</t>
        </is>
      </c>
    </row>
    <row r="199">
      <c r="A199" s="35" t="inlineStr">
        <is>
          <t xml:space="preserve">  Core margin driver for CCGT/Peaker dispatch economics</t>
        </is>
      </c>
    </row>
    <row r="201">
      <c r="A201" s="33" t="inlineStr">
        <is>
          <t>UCAP (Unforced Capacity)</t>
        </is>
      </c>
    </row>
    <row r="202">
      <c r="A202" s="35" t="inlineStr">
        <is>
          <t xml:space="preserve">  = Nameplate Capacity × (1 - Forced Outage Rate)</t>
        </is>
      </c>
    </row>
    <row r="203">
      <c r="A203" s="35" t="inlineStr">
        <is>
          <t xml:space="preserve">  = 365 MW × (1 - 5%) = 346.75 MW</t>
        </is>
      </c>
    </row>
    <row r="204">
      <c r="A204" s="35" t="inlineStr">
        <is>
          <t xml:space="preserve">  Capacity revenue uses UCAP, not nameplate</t>
        </is>
      </c>
    </row>
    <row r="205">
      <c r="A205" s="35" t="inlineStr">
        <is>
          <t xml:space="preserve">  Capacity Price is $/kW-yr, so: UCAP × Price × 1000 / 1E6</t>
        </is>
      </c>
    </row>
    <row r="207">
      <c r="A207" s="33" t="inlineStr">
        <is>
          <t>LLCR / PLCR (Project Finance)</t>
        </is>
      </c>
    </row>
    <row r="208">
      <c r="A208" s="35" t="inlineStr">
        <is>
          <t xml:space="preserve">  LLCR = NPV(CFADS over loan life) / Debt Outstanding</t>
        </is>
      </c>
    </row>
    <row r="209">
      <c r="A209" s="35" t="inlineStr">
        <is>
          <t xml:space="preserve">  PLCR = NPV(CFADS over project life) / Debt Outstanding</t>
        </is>
      </c>
    </row>
    <row r="210">
      <c r="A210" s="35" t="inlineStr">
        <is>
          <t xml:space="preserve">  LLCR ~1.4x+ typical for investment grade</t>
        </is>
      </c>
    </row>
    <row r="211">
      <c r="A211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6" t="inlineStr">
        <is>
          <t>PROJECT PERMIAN GATHERING</t>
        </is>
      </c>
    </row>
    <row r="2">
      <c r="A2" s="27" t="inlineStr">
        <is>
          <t>INVESTMENT COMMITTEE MEMORANDUM</t>
        </is>
      </c>
    </row>
    <row r="3">
      <c r="A3" s="26" t="inlineStr">
        <is>
          <t>80 MMcf/d Gas Gathering System – Permian Basin</t>
        </is>
      </c>
    </row>
    <row r="4">
      <c r="A4" s="27" t="inlineStr">
        <is>
          <t>RECOMMENDATION: Proceed to final bid at $85mm</t>
        </is>
      </c>
    </row>
    <row r="5">
      <c r="A5" s="26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7" t="inlineStr">
        <is>
          <t>KEY METRICS</t>
        </is>
      </c>
    </row>
    <row r="7">
      <c r="A7" s="27" t="inlineStr">
        <is>
          <t>INVESTMENT THESIS</t>
        </is>
      </c>
    </row>
    <row r="8">
      <c r="A8" s="26" t="inlineStr">
        <is>
          <t>• Fee-for-service model eliminates commodity price exposure – paid to move gas, not sell it</t>
        </is>
      </c>
    </row>
    <row r="9">
      <c r="A9" s="26" t="inlineStr">
        <is>
          <t>• Active drilling program supports 3%/year volume growth through Y5</t>
        </is>
      </c>
    </row>
    <row r="10">
      <c r="A10" s="26" t="inlineStr">
        <is>
          <t>• Aggressive 75% sweep with 5-year tenor ensures debt payoff before decline phase</t>
        </is>
      </c>
    </row>
    <row r="11">
      <c r="A11" s="26" t="inlineStr">
        <is>
          <t>• Exit to producer seeking vertical integration or larger midstream for basin consolidation</t>
        </is>
      </c>
    </row>
    <row r="12">
      <c r="A12" s="27" t="inlineStr">
        <is>
          <t>KEY RISKS &amp; MITIGANTS</t>
        </is>
      </c>
    </row>
    <row r="13">
      <c r="A13" s="27" t="inlineStr">
        <is>
          <t>ANTICIPATED IC Q&amp;A</t>
        </is>
      </c>
    </row>
    <row r="14">
      <c r="A14" s="27" t="inlineStr">
        <is>
          <t>Q: Why the growth-then-decline profile?</t>
        </is>
      </c>
    </row>
    <row r="15">
      <c r="A15" s="26" t="inlineStr">
        <is>
          <t>A: Y1-Y5: Active drilling connects new wells (3%/year growth). Y6+: Drilling slows, existing wells deplete naturally (5%/year decline). Must structure debt to pay off before decline.</t>
        </is>
      </c>
    </row>
    <row r="16">
      <c r="A16" s="27" t="inlineStr">
        <is>
          <t>Q: Why 5-year tenor vs 7 years?</t>
        </is>
      </c>
    </row>
    <row r="17">
      <c r="A17" s="26" t="inlineStr">
        <is>
          <t>A: Debt must be repaid during growth phase when CFADS is strong. Cannot service debt with declining cash flows. Short tenor + aggressive sweep = de-risked debt.</t>
        </is>
      </c>
    </row>
    <row r="18">
      <c r="A18" s="27" t="inlineStr">
        <is>
          <t>Q: What's the commodity exposure?</t>
        </is>
      </c>
    </row>
    <row r="19">
      <c r="A19" s="26" t="inlineStr">
        <is>
          <t>A: Direct: None – fee-for-service. Indirect: Low gas prices → less drilling → lower volumes. Mitigated by acreage dedication and producer economics (breakeven $2.50/mmBtu).</t>
        </is>
      </c>
    </row>
    <row r="20">
      <c r="A20" s="27" t="inlineStr">
        <is>
          <t>Q: Why compressed 6.5x exit multiple?</t>
        </is>
      </c>
    </row>
    <row r="21">
      <c r="A21" s="26" t="inlineStr">
        <is>
          <t>A: Declining asset commands lower multiple than stable/growing. At exit (Y7), asset has 3-4 years of decline remaining. Buyer pricing reflects PDP-like valuation.</t>
        </is>
      </c>
    </row>
    <row r="22">
      <c r="A22" s="26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$85mm | - | -</t>
        </is>
      </c>
    </row>
    <row r="25">
      <c r="A25" s="28" t="inlineStr">
        <is>
          <t>Entry Multiple | 5.8x Y1 EBITDA | - | -</t>
        </is>
      </c>
    </row>
    <row r="26">
      <c r="A26" s="28" t="inlineStr">
        <is>
          <t>Leverage | 30% | - | -</t>
        </is>
      </c>
    </row>
    <row r="27">
      <c r="A27" s="28" t="inlineStr">
        <is>
          <t>Levered IRR | 19.2% | 15.5% | 23.0%</t>
        </is>
      </c>
    </row>
    <row r="28">
      <c r="A28" s="28" t="inlineStr">
        <is>
          <t>MOIC | 2.05x | 1.75x | 2.35x</t>
        </is>
      </c>
    </row>
    <row r="29">
      <c r="A29" s="28" t="inlineStr">
        <is>
          <t>Min DSCR (Y1-Y5) | 1.65x | 1.45x | 1.85x</t>
        </is>
      </c>
    </row>
    <row r="30">
      <c r="A30" s="26" t="inlineStr"/>
    </row>
    <row r="31">
      <c r="A31" s="28" t="inlineStr">
        <is>
          <t>Risk | Probability | Mitigant</t>
        </is>
      </c>
    </row>
    <row r="32">
      <c r="A32" s="28" t="inlineStr">
        <is>
          <t>Producer curtails drilling | Medium | Acreage dedication provides volume floor; producer needs gatherer to monetize</t>
        </is>
      </c>
    </row>
    <row r="33">
      <c r="A33" s="28" t="inlineStr">
        <is>
          <t>Volume decline steeper than forecast | Medium | 5%/year decline is conservative for Permian; exit at Y7 before steep decline</t>
        </is>
      </c>
    </row>
    <row r="34">
      <c r="A34" s="28" t="inlineStr">
        <is>
          <t>Single counterparty concentration | Medium | Producer is well-capitalized; consider credit support</t>
        </is>
      </c>
    </row>
    <row r="35">
      <c r="A35" s="28" t="inlineStr">
        <is>
          <t>Basin differentials widen | Low | Fee-based, not commodity-based; producer bears basis risk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Midstream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600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7.5</v>
      </c>
    </row>
    <row r="15">
      <c r="A15" t="inlineStr">
        <is>
          <t>Exit Year</t>
        </is>
      </c>
      <c r="B15" t="inlineStr">
        <is>
          <t>yr</t>
        </is>
      </c>
      <c r="D15" s="42" t="n">
        <v>7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85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0.65</v>
      </c>
    </row>
    <row r="25">
      <c r="A25" t="inlineStr">
        <is>
          <t>Interest Rate</t>
        </is>
      </c>
      <c r="B25" t="inlineStr">
        <is>
          <t>%</t>
        </is>
      </c>
      <c r="D25" s="42" t="n">
        <v>0.06</v>
      </c>
    </row>
    <row r="26">
      <c r="A26" t="inlineStr">
        <is>
          <t>Debt Tenor</t>
        </is>
      </c>
      <c r="B26" t="inlineStr">
        <is>
          <t>yrs</t>
        </is>
      </c>
      <c r="D26" s="42" t="n">
        <v>7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E62</f>
        <v/>
      </c>
    </row>
    <row r="5">
      <c r="A5" s="33" t="inlineStr">
        <is>
          <t>═══════════════════ CONTROL PANEL ═══════════════════</t>
        </is>
      </c>
    </row>
    <row r="7">
      <c r="A7" s="29" t="inlineStr">
        <is>
          <t>Revenue Mode</t>
        </is>
      </c>
      <c r="C7" s="6" t="inlineStr">
        <is>
          <t>Merchant / Contracted / Hybrid</t>
        </is>
      </c>
      <c r="D7" s="42" t="inlineStr">
        <is>
          <t>Merchant</t>
        </is>
      </c>
    </row>
    <row r="8">
      <c r="A8" s="29" t="inlineStr">
        <is>
          <t>Contract Years</t>
        </is>
      </c>
      <c r="C8" s="6" t="inlineStr">
        <is>
          <t>If Hybrid: years of contracted revenue</t>
        </is>
      </c>
      <c r="D8" s="42" t="inlineStr">
        <is>
          <t>0</t>
        </is>
      </c>
    </row>
    <row r="9">
      <c r="A9" s="29" t="inlineStr">
        <is>
          <t>Debt Sweep</t>
        </is>
      </c>
      <c r="C9" s="6" t="inlineStr">
        <is>
          <t>ON / OFF</t>
        </is>
      </c>
      <c r="D9" s="42" t="inlineStr">
        <is>
          <t>ON</t>
        </is>
      </c>
    </row>
    <row r="10">
      <c r="A10" s="29" t="inlineStr">
        <is>
          <t>Sweep %</t>
        </is>
      </c>
      <c r="C10" s="6" t="inlineStr">
        <is>
          <t>Only active if Sweep = ON</t>
        </is>
      </c>
      <c r="D10" s="42" t="inlineStr">
        <is>
          <t>75%</t>
        </is>
      </c>
    </row>
    <row r="11">
      <c r="A11" s="29" t="inlineStr">
        <is>
          <t>Exit Method</t>
        </is>
      </c>
      <c r="C11" s="6" t="inlineStr">
        <is>
          <t>Multiple / DCF</t>
        </is>
      </c>
      <c r="D11" s="42" t="inlineStr">
        <is>
          <t>Multiple</t>
        </is>
      </c>
    </row>
    <row r="13">
      <c r="A13" s="33" t="inlineStr">
        <is>
          <t>════════════════════════════════════════════════════</t>
        </is>
      </c>
    </row>
    <row r="15">
      <c r="A15" s="5" t="inlineStr">
        <is>
          <t>Avg CFADS (Y1-Y5)</t>
        </is>
      </c>
      <c r="B15" s="6" t="inlineStr">
        <is>
          <t>$mm</t>
        </is>
      </c>
      <c r="C15" s="6" t="inlineStr">
        <is>
          <t>EBITDA minus Taxes</t>
        </is>
      </c>
      <c r="D15" s="7">
        <f>AVERAGE(E68:I68)</f>
        <v/>
      </c>
    </row>
    <row r="16">
      <c r="A16" s="5" t="inlineStr">
        <is>
          <t>Min DSCR (Y1-Y5)</t>
        </is>
      </c>
      <c r="B16" s="6" t="inlineStr">
        <is>
          <t>x</t>
        </is>
      </c>
      <c r="C16" s="6" t="inlineStr">
        <is>
          <t>CFADS / Debt Service</t>
        </is>
      </c>
      <c r="D16" s="22">
        <f>IF(COUNTIF(E79:I79,"&gt;0")&gt;0,MINIFS(E79:I79,E79:I79,"&gt;0"),0)</f>
        <v/>
      </c>
    </row>
    <row r="17">
      <c r="A17" s="5" t="inlineStr">
        <is>
          <t>Levered IRR</t>
        </is>
      </c>
      <c r="B17" s="6" t="inlineStr">
        <is>
          <t>%</t>
        </is>
      </c>
      <c r="C17" s="6" t="inlineStr">
        <is>
          <t>IRR of Equity CFs</t>
        </is>
      </c>
      <c r="D17" s="23">
        <f>D113</f>
        <v/>
      </c>
    </row>
    <row r="18">
      <c r="A18" s="5" t="inlineStr">
        <is>
          <t>MOIC</t>
        </is>
      </c>
      <c r="B18" s="6" t="inlineStr">
        <is>
          <t>x</t>
        </is>
      </c>
      <c r="C18" s="6" t="inlineStr">
        <is>
          <t>Total In / Total Out</t>
        </is>
      </c>
      <c r="D18" s="22">
        <f>D114</f>
        <v/>
      </c>
    </row>
    <row r="19">
      <c r="A19" s="5" t="inlineStr">
        <is>
          <t>Unlevered IRR</t>
        </is>
      </c>
      <c r="B19" s="6" t="inlineStr">
        <is>
          <t>%</t>
        </is>
      </c>
      <c r="C19" s="6" t="inlineStr">
        <is>
          <t>IRR of Equity CFs</t>
        </is>
      </c>
      <c r="D19" s="23">
        <f>D118</f>
        <v/>
      </c>
    </row>
    <row r="20">
      <c r="A20" s="3" t="inlineStr">
        <is>
          <t>═══ QA CHECKS ═══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5" t="inlineStr">
        <is>
          <t>S&amp;U Balance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>
        <is>
          <t>CFADS / Debt Service</t>
        </is>
      </c>
      <c r="D23" s="10">
        <f>IF(D6&gt;=1.25,"PASS","FAIL")</f>
        <v/>
      </c>
    </row>
    <row r="24"/>
    <row r="25"/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4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25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1"/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24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24" t="n">
        <v>0.05</v>
      </c>
    </row>
    <row r="36"/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24" t="n">
        <v>0.02</v>
      </c>
    </row>
    <row r="40"/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4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5"/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24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24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24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25" t="n">
        <v>1.1</v>
      </c>
    </row>
    <row r="53"/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24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24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8"/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$D$17*$D$37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$D$17*$D$46/$D$47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$D$50/$D$39</f>
        <v/>
      </c>
    </row>
    <row r="63"/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$D$23*(1+$D$24)^(1-1)</f>
        <v/>
      </c>
      <c r="F65" s="17">
        <f>$D$23*(1+$D$24)^(2-1)</f>
        <v/>
      </c>
      <c r="G65" s="17">
        <f>$D$23*(1+$D$24)^(3-1)</f>
        <v/>
      </c>
      <c r="H65" s="17">
        <f>$D$23*(1+$D$24)^(4-1)</f>
        <v/>
      </c>
      <c r="I65" s="17">
        <f>$D$23*(1+$D$24)^(5-1)</f>
        <v/>
      </c>
      <c r="J65" s="17">
        <f>$D$23*(1+$D$24)^4*(1-$D$25)^(6-5)</f>
        <v/>
      </c>
      <c r="K65" s="17">
        <f>$D$23*(1+$D$24)^4*(1-$D$25)^(7-5)</f>
        <v/>
      </c>
      <c r="L65" s="17">
        <f>$D$23*(1+$D$24)^4*(1-$D$25)^(8-5)</f>
        <v/>
      </c>
      <c r="M65" s="17">
        <f>$D$23*(1+$D$24)^4*(1-$D$25)^(9-5)</f>
        <v/>
      </c>
      <c r="N65" s="17">
        <f>$D$23*(1+$D$24)^4*(1-$D$25)^(10-5)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E55*365/1000</f>
        <v/>
      </c>
      <c r="F66" s="17">
        <f>F55*365/1000</f>
        <v/>
      </c>
      <c r="G66" s="17">
        <f>G55*365/1000</f>
        <v/>
      </c>
      <c r="H66" s="17">
        <f>H55*365/1000</f>
        <v/>
      </c>
      <c r="I66" s="17">
        <f>I55*365/1000</f>
        <v/>
      </c>
      <c r="J66" s="17">
        <f>J55*365/1000</f>
        <v/>
      </c>
      <c r="K66" s="17">
        <f>K55*365/1000</f>
        <v/>
      </c>
      <c r="L66" s="17">
        <f>L55*365/1000</f>
        <v/>
      </c>
      <c r="M66" s="17">
        <f>M55*365/1000</f>
        <v/>
      </c>
      <c r="N66" s="17">
        <f>N55*365/1000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$D$28*(1+$D$29)^(1-1)</f>
        <v/>
      </c>
      <c r="F67" s="18">
        <f>$D$28*(1+$D$29)^(2-1)</f>
        <v/>
      </c>
      <c r="G67" s="18">
        <f>$D$28*(1+$D$29)^(3-1)</f>
        <v/>
      </c>
      <c r="H67" s="18">
        <f>$D$28*(1+$D$29)^(4-1)</f>
        <v/>
      </c>
      <c r="I67" s="18">
        <f>$D$28*(1+$D$29)^(5-1)</f>
        <v/>
      </c>
      <c r="J67" s="18">
        <f>$D$28*(1+$D$29)^(6-1)</f>
        <v/>
      </c>
      <c r="K67" s="18">
        <f>$D$28*(1+$D$29)^(7-1)</f>
        <v/>
      </c>
      <c r="L67" s="18">
        <f>$D$28*(1+$D$29)^(8-1)</f>
        <v/>
      </c>
      <c r="M67" s="18">
        <f>$D$28*(1+$D$29)^(9-1)</f>
        <v/>
      </c>
      <c r="N67" s="18">
        <f>$D$28*(1+$D$29)^(10-1)</f>
        <v/>
      </c>
    </row>
    <row r="68"/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E56*E57</f>
        <v/>
      </c>
      <c r="F69" s="16">
        <f>F56*F57</f>
        <v/>
      </c>
      <c r="G69" s="16">
        <f>G56*G57</f>
        <v/>
      </c>
      <c r="H69" s="16">
        <f>H56*H57</f>
        <v/>
      </c>
      <c r="I69" s="16">
        <f>I56*I57</f>
        <v/>
      </c>
      <c r="J69" s="16">
        <f>J56*J57</f>
        <v/>
      </c>
      <c r="K69" s="16">
        <f>K56*K57</f>
        <v/>
      </c>
      <c r="L69" s="16">
        <f>L56*L57</f>
        <v/>
      </c>
      <c r="M69" s="16">
        <f>M56*M57</f>
        <v/>
      </c>
      <c r="N69" s="16">
        <f>N56*N57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$D$32*(1+$D$33)^(1-1)</f>
        <v/>
      </c>
      <c r="F70" s="16">
        <f>$D$32*(1+$D$33)^(2-1)</f>
        <v/>
      </c>
      <c r="G70" s="16">
        <f>$D$32*(1+$D$33)^(3-1)</f>
        <v/>
      </c>
      <c r="H70" s="16">
        <f>$D$32*(1+$D$33)^(4-1)</f>
        <v/>
      </c>
      <c r="I70" s="16">
        <f>$D$32*(1+$D$33)^(5-1)</f>
        <v/>
      </c>
      <c r="J70" s="16">
        <f>$D$32*(1+$D$33)^(6-1)</f>
        <v/>
      </c>
      <c r="K70" s="16">
        <f>$D$32*(1+$D$33)^(7-1)</f>
        <v/>
      </c>
      <c r="L70" s="16">
        <f>$D$32*(1+$D$33)^(8-1)</f>
        <v/>
      </c>
      <c r="M70" s="16">
        <f>$D$32*(1+$D$33)^(9-1)</f>
        <v/>
      </c>
      <c r="N70" s="16">
        <f>$D$32*(1+$D$33)^(10-1)</f>
        <v/>
      </c>
    </row>
    <row r="71"/>
    <row r="72">
      <c r="A72" s="5" t="inlineStr">
        <is>
          <t>EBITDA</t>
        </is>
      </c>
      <c r="B72" s="6" t="inlineStr">
        <is>
          <t>$mm</t>
        </is>
      </c>
      <c r="C72" s="6" t="inlineStr">
        <is>
          <t>Revenue minus OpEx</t>
        </is>
      </c>
      <c r="E72" s="7">
        <f>E59-E60</f>
        <v/>
      </c>
      <c r="F72" s="7">
        <f>F59-F60</f>
        <v/>
      </c>
      <c r="G72" s="7">
        <f>G59-G60</f>
        <v/>
      </c>
      <c r="H72" s="7">
        <f>H59-H60</f>
        <v/>
      </c>
      <c r="I72" s="7">
        <f>I59-I60</f>
        <v/>
      </c>
      <c r="J72" s="7">
        <f>J59-J60</f>
        <v/>
      </c>
      <c r="K72" s="7">
        <f>K59-K60</f>
        <v/>
      </c>
      <c r="L72" s="7">
        <f>L59-L60</f>
        <v/>
      </c>
      <c r="M72" s="7">
        <f>M59-M60</f>
        <v/>
      </c>
      <c r="N72" s="7">
        <f>N59-N60</f>
        <v/>
      </c>
    </row>
    <row r="73"/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E62-$D$51</f>
        <v/>
      </c>
      <c r="F75" s="16">
        <f>F62-$D$51</f>
        <v/>
      </c>
      <c r="G75" s="16">
        <f>G62-$D$51</f>
        <v/>
      </c>
      <c r="H75" s="16">
        <f>H62-$D$51</f>
        <v/>
      </c>
      <c r="I75" s="16">
        <f>I62-$D$51</f>
        <v/>
      </c>
      <c r="J75" s="16">
        <f>J62-$D$51</f>
        <v/>
      </c>
      <c r="K75" s="16">
        <f>K62-$D$51</f>
        <v/>
      </c>
      <c r="L75" s="16">
        <f>L62-$D$51</f>
        <v/>
      </c>
      <c r="M75" s="16">
        <f>M62-$D$51</f>
        <v/>
      </c>
      <c r="N75" s="16">
        <f>N62-$D$51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MAX(0,E65)*$D$45</f>
        <v/>
      </c>
      <c r="F76" s="16">
        <f>MAX(0,F65)*$D$45</f>
        <v/>
      </c>
      <c r="G76" s="16">
        <f>MAX(0,G65)*$D$45</f>
        <v/>
      </c>
      <c r="H76" s="16">
        <f>MAX(0,H65)*$D$45</f>
        <v/>
      </c>
      <c r="I76" s="16">
        <f>MAX(0,I65)*$D$45</f>
        <v/>
      </c>
      <c r="J76" s="16">
        <f>MAX(0,J65)*$D$45</f>
        <v/>
      </c>
      <c r="K76" s="16">
        <f>MAX(0,K65)*$D$45</f>
        <v/>
      </c>
      <c r="L76" s="16">
        <f>MAX(0,L65)*$D$45</f>
        <v/>
      </c>
      <c r="M76" s="16">
        <f>MAX(0,M65)*$D$45</f>
        <v/>
      </c>
      <c r="N76" s="16">
        <f>MAX(0,N65)*$D$45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19">
        <f>IF(1&lt;=5,$D$34,0)</f>
        <v/>
      </c>
      <c r="F77" s="19">
        <f>IF(2&lt;=5,$D$34,0)</f>
        <v/>
      </c>
      <c r="G77" s="19">
        <f>IF(3&lt;=5,$D$34,0)</f>
        <v/>
      </c>
      <c r="H77" s="19">
        <f>IF(4&lt;=5,$D$34,0)</f>
        <v/>
      </c>
      <c r="I77" s="19">
        <f>IF(5&lt;=5,$D$34,0)</f>
        <v/>
      </c>
      <c r="J77" s="19">
        <f>IF(6&lt;=5,$D$34,0)</f>
        <v/>
      </c>
      <c r="K77" s="19">
        <f>IF(7&lt;=5,$D$34,0)</f>
        <v/>
      </c>
      <c r="L77" s="19">
        <f>IF(8&lt;=5,$D$34,0)</f>
        <v/>
      </c>
      <c r="M77" s="19">
        <f>IF(9&lt;=5,$D$34,0)</f>
        <v/>
      </c>
      <c r="N77" s="19">
        <f>IF(10&lt;=5,$D$34,0)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79"/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E81" s="16">
        <f>$D$50</f>
        <v/>
      </c>
      <c r="F81" s="16">
        <f>E78</f>
        <v/>
      </c>
      <c r="G81" s="16">
        <f>F78</f>
        <v/>
      </c>
      <c r="H81" s="16">
        <f>G78</f>
        <v/>
      </c>
      <c r="I81" s="16">
        <f>H78</f>
        <v/>
      </c>
      <c r="J81" s="16">
        <f>I78</f>
        <v/>
      </c>
      <c r="K81" s="16">
        <f>J78</f>
        <v/>
      </c>
      <c r="L81" s="16">
        <f>K78</f>
        <v/>
      </c>
      <c r="M81" s="16">
        <f>L78</f>
        <v/>
      </c>
      <c r="N81" s="16">
        <f>M78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E71*$D$38</f>
        <v/>
      </c>
      <c r="F82" s="16">
        <f>F71*$D$38</f>
        <v/>
      </c>
      <c r="G82" s="16">
        <f>G71*$D$38</f>
        <v/>
      </c>
      <c r="H82" s="16">
        <f>H71*$D$38</f>
        <v/>
      </c>
      <c r="I82" s="16">
        <f>I71*$D$38</f>
        <v/>
      </c>
      <c r="J82" s="16">
        <f>J71*$D$38</f>
        <v/>
      </c>
      <c r="K82" s="16">
        <f>K71*$D$38</f>
        <v/>
      </c>
      <c r="L82" s="16">
        <f>L71*$D$38</f>
        <v/>
      </c>
      <c r="M82" s="16">
        <f>M71*$D$38</f>
        <v/>
      </c>
      <c r="N82" s="16">
        <f>N71*$D$38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MIN($D$52,E71)</f>
        <v/>
      </c>
      <c r="F83" s="16">
        <f>MIN($D$52,F71)</f>
        <v/>
      </c>
      <c r="G83" s="16">
        <f>MIN($D$52,G71)</f>
        <v/>
      </c>
      <c r="H83" s="16">
        <f>MIN($D$52,H71)</f>
        <v/>
      </c>
      <c r="I83" s="16">
        <f>MIN($D$52,I71)</f>
        <v/>
      </c>
      <c r="J83" s="16">
        <f>MIN($D$52,J71)</f>
        <v/>
      </c>
      <c r="K83" s="16">
        <f>MIN($D$52,K71)</f>
        <v/>
      </c>
      <c r="L83" s="16">
        <f>MIN($D$52,L71)</f>
        <v/>
      </c>
      <c r="M83" s="16">
        <f>MIN($D$52,M71)</f>
        <v/>
      </c>
      <c r="N83" s="16">
        <f>MIN($D$52,N71)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E72+E73</f>
        <v/>
      </c>
      <c r="F84" s="16">
        <f>F72+F73</f>
        <v/>
      </c>
      <c r="G84" s="16">
        <f>G72+G73</f>
        <v/>
      </c>
      <c r="H84" s="16">
        <f>H72+H73</f>
        <v/>
      </c>
      <c r="I84" s="16">
        <f>I72+I73</f>
        <v/>
      </c>
      <c r="J84" s="16">
        <f>J72+J73</f>
        <v/>
      </c>
      <c r="K84" s="16">
        <f>K72+K73</f>
        <v/>
      </c>
      <c r="L84" s="16">
        <f>L72+L73</f>
        <v/>
      </c>
      <c r="M84" s="16">
        <f>M72+M73</f>
        <v/>
      </c>
      <c r="N84" s="16">
        <f>N72+N73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MAX(0,E68-E74-E85)</f>
        <v/>
      </c>
      <c r="F85" s="16">
        <f>MAX(0,F68-F74-F85)</f>
        <v/>
      </c>
      <c r="G85" s="16">
        <f>MAX(0,G68-G74-G85)</f>
        <v/>
      </c>
      <c r="H85" s="16">
        <f>MAX(0,H68-H74-H85)</f>
        <v/>
      </c>
      <c r="I85" s="16">
        <f>MAX(0,I68-I74-I85)</f>
        <v/>
      </c>
      <c r="J85" s="16">
        <f>MAX(0,J68-J74-J85)</f>
        <v/>
      </c>
      <c r="K85" s="16">
        <f>MAX(0,K68-K74-K85)</f>
        <v/>
      </c>
      <c r="L85" s="16">
        <f>MAX(0,L68-L74-L85)</f>
        <v/>
      </c>
      <c r="M85" s="16">
        <f>MAX(0,M68-M74-M85)</f>
        <v/>
      </c>
      <c r="N85" s="16">
        <f>MAX(0,N68-N74-N85)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MIN(MAX(0,E75)*$D$41,MAX(0,E71-E73))</f>
        <v/>
      </c>
      <c r="F86" s="19">
        <f>MIN(MAX(0,F75)*$D$41,MAX(0,F71-F73))</f>
        <v/>
      </c>
      <c r="G86" s="19">
        <f>MIN(MAX(0,G75)*$D$41,MAX(0,G71-G73))</f>
        <v/>
      </c>
      <c r="H86" s="19">
        <f>MIN(MAX(0,H75)*$D$41,MAX(0,H71-H73))</f>
        <v/>
      </c>
      <c r="I86" s="19">
        <f>MIN(MAX(0,I75)*$D$41,MAX(0,I71-I73))</f>
        <v/>
      </c>
      <c r="J86" s="19">
        <f>MIN(MAX(0,J75)*$D$41,MAX(0,J71-J73))</f>
        <v/>
      </c>
      <c r="K86" s="19">
        <f>MIN(MAX(0,K75)*$D$41,MAX(0,K71-K73))</f>
        <v/>
      </c>
      <c r="L86" s="19">
        <f>MIN(MAX(0,L75)*$D$41,MAX(0,L71-L73))</f>
        <v/>
      </c>
      <c r="M86" s="19">
        <f>MIN(MAX(0,M75)*$D$41,MAX(0,M71-M73))</f>
        <v/>
      </c>
      <c r="N86" s="19">
        <f>MIN(MAX(0,N75)*$D$41,MAX(0,N71-N73))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E73+E76</f>
        <v/>
      </c>
      <c r="F87" s="16">
        <f>F73+F76</f>
        <v/>
      </c>
      <c r="G87" s="16">
        <f>G73+G76</f>
        <v/>
      </c>
      <c r="H87" s="16">
        <f>H73+H76</f>
        <v/>
      </c>
      <c r="I87" s="16">
        <f>I73+I76</f>
        <v/>
      </c>
      <c r="J87" s="16">
        <f>J73+J76</f>
        <v/>
      </c>
      <c r="K87" s="16">
        <f>K73+K76</f>
        <v/>
      </c>
      <c r="L87" s="16">
        <f>L73+L76</f>
        <v/>
      </c>
      <c r="M87" s="16">
        <f>M73+M76</f>
        <v/>
      </c>
      <c r="N87" s="16">
        <f>N73+N76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E88" s="16">
        <f>MAX(0,E71-E77)</f>
        <v/>
      </c>
      <c r="F88" s="16">
        <f>MAX(0,F71-F77)</f>
        <v/>
      </c>
      <c r="G88" s="16">
        <f>MAX(0,G71-G77)</f>
        <v/>
      </c>
      <c r="H88" s="16">
        <f>MAX(0,H71-H77)</f>
        <v/>
      </c>
      <c r="I88" s="16">
        <f>MAX(0,I71-I77)</f>
        <v/>
      </c>
      <c r="J88" s="16">
        <f>MAX(0,J71-J77)</f>
        <v/>
      </c>
      <c r="K88" s="16">
        <f>MAX(0,K71-K77)</f>
        <v/>
      </c>
      <c r="L88" s="16">
        <f>MAX(0,L71-L77)</f>
        <v/>
      </c>
      <c r="M88" s="16">
        <f>MAX(0,M71-M77)</f>
        <v/>
      </c>
      <c r="N88" s="16">
        <f>MAX(0,N71-N77)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2">
        <f>IF(E74&gt;0,E68/E74,0)</f>
        <v/>
      </c>
      <c r="F89" s="22">
        <f>IF(F74&gt;0,F68/F74,0)</f>
        <v/>
      </c>
      <c r="G89" s="22">
        <f>IF(G74&gt;0,G68/G74,0)</f>
        <v/>
      </c>
      <c r="H89" s="22">
        <f>IF(H74&gt;0,H68/H74,0)</f>
        <v/>
      </c>
      <c r="I89" s="22">
        <f>IF(I74&gt;0,I68/I74,0)</f>
        <v/>
      </c>
      <c r="J89" s="22">
        <f>IF(J74&gt;0,J68/J74,0)</f>
        <v/>
      </c>
      <c r="K89" s="22">
        <f>IF(K74&gt;0,K68/K74,0)</f>
        <v/>
      </c>
      <c r="L89" s="22">
        <f>IF(L74&gt;0,L68/L74,0)</f>
        <v/>
      </c>
      <c r="M89" s="22">
        <f>IF(M74&gt;0,M68/M74,0)</f>
        <v/>
      </c>
      <c r="N89" s="22">
        <f>IF(N74&gt;0,N68/N74,0)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MAX(0,$D$50-(1-1)*$D$52)*$D$38+$D$52</f>
        <v/>
      </c>
      <c r="F90" s="16">
        <f>MAX(0,$D$50-(2-1)*$D$52)*$D$38+$D$52</f>
        <v/>
      </c>
      <c r="G90" s="16">
        <f>MAX(0,$D$50-(3-1)*$D$52)*$D$38+$D$52</f>
        <v/>
      </c>
      <c r="H90" s="16">
        <f>MAX(0,$D$50-(4-1)*$D$52)*$D$38+$D$52</f>
        <v/>
      </c>
      <c r="I90" s="16">
        <f>MAX(0,$D$50-(5-1)*$D$52)*$D$38+$D$52</f>
        <v/>
      </c>
      <c r="J90" s="16">
        <f>MAX(0,$D$50-(6-1)*$D$52)*$D$38+$D$52</f>
        <v/>
      </c>
      <c r="K90" s="16">
        <f>MAX(0,$D$50-(7-1)*$D$52)*$D$38+$D$52</f>
        <v/>
      </c>
      <c r="L90" s="16">
        <f>MAX(0,$D$50-(8-1)*$D$52)*$D$38+$D$52</f>
        <v/>
      </c>
      <c r="M90" s="16">
        <f>MAX(0,$D$50-(9-1)*$D$52)*$D$38+$D$52</f>
        <v/>
      </c>
      <c r="N90" s="16">
        <f>MAX(0,$D$50-(10-1)*$D$52)*$D$38+$D$52</f>
        <v/>
      </c>
    </row>
    <row r="91"/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D86</f>
        <v/>
      </c>
      <c r="F94" s="16">
        <f>E86</f>
        <v/>
      </c>
      <c r="G94" s="16">
        <f>F86</f>
        <v/>
      </c>
      <c r="H94" s="16">
        <f>G86</f>
        <v/>
      </c>
      <c r="I94" s="16">
        <f>H86</f>
        <v/>
      </c>
      <c r="J94" s="16">
        <f>I86</f>
        <v/>
      </c>
      <c r="K94" s="16">
        <f>J86</f>
        <v/>
      </c>
      <c r="L94" s="16">
        <f>K86</f>
        <v/>
      </c>
      <c r="M94" s="16">
        <f>L86</f>
        <v/>
      </c>
      <c r="N94" s="16">
        <f>M86</f>
        <v/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>
        <f>D83-D84</f>
        <v/>
      </c>
      <c r="E95" s="16">
        <f>E83-E84</f>
        <v/>
      </c>
      <c r="F95" s="16">
        <f>F83-F84</f>
        <v/>
      </c>
      <c r="G95" s="16">
        <f>G83-G84</f>
        <v/>
      </c>
      <c r="H95" s="16">
        <f>H83-H84</f>
        <v/>
      </c>
      <c r="I95" s="16">
        <f>I83-I84</f>
        <v/>
      </c>
      <c r="J95" s="16">
        <f>J83-J84</f>
        <v/>
      </c>
      <c r="K95" s="16">
        <f>K83-K84</f>
        <v/>
      </c>
      <c r="L95" s="16">
        <f>L83-L84</f>
        <v/>
      </c>
      <c r="M95" s="16">
        <f>M83-M84</f>
        <v/>
      </c>
      <c r="N95" s="16">
        <f>N83-N84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E84+E85</f>
        <v/>
      </c>
      <c r="F96" s="16">
        <f>F84+F85</f>
        <v/>
      </c>
      <c r="G96" s="16">
        <f>G84+G85</f>
        <v/>
      </c>
      <c r="H96" s="16">
        <f>H84+H85</f>
        <v/>
      </c>
      <c r="I96" s="16">
        <f>I84+I85</f>
        <v/>
      </c>
      <c r="J96" s="16">
        <f>J84+J85</f>
        <v/>
      </c>
      <c r="K96" s="16">
        <f>K84+K85</f>
        <v/>
      </c>
      <c r="L96" s="16">
        <f>L84+L85</f>
        <v/>
      </c>
      <c r="M96" s="16">
        <f>M84+M85</f>
        <v/>
      </c>
      <c r="N96" s="16">
        <f>N84+N85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IF(E89="PASS",MAX(0,E88),0)</f>
        <v/>
      </c>
      <c r="F100" s="7">
        <f>IF(F89="PASS",MAX(0,F88),0)</f>
        <v/>
      </c>
      <c r="G100" s="7">
        <f>IF(G89="PASS",MAX(0,G88),0)</f>
        <v/>
      </c>
      <c r="H100" s="7">
        <f>IF(H89="PASS",MAX(0,H88),0)</f>
        <v/>
      </c>
      <c r="I100" s="7">
        <f>IF(I89="PASS",MAX(0,I88),0)</f>
        <v/>
      </c>
      <c r="J100" s="7">
        <f>IF(J89="PASS",MAX(0,J88),0)</f>
        <v/>
      </c>
      <c r="K100" s="7">
        <f>IF(K89="PASS",MAX(0,K88),0)</f>
        <v/>
      </c>
      <c r="L100" s="7">
        <f>IF(L89="PASS",MAX(0,L88),0)</f>
        <v/>
      </c>
      <c r="M100" s="7">
        <f>IF(M89="PASS",MAX(0,M88),0)</f>
        <v/>
      </c>
      <c r="N100" s="7">
        <f>IF(N89="PASS",MAX(0,N88),0)</f>
        <v/>
      </c>
    </row>
    <row r="101"/>
    <row r="102">
      <c r="A102" s="3" t="inlineStr">
        <is>
          <t>SOURCES &amp; USES (Year 0)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D83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D94+D95+D96</f>
        <v/>
      </c>
    </row>
    <row r="108"/>
    <row r="109">
      <c r="A109" s="21" t="inlineStr">
        <is>
          <t>SOURCES</t>
        </is>
      </c>
      <c r="B109" s="6" t="inlineStr"/>
      <c r="C109" s="6" t="inlineStr"/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D100+D101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IF(ABS(D97-D102)&lt;0.01,"PASS","FAIL")</f>
        <v/>
      </c>
    </row>
    <row r="114"/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K119" s="7">
        <f>K106-K107+K108</f>
        <v/>
      </c>
    </row>
    <row r="120"/>
    <row r="121">
      <c r="A121" s="3" t="inlineStr">
        <is>
          <t>EQUITY RETURNS</t>
        </is>
      </c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5" t="inlineStr">
        <is>
          <t>Equity Cash Flow</t>
        </is>
      </c>
      <c r="B122" s="6" t="inlineStr">
        <is>
          <t>$mm</t>
        </is>
      </c>
      <c r="C122" s="6" t="inlineStr"/>
      <c r="D122" s="16">
        <f>-D101</f>
        <v/>
      </c>
      <c r="E122" s="16">
        <f>E90</f>
        <v/>
      </c>
      <c r="F122" s="16">
        <f>F90</f>
        <v/>
      </c>
      <c r="G122" s="16">
        <f>G90</f>
        <v/>
      </c>
      <c r="H122" s="16">
        <f>H90</f>
        <v/>
      </c>
      <c r="I122" s="16">
        <f>I90</f>
        <v/>
      </c>
      <c r="J122" s="16">
        <f>J90</f>
        <v/>
      </c>
      <c r="K122" s="16">
        <f>K90+K109</f>
        <v/>
      </c>
      <c r="L122" s="16">
        <f>0</f>
        <v/>
      </c>
      <c r="M122" s="16">
        <f>0</f>
        <v/>
      </c>
      <c r="N122" s="16">
        <f>0</f>
        <v/>
      </c>
    </row>
    <row r="123">
      <c r="A123" s="5" t="inlineStr">
        <is>
          <t>Levered IRR</t>
        </is>
      </c>
      <c r="B123" s="6" t="inlineStr">
        <is>
          <t>%</t>
        </is>
      </c>
      <c r="C123" s="6" t="inlineStr">
        <is>
          <t>IRR of Equity CFs</t>
        </is>
      </c>
      <c r="D123" s="23">
        <f>IRR(D112:K112)</f>
        <v/>
      </c>
    </row>
    <row r="124">
      <c r="A124" s="5" t="inlineStr">
        <is>
          <t>MOIC</t>
        </is>
      </c>
      <c r="B124" s="6" t="inlineStr">
        <is>
          <t>x</t>
        </is>
      </c>
      <c r="C124" s="6" t="inlineStr">
        <is>
          <t>Sum inflows / outflow</t>
        </is>
      </c>
      <c r="D124" s="22">
        <f>SUMIF(D112:K112,"&gt;0")/ABS(D112)</f>
        <v/>
      </c>
    </row>
    <row r="125"/>
    <row r="126">
      <c r="A126" s="21" t="inlineStr">
        <is>
          <t>Unlevered Returns (for reference)</t>
        </is>
      </c>
      <c r="B126" s="6" t="inlineStr"/>
      <c r="C126" s="6" t="inlineStr"/>
    </row>
    <row r="127">
      <c r="A127" s="5" t="inlineStr">
        <is>
          <t>Unlevered Cash Flow</t>
        </is>
      </c>
      <c r="B127" s="6" t="inlineStr">
        <is>
          <t>$mm</t>
        </is>
      </c>
      <c r="C127" s="6" t="inlineStr"/>
      <c r="D127" s="16">
        <f>-$D$17-D95</f>
        <v/>
      </c>
      <c r="E127" s="16">
        <f>E68</f>
        <v/>
      </c>
      <c r="F127" s="16">
        <f>F68</f>
        <v/>
      </c>
      <c r="G127" s="16">
        <f>G68</f>
        <v/>
      </c>
      <c r="H127" s="16">
        <f>H68</f>
        <v/>
      </c>
      <c r="I127" s="16">
        <f>I68</f>
        <v/>
      </c>
      <c r="J127" s="16">
        <f>J68</f>
        <v/>
      </c>
      <c r="K127" s="16">
        <f>K68+K106</f>
        <v/>
      </c>
      <c r="L127" s="16">
        <f>0</f>
        <v/>
      </c>
      <c r="M127" s="16">
        <f>0</f>
        <v/>
      </c>
      <c r="N127" s="16">
        <f>0</f>
        <v/>
      </c>
    </row>
    <row r="128">
      <c r="A128" s="5" t="inlineStr">
        <is>
          <t>Unlevered IRR</t>
        </is>
      </c>
      <c r="B128" s="6" t="inlineStr">
        <is>
          <t>%</t>
        </is>
      </c>
      <c r="C128" s="6" t="inlineStr">
        <is>
          <t>IRR of Equity CFs</t>
        </is>
      </c>
      <c r="D128" s="23">
        <f>IRR(D117:K117)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E62</f>
        <v/>
      </c>
    </row>
    <row r="5">
      <c r="A5" s="33" t="inlineStr">
        <is>
          <t>═══════════════════ CONTROL PANEL ═══════════════════</t>
        </is>
      </c>
    </row>
    <row r="7">
      <c r="A7" s="29" t="inlineStr">
        <is>
          <t>Revenue Mode</t>
        </is>
      </c>
      <c r="C7" s="6" t="inlineStr">
        <is>
          <t>Merchant / Contracted / Hybrid</t>
        </is>
      </c>
      <c r="D7" s="42" t="inlineStr">
        <is>
          <t>Merchant</t>
        </is>
      </c>
    </row>
    <row r="8">
      <c r="A8" s="29" t="inlineStr">
        <is>
          <t>Contract Years</t>
        </is>
      </c>
      <c r="C8" s="6" t="inlineStr">
        <is>
          <t>If Hybrid: years of contracted revenue</t>
        </is>
      </c>
      <c r="D8" s="42" t="inlineStr">
        <is>
          <t>0</t>
        </is>
      </c>
    </row>
    <row r="9">
      <c r="A9" s="29" t="inlineStr">
        <is>
          <t>Debt Sweep</t>
        </is>
      </c>
      <c r="C9" s="6" t="inlineStr">
        <is>
          <t>ON / OFF</t>
        </is>
      </c>
      <c r="D9" s="42" t="inlineStr">
        <is>
          <t>ON</t>
        </is>
      </c>
    </row>
    <row r="10">
      <c r="A10" s="29" t="inlineStr">
        <is>
          <t>Sweep %</t>
        </is>
      </c>
      <c r="C10" s="6" t="inlineStr">
        <is>
          <t>Only active if Sweep = ON</t>
        </is>
      </c>
      <c r="D10" s="42" t="inlineStr">
        <is>
          <t>75%</t>
        </is>
      </c>
    </row>
    <row r="11">
      <c r="A11" s="29" t="inlineStr">
        <is>
          <t>Exit Method</t>
        </is>
      </c>
      <c r="C11" s="6" t="inlineStr">
        <is>
          <t>Multiple / DCF</t>
        </is>
      </c>
      <c r="D11" s="42" t="inlineStr">
        <is>
          <t>Multiple</t>
        </is>
      </c>
    </row>
    <row r="13">
      <c r="A13" s="33" t="inlineStr">
        <is>
          <t>════════════════════════════════════════════════════</t>
        </is>
      </c>
    </row>
    <row r="15">
      <c r="A15" s="5" t="inlineStr">
        <is>
          <t>Avg CFADS (Y1-Y5)</t>
        </is>
      </c>
      <c r="B15" s="6" t="inlineStr">
        <is>
          <t>$mm</t>
        </is>
      </c>
      <c r="C15" s="6" t="inlineStr">
        <is>
          <t>EBITDA minus Taxes</t>
        </is>
      </c>
      <c r="D15" s="7">
        <f>AVERAGE(E68:I68)</f>
        <v/>
      </c>
    </row>
    <row r="16">
      <c r="A16" s="5" t="inlineStr">
        <is>
          <t>Min DSCR (Y1-Y5)</t>
        </is>
      </c>
      <c r="B16" s="6" t="inlineStr">
        <is>
          <t>x</t>
        </is>
      </c>
      <c r="C16" s="6" t="inlineStr">
        <is>
          <t>CFADS / Debt Service</t>
        </is>
      </c>
      <c r="D16" s="22">
        <f>IF(COUNTIF(E79:I79,"&gt;0")&gt;0,MINIFS(E79:I79,E79:I79,"&gt;0"),0)</f>
        <v/>
      </c>
    </row>
    <row r="17">
      <c r="A17" s="5" t="inlineStr">
        <is>
          <t>Levered IRR</t>
        </is>
      </c>
      <c r="B17" s="6" t="inlineStr">
        <is>
          <t>%</t>
        </is>
      </c>
      <c r="C17" s="6" t="inlineStr">
        <is>
          <t>IRR of Equity CFs</t>
        </is>
      </c>
      <c r="D17" s="23">
        <f>D113</f>
        <v/>
      </c>
    </row>
    <row r="18">
      <c r="A18" s="5" t="inlineStr">
        <is>
          <t>MOIC</t>
        </is>
      </c>
      <c r="B18" s="6" t="inlineStr">
        <is>
          <t>x</t>
        </is>
      </c>
      <c r="C18" s="6" t="inlineStr">
        <is>
          <t>Total In / Total Out</t>
        </is>
      </c>
      <c r="D18" s="22">
        <f>D114</f>
        <v/>
      </c>
    </row>
    <row r="19">
      <c r="A19" s="5" t="inlineStr">
        <is>
          <t>Unlevered IRR</t>
        </is>
      </c>
      <c r="B19" s="6" t="inlineStr">
        <is>
          <t>%</t>
        </is>
      </c>
      <c r="C19" s="6" t="inlineStr">
        <is>
          <t>IRR of Equity CFs</t>
        </is>
      </c>
      <c r="D19" s="23">
        <f>D118</f>
        <v/>
      </c>
    </row>
    <row r="20">
      <c r="A20" s="3" t="inlineStr">
        <is>
          <t>═══ QA CHECKS ═══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5" t="inlineStr">
        <is>
          <t>S&amp;U Balance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>
        <is>
          <t>CFADS / Debt Service</t>
        </is>
      </c>
      <c r="D23" s="10">
        <f>IF(D6&gt;=1.25,"PASS","FAIL")</f>
        <v/>
      </c>
    </row>
    <row r="24"/>
    <row r="25"/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4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25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1"/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24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24" t="n">
        <v>0.05</v>
      </c>
    </row>
    <row r="36"/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24" t="n">
        <v>0.02</v>
      </c>
    </row>
    <row r="40"/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4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5"/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24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24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24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25" t="n">
        <v>1.1</v>
      </c>
    </row>
    <row r="53"/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24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24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8"/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$D$17*$D$37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$D$17*$D$46/$D$47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$D$50/$D$39</f>
        <v/>
      </c>
    </row>
    <row r="63"/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$D$23*(1+$D$24)^(1-1)</f>
        <v/>
      </c>
      <c r="F65" s="17">
        <f>$D$23*(1+$D$24)^(2-1)</f>
        <v/>
      </c>
      <c r="G65" s="17">
        <f>$D$23*(1+$D$24)^(3-1)</f>
        <v/>
      </c>
      <c r="H65" s="17">
        <f>$D$23*(1+$D$24)^(4-1)</f>
        <v/>
      </c>
      <c r="I65" s="17">
        <f>$D$23*(1+$D$24)^(5-1)</f>
        <v/>
      </c>
      <c r="J65" s="17">
        <f>$D$23*(1+$D$24)^4*(1-$D$25)^(6-5)</f>
        <v/>
      </c>
      <c r="K65" s="17">
        <f>$D$23*(1+$D$24)^4*(1-$D$25)^(7-5)</f>
        <v/>
      </c>
      <c r="L65" s="17">
        <f>$D$23*(1+$D$24)^4*(1-$D$25)^(8-5)</f>
        <v/>
      </c>
      <c r="M65" s="17">
        <f>$D$23*(1+$D$24)^4*(1-$D$25)^(9-5)</f>
        <v/>
      </c>
      <c r="N65" s="17">
        <f>$D$23*(1+$D$24)^4*(1-$D$25)^(10-5)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E55*365/1000</f>
        <v/>
      </c>
      <c r="F66" s="17">
        <f>F55*365/1000</f>
        <v/>
      </c>
      <c r="G66" s="17">
        <f>G55*365/1000</f>
        <v/>
      </c>
      <c r="H66" s="17">
        <f>H55*365/1000</f>
        <v/>
      </c>
      <c r="I66" s="17">
        <f>I55*365/1000</f>
        <v/>
      </c>
      <c r="J66" s="17">
        <f>J55*365/1000</f>
        <v/>
      </c>
      <c r="K66" s="17">
        <f>K55*365/1000</f>
        <v/>
      </c>
      <c r="L66" s="17">
        <f>L55*365/1000</f>
        <v/>
      </c>
      <c r="M66" s="17">
        <f>M55*365/1000</f>
        <v/>
      </c>
      <c r="N66" s="17">
        <f>N55*365/1000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$D$28*(1+$D$29)^(1-1)</f>
        <v/>
      </c>
      <c r="F67" s="18">
        <f>$D$28*(1+$D$29)^(2-1)</f>
        <v/>
      </c>
      <c r="G67" s="18">
        <f>$D$28*(1+$D$29)^(3-1)</f>
        <v/>
      </c>
      <c r="H67" s="18">
        <f>$D$28*(1+$D$29)^(4-1)</f>
        <v/>
      </c>
      <c r="I67" s="18">
        <f>$D$28*(1+$D$29)^(5-1)</f>
        <v/>
      </c>
      <c r="J67" s="18">
        <f>$D$28*(1+$D$29)^(6-1)</f>
        <v/>
      </c>
      <c r="K67" s="18">
        <f>$D$28*(1+$D$29)^(7-1)</f>
        <v/>
      </c>
      <c r="L67" s="18">
        <f>$D$28*(1+$D$29)^(8-1)</f>
        <v/>
      </c>
      <c r="M67" s="18">
        <f>$D$28*(1+$D$29)^(9-1)</f>
        <v/>
      </c>
      <c r="N67" s="18">
        <f>$D$28*(1+$D$29)^(10-1)</f>
        <v/>
      </c>
    </row>
    <row r="68"/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E56*E57</f>
        <v/>
      </c>
      <c r="F69" s="16">
        <f>F56*F57</f>
        <v/>
      </c>
      <c r="G69" s="16">
        <f>G56*G57</f>
        <v/>
      </c>
      <c r="H69" s="16">
        <f>H56*H57</f>
        <v/>
      </c>
      <c r="I69" s="16">
        <f>I56*I57</f>
        <v/>
      </c>
      <c r="J69" s="16">
        <f>J56*J57</f>
        <v/>
      </c>
      <c r="K69" s="16">
        <f>K56*K57</f>
        <v/>
      </c>
      <c r="L69" s="16">
        <f>L56*L57</f>
        <v/>
      </c>
      <c r="M69" s="16">
        <f>M56*M57</f>
        <v/>
      </c>
      <c r="N69" s="16">
        <f>N56*N57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$D$32*(1+$D$33)^(1-1)</f>
        <v/>
      </c>
      <c r="F70" s="16">
        <f>$D$32*(1+$D$33)^(2-1)</f>
        <v/>
      </c>
      <c r="G70" s="16">
        <f>$D$32*(1+$D$33)^(3-1)</f>
        <v/>
      </c>
      <c r="H70" s="16">
        <f>$D$32*(1+$D$33)^(4-1)</f>
        <v/>
      </c>
      <c r="I70" s="16">
        <f>$D$32*(1+$D$33)^(5-1)</f>
        <v/>
      </c>
      <c r="J70" s="16">
        <f>$D$32*(1+$D$33)^(6-1)</f>
        <v/>
      </c>
      <c r="K70" s="16">
        <f>$D$32*(1+$D$33)^(7-1)</f>
        <v/>
      </c>
      <c r="L70" s="16">
        <f>$D$32*(1+$D$33)^(8-1)</f>
        <v/>
      </c>
      <c r="M70" s="16">
        <f>$D$32*(1+$D$33)^(9-1)</f>
        <v/>
      </c>
      <c r="N70" s="16">
        <f>$D$32*(1+$D$33)^(10-1)</f>
        <v/>
      </c>
    </row>
    <row r="71"/>
    <row r="72">
      <c r="A72" s="5" t="inlineStr">
        <is>
          <t>EBITDA</t>
        </is>
      </c>
      <c r="B72" s="6" t="inlineStr">
        <is>
          <t>$mm</t>
        </is>
      </c>
      <c r="C72" s="6" t="inlineStr">
        <is>
          <t>Revenue minus OpEx</t>
        </is>
      </c>
      <c r="E72" s="7">
        <f>E59-E60</f>
        <v/>
      </c>
      <c r="F72" s="7">
        <f>F59-F60</f>
        <v/>
      </c>
      <c r="G72" s="7">
        <f>G59-G60</f>
        <v/>
      </c>
      <c r="H72" s="7">
        <f>H59-H60</f>
        <v/>
      </c>
      <c r="I72" s="7">
        <f>I59-I60</f>
        <v/>
      </c>
      <c r="J72" s="7">
        <f>J59-J60</f>
        <v/>
      </c>
      <c r="K72" s="7">
        <f>K59-K60</f>
        <v/>
      </c>
      <c r="L72" s="7">
        <f>L59-L60</f>
        <v/>
      </c>
      <c r="M72" s="7">
        <f>M59-M60</f>
        <v/>
      </c>
      <c r="N72" s="7">
        <f>N59-N60</f>
        <v/>
      </c>
    </row>
    <row r="73"/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E62-$D$51</f>
        <v/>
      </c>
      <c r="F75" s="16">
        <f>F62-$D$51</f>
        <v/>
      </c>
      <c r="G75" s="16">
        <f>G62-$D$51</f>
        <v/>
      </c>
      <c r="H75" s="16">
        <f>H62-$D$51</f>
        <v/>
      </c>
      <c r="I75" s="16">
        <f>I62-$D$51</f>
        <v/>
      </c>
      <c r="J75" s="16">
        <f>J62-$D$51</f>
        <v/>
      </c>
      <c r="K75" s="16">
        <f>K62-$D$51</f>
        <v/>
      </c>
      <c r="L75" s="16">
        <f>L62-$D$51</f>
        <v/>
      </c>
      <c r="M75" s="16">
        <f>M62-$D$51</f>
        <v/>
      </c>
      <c r="N75" s="16">
        <f>N62-$D$51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MAX(0,E65)*$D$45</f>
        <v/>
      </c>
      <c r="F76" s="16">
        <f>MAX(0,F65)*$D$45</f>
        <v/>
      </c>
      <c r="G76" s="16">
        <f>MAX(0,G65)*$D$45</f>
        <v/>
      </c>
      <c r="H76" s="16">
        <f>MAX(0,H65)*$D$45</f>
        <v/>
      </c>
      <c r="I76" s="16">
        <f>MAX(0,I65)*$D$45</f>
        <v/>
      </c>
      <c r="J76" s="16">
        <f>MAX(0,J65)*$D$45</f>
        <v/>
      </c>
      <c r="K76" s="16">
        <f>MAX(0,K65)*$D$45</f>
        <v/>
      </c>
      <c r="L76" s="16">
        <f>MAX(0,L65)*$D$45</f>
        <v/>
      </c>
      <c r="M76" s="16">
        <f>MAX(0,M65)*$D$45</f>
        <v/>
      </c>
      <c r="N76" s="16">
        <f>MAX(0,N65)*$D$45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19">
        <f>IF(1&lt;=5,$D$34,0)</f>
        <v/>
      </c>
      <c r="F77" s="19">
        <f>IF(2&lt;=5,$D$34,0)</f>
        <v/>
      </c>
      <c r="G77" s="19">
        <f>IF(3&lt;=5,$D$34,0)</f>
        <v/>
      </c>
      <c r="H77" s="19">
        <f>IF(4&lt;=5,$D$34,0)</f>
        <v/>
      </c>
      <c r="I77" s="19">
        <f>IF(5&lt;=5,$D$34,0)</f>
        <v/>
      </c>
      <c r="J77" s="19">
        <f>IF(6&lt;=5,$D$34,0)</f>
        <v/>
      </c>
      <c r="K77" s="19">
        <f>IF(7&lt;=5,$D$34,0)</f>
        <v/>
      </c>
      <c r="L77" s="19">
        <f>IF(8&lt;=5,$D$34,0)</f>
        <v/>
      </c>
      <c r="M77" s="19">
        <f>IF(9&lt;=5,$D$34,0)</f>
        <v/>
      </c>
      <c r="N77" s="19">
        <f>IF(10&lt;=5,$D$34,0)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79"/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E81" s="16">
        <f>$D$50</f>
        <v/>
      </c>
      <c r="F81" s="16">
        <f>E78</f>
        <v/>
      </c>
      <c r="G81" s="16">
        <f>F78</f>
        <v/>
      </c>
      <c r="H81" s="16">
        <f>G78</f>
        <v/>
      </c>
      <c r="I81" s="16">
        <f>H78</f>
        <v/>
      </c>
      <c r="J81" s="16">
        <f>I78</f>
        <v/>
      </c>
      <c r="K81" s="16">
        <f>J78</f>
        <v/>
      </c>
      <c r="L81" s="16">
        <f>K78</f>
        <v/>
      </c>
      <c r="M81" s="16">
        <f>L78</f>
        <v/>
      </c>
      <c r="N81" s="16">
        <f>M78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E71*$D$38</f>
        <v/>
      </c>
      <c r="F82" s="16">
        <f>F71*$D$38</f>
        <v/>
      </c>
      <c r="G82" s="16">
        <f>G71*$D$38</f>
        <v/>
      </c>
      <c r="H82" s="16">
        <f>H71*$D$38</f>
        <v/>
      </c>
      <c r="I82" s="16">
        <f>I71*$D$38</f>
        <v/>
      </c>
      <c r="J82" s="16">
        <f>J71*$D$38</f>
        <v/>
      </c>
      <c r="K82" s="16">
        <f>K71*$D$38</f>
        <v/>
      </c>
      <c r="L82" s="16">
        <f>L71*$D$38</f>
        <v/>
      </c>
      <c r="M82" s="16">
        <f>M71*$D$38</f>
        <v/>
      </c>
      <c r="N82" s="16">
        <f>N71*$D$38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MIN($D$52,E71)</f>
        <v/>
      </c>
      <c r="F83" s="16">
        <f>MIN($D$52,F71)</f>
        <v/>
      </c>
      <c r="G83" s="16">
        <f>MIN($D$52,G71)</f>
        <v/>
      </c>
      <c r="H83" s="16">
        <f>MIN($D$52,H71)</f>
        <v/>
      </c>
      <c r="I83" s="16">
        <f>MIN($D$52,I71)</f>
        <v/>
      </c>
      <c r="J83" s="16">
        <f>MIN($D$52,J71)</f>
        <v/>
      </c>
      <c r="K83" s="16">
        <f>MIN($D$52,K71)</f>
        <v/>
      </c>
      <c r="L83" s="16">
        <f>MIN($D$52,L71)</f>
        <v/>
      </c>
      <c r="M83" s="16">
        <f>MIN($D$52,M71)</f>
        <v/>
      </c>
      <c r="N83" s="16">
        <f>MIN($D$52,N71)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E72+E73</f>
        <v/>
      </c>
      <c r="F84" s="16">
        <f>F72+F73</f>
        <v/>
      </c>
      <c r="G84" s="16">
        <f>G72+G73</f>
        <v/>
      </c>
      <c r="H84" s="16">
        <f>H72+H73</f>
        <v/>
      </c>
      <c r="I84" s="16">
        <f>I72+I73</f>
        <v/>
      </c>
      <c r="J84" s="16">
        <f>J72+J73</f>
        <v/>
      </c>
      <c r="K84" s="16">
        <f>K72+K73</f>
        <v/>
      </c>
      <c r="L84" s="16">
        <f>L72+L73</f>
        <v/>
      </c>
      <c r="M84" s="16">
        <f>M72+M73</f>
        <v/>
      </c>
      <c r="N84" s="16">
        <f>N72+N73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MAX(0,E68-E74-E85)</f>
        <v/>
      </c>
      <c r="F85" s="16">
        <f>MAX(0,F68-F74-F85)</f>
        <v/>
      </c>
      <c r="G85" s="16">
        <f>MAX(0,G68-G74-G85)</f>
        <v/>
      </c>
      <c r="H85" s="16">
        <f>MAX(0,H68-H74-H85)</f>
        <v/>
      </c>
      <c r="I85" s="16">
        <f>MAX(0,I68-I74-I85)</f>
        <v/>
      </c>
      <c r="J85" s="16">
        <f>MAX(0,J68-J74-J85)</f>
        <v/>
      </c>
      <c r="K85" s="16">
        <f>MAX(0,K68-K74-K85)</f>
        <v/>
      </c>
      <c r="L85" s="16">
        <f>MAX(0,L68-L74-L85)</f>
        <v/>
      </c>
      <c r="M85" s="16">
        <f>MAX(0,M68-M74-M85)</f>
        <v/>
      </c>
      <c r="N85" s="16">
        <f>MAX(0,N68-N74-N85)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MIN(MAX(0,E75)*$D$41,MAX(0,E71-E73))</f>
        <v/>
      </c>
      <c r="F86" s="19">
        <f>MIN(MAX(0,F75)*$D$41,MAX(0,F71-F73))</f>
        <v/>
      </c>
      <c r="G86" s="19">
        <f>MIN(MAX(0,G75)*$D$41,MAX(0,G71-G73))</f>
        <v/>
      </c>
      <c r="H86" s="19">
        <f>MIN(MAX(0,H75)*$D$41,MAX(0,H71-H73))</f>
        <v/>
      </c>
      <c r="I86" s="19">
        <f>MIN(MAX(0,I75)*$D$41,MAX(0,I71-I73))</f>
        <v/>
      </c>
      <c r="J86" s="19">
        <f>MIN(MAX(0,J75)*$D$41,MAX(0,J71-J73))</f>
        <v/>
      </c>
      <c r="K86" s="19">
        <f>MIN(MAX(0,K75)*$D$41,MAX(0,K71-K73))</f>
        <v/>
      </c>
      <c r="L86" s="19">
        <f>MIN(MAX(0,L75)*$D$41,MAX(0,L71-L73))</f>
        <v/>
      </c>
      <c r="M86" s="19">
        <f>MIN(MAX(0,M75)*$D$41,MAX(0,M71-M73))</f>
        <v/>
      </c>
      <c r="N86" s="19">
        <f>MIN(MAX(0,N75)*$D$41,MAX(0,N71-N73))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E73+E76</f>
        <v/>
      </c>
      <c r="F87" s="16">
        <f>F73+F76</f>
        <v/>
      </c>
      <c r="G87" s="16">
        <f>G73+G76</f>
        <v/>
      </c>
      <c r="H87" s="16">
        <f>H73+H76</f>
        <v/>
      </c>
      <c r="I87" s="16">
        <f>I73+I76</f>
        <v/>
      </c>
      <c r="J87" s="16">
        <f>J73+J76</f>
        <v/>
      </c>
      <c r="K87" s="16">
        <f>K73+K76</f>
        <v/>
      </c>
      <c r="L87" s="16">
        <f>L73+L76</f>
        <v/>
      </c>
      <c r="M87" s="16">
        <f>M73+M76</f>
        <v/>
      </c>
      <c r="N87" s="16">
        <f>N73+N76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E88" s="16">
        <f>MAX(0,E71-E77)</f>
        <v/>
      </c>
      <c r="F88" s="16">
        <f>MAX(0,F71-F77)</f>
        <v/>
      </c>
      <c r="G88" s="16">
        <f>MAX(0,G71-G77)</f>
        <v/>
      </c>
      <c r="H88" s="16">
        <f>MAX(0,H71-H77)</f>
        <v/>
      </c>
      <c r="I88" s="16">
        <f>MAX(0,I71-I77)</f>
        <v/>
      </c>
      <c r="J88" s="16">
        <f>MAX(0,J71-J77)</f>
        <v/>
      </c>
      <c r="K88" s="16">
        <f>MAX(0,K71-K77)</f>
        <v/>
      </c>
      <c r="L88" s="16">
        <f>MAX(0,L71-L77)</f>
        <v/>
      </c>
      <c r="M88" s="16">
        <f>MAX(0,M71-M77)</f>
        <v/>
      </c>
      <c r="N88" s="16">
        <f>MAX(0,N71-N77)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2">
        <f>IF(E74&gt;0,E68/E74,0)</f>
        <v/>
      </c>
      <c r="F89" s="22">
        <f>IF(F74&gt;0,F68/F74,0)</f>
        <v/>
      </c>
      <c r="G89" s="22">
        <f>IF(G74&gt;0,G68/G74,0)</f>
        <v/>
      </c>
      <c r="H89" s="22">
        <f>IF(H74&gt;0,H68/H74,0)</f>
        <v/>
      </c>
      <c r="I89" s="22">
        <f>IF(I74&gt;0,I68/I74,0)</f>
        <v/>
      </c>
      <c r="J89" s="22">
        <f>IF(J74&gt;0,J68/J74,0)</f>
        <v/>
      </c>
      <c r="K89" s="22">
        <f>IF(K74&gt;0,K68/K74,0)</f>
        <v/>
      </c>
      <c r="L89" s="22">
        <f>IF(L74&gt;0,L68/L74,0)</f>
        <v/>
      </c>
      <c r="M89" s="22">
        <f>IF(M74&gt;0,M68/M74,0)</f>
        <v/>
      </c>
      <c r="N89" s="22">
        <f>IF(N74&gt;0,N68/N74,0)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MAX(0,$D$50-(1-1)*$D$52)*$D$38+$D$52</f>
        <v/>
      </c>
      <c r="F90" s="16">
        <f>MAX(0,$D$50-(2-1)*$D$52)*$D$38+$D$52</f>
        <v/>
      </c>
      <c r="G90" s="16">
        <f>MAX(0,$D$50-(3-1)*$D$52)*$D$38+$D$52</f>
        <v/>
      </c>
      <c r="H90" s="16">
        <f>MAX(0,$D$50-(4-1)*$D$52)*$D$38+$D$52</f>
        <v/>
      </c>
      <c r="I90" s="16">
        <f>MAX(0,$D$50-(5-1)*$D$52)*$D$38+$D$52</f>
        <v/>
      </c>
      <c r="J90" s="16">
        <f>MAX(0,$D$50-(6-1)*$D$52)*$D$38+$D$52</f>
        <v/>
      </c>
      <c r="K90" s="16">
        <f>MAX(0,$D$50-(7-1)*$D$52)*$D$38+$D$52</f>
        <v/>
      </c>
      <c r="L90" s="16">
        <f>MAX(0,$D$50-(8-1)*$D$52)*$D$38+$D$52</f>
        <v/>
      </c>
      <c r="M90" s="16">
        <f>MAX(0,$D$50-(9-1)*$D$52)*$D$38+$D$52</f>
        <v/>
      </c>
      <c r="N90" s="16">
        <f>MAX(0,$D$50-(10-1)*$D$52)*$D$38+$D$52</f>
        <v/>
      </c>
    </row>
    <row r="91"/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D86</f>
        <v/>
      </c>
      <c r="F94" s="16">
        <f>E86</f>
        <v/>
      </c>
      <c r="G94" s="16">
        <f>F86</f>
        <v/>
      </c>
      <c r="H94" s="16">
        <f>G86</f>
        <v/>
      </c>
      <c r="I94" s="16">
        <f>H86</f>
        <v/>
      </c>
      <c r="J94" s="16">
        <f>I86</f>
        <v/>
      </c>
      <c r="K94" s="16">
        <f>J86</f>
        <v/>
      </c>
      <c r="L94" s="16">
        <f>K86</f>
        <v/>
      </c>
      <c r="M94" s="16">
        <f>L86</f>
        <v/>
      </c>
      <c r="N94" s="16">
        <f>M86</f>
        <v/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>
        <f>D83-D84</f>
        <v/>
      </c>
      <c r="E95" s="16">
        <f>E83-E84</f>
        <v/>
      </c>
      <c r="F95" s="16">
        <f>F83-F84</f>
        <v/>
      </c>
      <c r="G95" s="16">
        <f>G83-G84</f>
        <v/>
      </c>
      <c r="H95" s="16">
        <f>H83-H84</f>
        <v/>
      </c>
      <c r="I95" s="16">
        <f>I83-I84</f>
        <v/>
      </c>
      <c r="J95" s="16">
        <f>J83-J84</f>
        <v/>
      </c>
      <c r="K95" s="16">
        <f>K83-K84</f>
        <v/>
      </c>
      <c r="L95" s="16">
        <f>L83-L84</f>
        <v/>
      </c>
      <c r="M95" s="16">
        <f>M83-M84</f>
        <v/>
      </c>
      <c r="N95" s="16">
        <f>N83-N84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E84+E85</f>
        <v/>
      </c>
      <c r="F96" s="16">
        <f>F84+F85</f>
        <v/>
      </c>
      <c r="G96" s="16">
        <f>G84+G85</f>
        <v/>
      </c>
      <c r="H96" s="16">
        <f>H84+H85</f>
        <v/>
      </c>
      <c r="I96" s="16">
        <f>I84+I85</f>
        <v/>
      </c>
      <c r="J96" s="16">
        <f>J84+J85</f>
        <v/>
      </c>
      <c r="K96" s="16">
        <f>K84+K85</f>
        <v/>
      </c>
      <c r="L96" s="16">
        <f>L84+L85</f>
        <v/>
      </c>
      <c r="M96" s="16">
        <f>M84+M85</f>
        <v/>
      </c>
      <c r="N96" s="16">
        <f>N84+N85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IF(E89="PASS",MAX(0,E88),0)</f>
        <v/>
      </c>
      <c r="F100" s="7">
        <f>IF(F89="PASS",MAX(0,F88),0)</f>
        <v/>
      </c>
      <c r="G100" s="7">
        <f>IF(G89="PASS",MAX(0,G88),0)</f>
        <v/>
      </c>
      <c r="H100" s="7">
        <f>IF(H89="PASS",MAX(0,H88),0)</f>
        <v/>
      </c>
      <c r="I100" s="7">
        <f>IF(I89="PASS",MAX(0,I88),0)</f>
        <v/>
      </c>
      <c r="J100" s="7">
        <f>IF(J89="PASS",MAX(0,J88),0)</f>
        <v/>
      </c>
      <c r="K100" s="7">
        <f>IF(K89="PASS",MAX(0,K88),0)</f>
        <v/>
      </c>
      <c r="L100" s="7">
        <f>IF(L89="PASS",MAX(0,L88),0)</f>
        <v/>
      </c>
      <c r="M100" s="7">
        <f>IF(M89="PASS",MAX(0,M88),0)</f>
        <v/>
      </c>
      <c r="N100" s="7">
        <f>IF(N89="PASS",MAX(0,N88),0)</f>
        <v/>
      </c>
    </row>
    <row r="101"/>
    <row r="102">
      <c r="A102" s="3" t="inlineStr">
        <is>
          <t>SOURCES &amp; USES (Year 0)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D83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D94+D95+D96</f>
        <v/>
      </c>
    </row>
    <row r="108"/>
    <row r="109">
      <c r="A109" s="21" t="inlineStr">
        <is>
          <t>SOURCES</t>
        </is>
      </c>
      <c r="B109" s="6" t="inlineStr"/>
      <c r="C109" s="6" t="inlineStr"/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D100+D101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IF(ABS(D97-D102)&lt;0.01,"PASS","FAIL")</f>
        <v/>
      </c>
    </row>
    <row r="114"/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K119" s="7">
        <f>K106-K107+K108</f>
        <v/>
      </c>
    </row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/>
    <row r="127">
      <c r="A127" s="3" t="inlineStr">
        <is>
          <t>EQUITY RETURNS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</row>
    <row r="128">
      <c r="A128" s="5" t="inlineStr">
        <is>
          <t>Equity Cash Flow</t>
        </is>
      </c>
      <c r="B128" s="6" t="inlineStr">
        <is>
          <t>$mm</t>
        </is>
      </c>
      <c r="C128" s="6" t="inlineStr"/>
      <c r="D128" s="16">
        <f>-D101</f>
        <v/>
      </c>
      <c r="E128" s="16">
        <f>E90</f>
        <v/>
      </c>
      <c r="F128" s="16">
        <f>F90</f>
        <v/>
      </c>
      <c r="G128" s="16">
        <f>G90</f>
        <v/>
      </c>
      <c r="H128" s="16">
        <f>H90</f>
        <v/>
      </c>
      <c r="I128" s="16">
        <f>I90</f>
        <v/>
      </c>
      <c r="J128" s="16">
        <f>J90</f>
        <v/>
      </c>
      <c r="K128" s="16">
        <f>K90+K109</f>
        <v/>
      </c>
      <c r="L128" s="16">
        <f>0</f>
        <v/>
      </c>
      <c r="M128" s="16">
        <f>0</f>
        <v/>
      </c>
      <c r="N128" s="16">
        <f>0</f>
        <v/>
      </c>
    </row>
    <row r="129">
      <c r="A129" s="5" t="inlineStr">
        <is>
          <t>Levered IRR</t>
        </is>
      </c>
      <c r="B129" s="6" t="inlineStr">
        <is>
          <t>%</t>
        </is>
      </c>
      <c r="C129" s="6" t="inlineStr">
        <is>
          <t>IRR of Equity CFs</t>
        </is>
      </c>
      <c r="D129" s="23">
        <f>IRR(D112:K112)</f>
        <v/>
      </c>
    </row>
    <row r="130">
      <c r="A130" s="5" t="inlineStr">
        <is>
          <t>MOIC</t>
        </is>
      </c>
      <c r="B130" s="6" t="inlineStr">
        <is>
          <t>x</t>
        </is>
      </c>
      <c r="C130" s="6" t="inlineStr">
        <is>
          <t>Sum inflows / outflow</t>
        </is>
      </c>
      <c r="D130" s="22">
        <f>SUMIF(D112:K112,"&gt;0")/ABS(D112)</f>
        <v/>
      </c>
    </row>
    <row r="131"/>
    <row r="132">
      <c r="A132" s="21" t="inlineStr">
        <is>
          <t>Unlevered Returns (for reference)</t>
        </is>
      </c>
      <c r="B132" s="6" t="inlineStr"/>
      <c r="C132" s="6" t="inlineStr"/>
    </row>
    <row r="133">
      <c r="A133" s="5" t="inlineStr">
        <is>
          <t>Unlevered Cash Flow</t>
        </is>
      </c>
      <c r="B133" s="6" t="inlineStr">
        <is>
          <t>$mm</t>
        </is>
      </c>
      <c r="C133" s="6" t="inlineStr"/>
      <c r="D133" s="16">
        <f>-$D$17-D95</f>
        <v/>
      </c>
      <c r="E133" s="16">
        <f>E68</f>
        <v/>
      </c>
      <c r="F133" s="16">
        <f>F68</f>
        <v/>
      </c>
      <c r="G133" s="16">
        <f>G68</f>
        <v/>
      </c>
      <c r="H133" s="16">
        <f>H68</f>
        <v/>
      </c>
      <c r="I133" s="16">
        <f>I68</f>
        <v/>
      </c>
      <c r="J133" s="16">
        <f>J68</f>
        <v/>
      </c>
      <c r="K133" s="16">
        <f>K68+K106</f>
        <v/>
      </c>
      <c r="L133" s="16">
        <f>0</f>
        <v/>
      </c>
      <c r="M133" s="16">
        <f>0</f>
        <v/>
      </c>
      <c r="N133" s="16">
        <f>0</f>
        <v/>
      </c>
    </row>
    <row r="134">
      <c r="A134" s="5" t="inlineStr">
        <is>
          <t>Unlevered IRR</t>
        </is>
      </c>
      <c r="B134" s="6" t="inlineStr">
        <is>
          <t>%</t>
        </is>
      </c>
      <c r="C134" s="6" t="inlineStr">
        <is>
          <t>IRR of Equity CFs</t>
        </is>
      </c>
      <c r="D134" s="23">
        <f>IRR(D117:K117)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2026-01-20T21:59:41Z</dcterms:modified>
</cp:coreProperties>
</file>