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9">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
    <font>
      <b val="1"/>
      <i val="1"/>
      <color rgb="00666666"/>
    </font>
    <font>
      <b val="1"/>
      <color rgb="00C00000"/>
      <sz val="11"/>
    </font>
    <font>
      <b val="1"/>
      <sz val="9"/>
    </font>
    <font>
      <color rgb="00666666"/>
      <sz val="9"/>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4" fillId="0" borderId="0" pivotButton="0" quotePrefix="0" xfId="0"/>
    <xf numFmtId="0" fontId="15" fillId="0" borderId="0" pivotButton="0" quotePrefix="0" xfId="0"/>
    <xf numFmtId="164" fontId="14" fillId="0" borderId="1" pivotButton="0" quotePrefix="0" xfId="0"/>
    <xf numFmtId="165" fontId="14" fillId="0" borderId="1" pivotButton="0" quotePrefix="0" xfId="0"/>
    <xf numFmtId="166" fontId="14" fillId="0" borderId="1" pivotButton="0" quotePrefix="0" xfId="0"/>
    <xf numFmtId="0" fontId="7"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A83" authorId="0" shapeId="0">
      <text>
        <t xml:space="preserve">SPARK SPREAD
Profit per MWh after fuel cost.
= Power Price - (HR × Gas / 1000)
Traders call this "heat rate spread":
If Market HR &gt; Plant HR → Profitable
Think: "Call option on scarcity"
</t>
      </text>
    </comment>
  </commentList>
</comments>
</file>

<file path=xl/comments/comment2.xml><?xml version="1.0" encoding="utf-8"?>
<comments xmlns="http://schemas.openxmlformats.org/spreadsheetml/2006/main">
  <authors>
    <author>Claude</author>
  </authors>
  <commentList>
    <comment ref="A82" authorId="0" shapeId="0">
      <text>
        <t xml:space="preserve">SPARK SPREAD
Profit per MWh after fuel cost.
= Power Price - (HR × Gas / 1000)
Traders call this "heat rate spread":
If Market HR &gt; Plant HR → Profitable
Think: "Call option on scarcity"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DRILL MODE - Fill in yellow cells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E3" s="4" t="n"/>
      <c r="F3" s="4" t="n"/>
      <c r="G3" s="4" t="n"/>
      <c r="H3" s="4" t="n"/>
      <c r="I3" s="4" t="n"/>
      <c r="J3" s="4" t="n"/>
      <c r="K3" s="4" t="n"/>
      <c r="L3" s="4" t="n"/>
      <c r="M3" s="58" t="inlineStr">
        <is>
          <t>IRR Sensitivity:</t>
        </is>
      </c>
      <c r="N3" s="4" t="n"/>
    </row>
    <row r="4">
      <c r="A4" s="5" t="inlineStr">
        <is>
          <t>Y1 EBITDA</t>
        </is>
      </c>
      <c r="B4" s="6" t="inlineStr">
        <is>
          <t>$mm</t>
        </is>
      </c>
      <c r="C4" s="6" t="inlineStr">
        <is>
          <t>Revenue minus OpEx</t>
        </is>
      </c>
      <c r="D4" s="7">
        <f>E87</f>
        <v/>
      </c>
      <c r="M4" s="59" t="inlineStr">
        <is>
          <t>+/- 5% Entry → ~+/- 1% IRR</t>
        </is>
      </c>
    </row>
    <row r="5">
      <c r="A5" s="38" t="inlineStr">
        <is>
          <t>═══════════ CONTROL PANEL ═══════════</t>
        </is>
      </c>
      <c r="B5" s="49" t="n"/>
      <c r="C5" s="49" t="n"/>
      <c r="D5" s="49" t="n"/>
      <c r="M5" s="59" t="inlineStr">
        <is>
          <t>+/- 0.5x Exit → ~+/- 1.5% IRR</t>
        </is>
      </c>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B20" s="49" t="n"/>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n"/>
      <c r="C22" s="6" t="n"/>
      <c r="D22" s="10">
        <f>D116</f>
        <v/>
      </c>
      <c r="E22" s="4" t="n"/>
      <c r="F22" s="4" t="n"/>
      <c r="G22" s="4" t="n"/>
      <c r="H22" s="4" t="n"/>
      <c r="I22" s="4" t="n"/>
      <c r="J22" s="4" t="n"/>
      <c r="K22" s="4" t="n"/>
      <c r="L22" s="4" t="n"/>
      <c r="M22" s="4" t="n"/>
      <c r="N22" s="4" t="n"/>
    </row>
    <row r="23">
      <c r="A23" s="5" t="inlineStr">
        <is>
          <t>Debt Payoff Y7</t>
        </is>
      </c>
      <c r="B23" s="6" t="n"/>
      <c r="C23" s="6" t="n"/>
      <c r="D23" s="10">
        <f>IF(K103&lt;1,"PASS","FAIL")</f>
        <v/>
      </c>
    </row>
    <row r="24">
      <c r="A24" s="5" t="inlineStr">
        <is>
          <t>Min DSCR ≥ 1.25x</t>
        </is>
      </c>
      <c r="B24" s="6" t="n"/>
      <c r="C24" s="6" t="inlineStr">
        <is>
          <t>CFADS / Debt Service</t>
        </is>
      </c>
      <c r="D24" s="10">
        <f>IF(D6&gt;=1.25,"PASS","FAIL")</f>
        <v/>
      </c>
    </row>
    <row r="25">
      <c r="A25" s="5" t="n"/>
      <c r="B25" s="6" t="n"/>
      <c r="C25" s="6" t="n"/>
      <c r="D25" s="10" t="n"/>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c r="E28" s="4" t="n"/>
      <c r="F28" s="4" t="n"/>
      <c r="G28" s="4" t="n"/>
      <c r="H28" s="4" t="n"/>
      <c r="I28" s="4" t="n"/>
      <c r="J28" s="4" t="n"/>
      <c r="K28" s="4" t="n"/>
      <c r="L28" s="4" t="n"/>
      <c r="M28" s="4" t="n"/>
      <c r="N28" s="4" t="n"/>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2">
      <c r="A32" s="5" t="n"/>
      <c r="B32" s="6" t="n"/>
      <c r="C32" s="6" t="n"/>
      <c r="D32" s="14" t="n"/>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c r="E34" s="4" t="n"/>
      <c r="F34" s="4" t="n"/>
      <c r="G34" s="4" t="n"/>
      <c r="H34" s="4" t="n"/>
      <c r="I34" s="4" t="n"/>
      <c r="J34" s="4" t="n"/>
      <c r="K34" s="4" t="n"/>
      <c r="L34" s="4" t="n"/>
      <c r="M34" s="4" t="n"/>
      <c r="N34" s="4" t="n"/>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39">
      <c r="A39" s="5" t="n"/>
      <c r="B39" s="6" t="n"/>
      <c r="C39" s="6" t="n"/>
      <c r="D39" s="14" t="n"/>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c r="E41" s="4" t="n"/>
      <c r="F41" s="4" t="n"/>
      <c r="G41" s="4" t="n"/>
      <c r="H41" s="4" t="n"/>
      <c r="I41" s="4" t="n"/>
      <c r="J41" s="4" t="n"/>
      <c r="K41" s="4" t="n"/>
      <c r="L41" s="4" t="n"/>
      <c r="M41" s="4" t="n"/>
      <c r="N41" s="4" t="n"/>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5">
      <c r="A45" s="5" t="n"/>
      <c r="B45" s="6" t="n"/>
      <c r="C45" s="6" t="n"/>
      <c r="D45" s="32" t="n"/>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c r="E47" s="4" t="n"/>
      <c r="F47" s="4" t="n"/>
      <c r="G47" s="4" t="n"/>
      <c r="H47" s="4" t="n"/>
      <c r="I47" s="4" t="n"/>
      <c r="J47" s="4" t="n"/>
      <c r="K47" s="4" t="n"/>
      <c r="L47" s="4" t="n"/>
      <c r="M47" s="4" t="n"/>
      <c r="N47" s="4" t="n"/>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c r="A51" s="5" t="n"/>
      <c r="B51" s="6" t="n"/>
      <c r="C51" s="6" t="n"/>
      <c r="D51" s="11" t="n"/>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c r="E53" s="4" t="n"/>
      <c r="F53" s="4" t="n"/>
      <c r="G53" s="4" t="n"/>
      <c r="H53" s="4" t="n"/>
      <c r="I53" s="4" t="n"/>
      <c r="J53" s="4" t="n"/>
      <c r="K53" s="4" t="n"/>
      <c r="L53" s="4" t="n"/>
      <c r="M53" s="4" t="n"/>
      <c r="N53" s="4" t="n"/>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59">
      <c r="A59" s="5" t="n"/>
      <c r="B59" s="6" t="n"/>
      <c r="C59" s="6" t="n"/>
      <c r="D59" s="33" t="n"/>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c r="E61" s="4" t="n"/>
      <c r="F61" s="4" t="n"/>
      <c r="G61" s="4" t="n"/>
      <c r="H61" s="4" t="n"/>
      <c r="I61" s="4" t="n"/>
      <c r="J61" s="4" t="n"/>
      <c r="K61" s="4" t="n"/>
      <c r="L61" s="4" t="n"/>
      <c r="M61" s="4" t="n"/>
      <c r="N61" s="4" t="n"/>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4">
      <c r="A64" s="5" t="n"/>
      <c r="B64" s="6" t="n"/>
      <c r="C64" s="6" t="n"/>
      <c r="D64" s="14" t="n"/>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c r="E66" s="4" t="n"/>
      <c r="F66" s="4" t="n"/>
      <c r="G66" s="4" t="n"/>
      <c r="H66" s="4" t="n"/>
      <c r="I66" s="4" t="n"/>
      <c r="J66" s="4" t="n"/>
      <c r="K66" s="4" t="n"/>
      <c r="L66" s="4" t="n"/>
      <c r="M66" s="4" t="n"/>
      <c r="N66" s="4" t="n"/>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1">
      <c r="A71" s="5" t="n"/>
      <c r="B71" s="6" t="n"/>
      <c r="C71" s="6" t="n"/>
      <c r="D71" s="18" t="n"/>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D73" s="4" t="n"/>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6">
      <c r="A76" s="5" t="n"/>
      <c r="B76" s="6" t="n"/>
      <c r="C76" s="6" t="n"/>
      <c r="E76" s="19" t="n"/>
      <c r="F76" s="19" t="n"/>
      <c r="G76" s="19" t="n"/>
      <c r="H76" s="19" t="n"/>
      <c r="I76" s="19" t="n"/>
      <c r="J76" s="19" t="n"/>
      <c r="K76" s="19" t="n"/>
      <c r="L76" s="19" t="n"/>
      <c r="M76" s="19" t="n"/>
      <c r="N76" s="19" t="n"/>
    </row>
    <row r="77">
      <c r="A77" s="5" t="inlineStr">
        <is>
          <t>Energy Revenue</t>
        </is>
      </c>
      <c r="B77" s="6" t="inlineStr">
        <is>
          <t>$mm</t>
        </is>
      </c>
      <c r="C77" s="6" t="inlineStr">
        <is>
          <t>Generation × Power Price / 1M</t>
        </is>
      </c>
      <c r="E77" s="18" t="n"/>
      <c r="F77" s="18" t="n"/>
      <c r="G77" s="18" t="n"/>
      <c r="H77" s="18" t="n"/>
      <c r="I77" s="18" t="n"/>
      <c r="J77" s="18" t="n"/>
      <c r="K77" s="18" t="n"/>
      <c r="L77" s="18" t="n"/>
      <c r="M77" s="18" t="n"/>
      <c r="N77" s="18" t="n"/>
    </row>
    <row r="78">
      <c r="A78" s="5" t="inlineStr">
        <is>
          <t>Capacity Revenue</t>
        </is>
      </c>
      <c r="B78" s="6" t="inlineStr">
        <is>
          <t>$mm</t>
        </is>
      </c>
      <c r="C78" s="6" t="inlineStr">
        <is>
          <t>UCAP × Cap Price × 1000 / 1M</t>
        </is>
      </c>
      <c r="E78" s="18" t="n"/>
      <c r="F78" s="18" t="n"/>
      <c r="G78" s="18" t="n"/>
      <c r="H78" s="18" t="n"/>
      <c r="I78" s="18" t="n"/>
      <c r="J78" s="18" t="n"/>
      <c r="K78" s="18" t="n"/>
      <c r="L78" s="18" t="n"/>
      <c r="M78" s="18" t="n"/>
      <c r="N78" s="18" t="n"/>
    </row>
    <row r="79">
      <c r="A79" s="5" t="inlineStr">
        <is>
          <t>Total Revenue</t>
        </is>
      </c>
      <c r="B79" s="6" t="inlineStr">
        <is>
          <t>$mm</t>
        </is>
      </c>
      <c r="C79" s="6" t="n"/>
      <c r="E79" s="20" t="n"/>
      <c r="F79" s="20" t="n"/>
      <c r="G79" s="20" t="n"/>
      <c r="H79" s="20" t="n"/>
      <c r="I79" s="20" t="n"/>
      <c r="J79" s="20" t="n"/>
      <c r="K79" s="20" t="n"/>
      <c r="L79" s="20" t="n"/>
      <c r="M79" s="20" t="n"/>
      <c r="N79" s="20" t="n"/>
    </row>
    <row r="80">
      <c r="A80" s="5" t="n"/>
      <c r="B80" s="6" t="n"/>
      <c r="C80" s="6" t="n"/>
      <c r="E80" s="20" t="n"/>
      <c r="F80" s="20" t="n"/>
      <c r="G80" s="20" t="n"/>
      <c r="H80" s="20" t="n"/>
      <c r="I80" s="20" t="n"/>
      <c r="J80" s="20" t="n"/>
      <c r="K80" s="20" t="n"/>
      <c r="L80" s="20" t="n"/>
      <c r="M80" s="20" t="n"/>
      <c r="N80" s="20" t="n"/>
    </row>
    <row r="81">
      <c r="A81" s="5" t="inlineStr">
        <is>
          <t>Fuel Cost</t>
        </is>
      </c>
      <c r="B81" s="6" t="inlineStr">
        <is>
          <t>$mm</t>
        </is>
      </c>
      <c r="C81" s="6" t="inlineStr">
        <is>
          <t>Gen × HR × Gas / 1B</t>
        </is>
      </c>
      <c r="E81" s="18" t="n"/>
      <c r="F81" s="18" t="n"/>
      <c r="G81" s="18" t="n"/>
      <c r="H81" s="18" t="n"/>
      <c r="I81" s="18" t="n"/>
      <c r="J81" s="18" t="n"/>
      <c r="K81" s="18" t="n"/>
      <c r="L81" s="18" t="n"/>
      <c r="M81" s="18" t="n"/>
      <c r="N81" s="18" t="n"/>
    </row>
    <row r="82">
      <c r="A82" s="34" t="inlineStr">
        <is>
          <t>Spark Spread</t>
        </is>
      </c>
      <c r="B82" s="6" t="inlineStr">
        <is>
          <t>$/MWh</t>
        </is>
      </c>
      <c r="C82" s="55" t="inlineStr">
        <is>
          <t>[WHAT] Spark Spread = Power Price - (Plant HR × Gas / 1000)
[WHY] Gross margin per MWh after fuel. Core driver of thermal profitability.
[RMHR EQUIVALENCE - For Interview Discussion]
Traders express this as "Market Heat Rate":</t>
        </is>
      </c>
      <c r="E82" s="56">
        <f>E73-($D$35/1000)*E75</f>
        <v/>
      </c>
      <c r="F82" s="56">
        <f>F73-($D$35/1000)*F75</f>
        <v/>
      </c>
      <c r="G82" s="56">
        <f>G73-($D$35/1000)*G75</f>
        <v/>
      </c>
      <c r="H82" s="56">
        <f>H73-($D$35/1000)*H75</f>
        <v/>
      </c>
      <c r="I82" s="56">
        <f>I73-($D$35/1000)*I75</f>
        <v/>
      </c>
      <c r="J82" s="56">
        <f>J73-($D$35/1000)*J75</f>
        <v/>
      </c>
      <c r="K82" s="56">
        <f>K73-($D$35/1000)*K75</f>
        <v/>
      </c>
      <c r="L82" s="56">
        <f>L73-($D$35/1000)*L75</f>
        <v/>
      </c>
      <c r="M82" s="56">
        <f>M73-($D$35/1000)*M75</f>
        <v/>
      </c>
      <c r="N82" s="56">
        <f>N73-($D$35/1000)*N75</f>
        <v/>
      </c>
    </row>
    <row r="83">
      <c r="A83" s="5" t="inlineStr">
        <is>
          <t>VOM</t>
        </is>
      </c>
      <c r="B83" s="6" t="inlineStr">
        <is>
          <t>$mm</t>
        </is>
      </c>
      <c r="C83" s="6" t="inlineStr">
        <is>
          <t>Generation × VOM rate / 1M</t>
        </is>
      </c>
      <c r="E83" s="18" t="n"/>
      <c r="F83" s="18" t="n"/>
      <c r="G83" s="18" t="n"/>
      <c r="H83" s="18" t="n"/>
      <c r="I83" s="18" t="n"/>
      <c r="J83" s="18" t="n"/>
      <c r="K83" s="18" t="n"/>
      <c r="L83" s="18" t="n"/>
      <c r="M83" s="18" t="n"/>
      <c r="N83" s="18" t="n"/>
    </row>
    <row r="84">
      <c r="A84" s="5" t="inlineStr">
        <is>
          <t>FOM</t>
        </is>
      </c>
      <c r="B84" s="6" t="inlineStr">
        <is>
          <t>$mm</t>
        </is>
      </c>
      <c r="C84" s="6" t="inlineStr">
        <is>
          <t>Capacity × FOM × esc × 1000 / 1M</t>
        </is>
      </c>
      <c r="E84" s="18" t="n"/>
      <c r="F84" s="18" t="n"/>
      <c r="G84" s="18" t="n"/>
      <c r="H84" s="18" t="n"/>
      <c r="I84" s="18" t="n"/>
      <c r="J84" s="18" t="n"/>
      <c r="K84" s="18" t="n"/>
      <c r="L84" s="18" t="n"/>
      <c r="M84" s="18" t="n"/>
      <c r="N84" s="18" t="n"/>
    </row>
    <row r="85">
      <c r="A85" s="5" t="inlineStr">
        <is>
          <t>Total Operating Costs</t>
        </is>
      </c>
      <c r="B85" s="6" t="inlineStr">
        <is>
          <t>$mm</t>
        </is>
      </c>
      <c r="C85" s="6" t="n"/>
      <c r="E85" s="18" t="n"/>
      <c r="F85" s="18" t="n"/>
      <c r="G85" s="18" t="n"/>
      <c r="H85" s="18" t="n"/>
      <c r="I85" s="18" t="n"/>
      <c r="J85" s="18" t="n"/>
      <c r="K85" s="18" t="n"/>
      <c r="L85" s="18" t="n"/>
      <c r="M85" s="18" t="n"/>
      <c r="N85" s="18" t="n"/>
    </row>
    <row r="86">
      <c r="A86" s="5" t="n"/>
      <c r="B86" s="6" t="n"/>
      <c r="C86" s="6" t="n"/>
      <c r="E86" s="18" t="n"/>
      <c r="F86" s="18" t="n"/>
      <c r="G86" s="18" t="n"/>
      <c r="H86" s="18" t="n"/>
      <c r="I86" s="18" t="n"/>
      <c r="J86" s="18" t="n"/>
      <c r="K86" s="18" t="n"/>
      <c r="L86" s="18" t="n"/>
      <c r="M86" s="18" t="n"/>
      <c r="N86" s="18" t="n"/>
    </row>
    <row r="87">
      <c r="A87" s="5" t="inlineStr">
        <is>
          <t>EBITDA</t>
        </is>
      </c>
      <c r="B87" s="6" t="inlineStr">
        <is>
          <t>$mm</t>
        </is>
      </c>
      <c r="C87" s="6" t="inlineStr">
        <is>
          <t>Revenue minus OpEx</t>
        </is>
      </c>
      <c r="E87" s="7" t="n"/>
      <c r="F87" s="7" t="n"/>
      <c r="G87" s="7" t="n"/>
      <c r="H87" s="7" t="n"/>
      <c r="I87" s="7" t="n"/>
      <c r="J87" s="7" t="n"/>
      <c r="K87" s="7" t="n"/>
      <c r="L87" s="7" t="n"/>
      <c r="M87" s="7" t="n"/>
      <c r="N87" s="7" t="n"/>
    </row>
    <row r="88">
      <c r="A88" s="5" t="n"/>
      <c r="B88" s="6" t="n"/>
      <c r="C88" s="6" t="n"/>
      <c r="E88" s="7" t="n"/>
      <c r="F88" s="7" t="n"/>
      <c r="G88" s="7" t="n"/>
      <c r="H88" s="7" t="n"/>
      <c r="I88" s="7" t="n"/>
      <c r="J88" s="7" t="n"/>
      <c r="K88" s="7" t="n"/>
      <c r="L88" s="7" t="n"/>
      <c r="M88" s="7" t="n"/>
      <c r="N88" s="7" t="n"/>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D90" s="4" t="n"/>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t="n"/>
      <c r="F91" s="18" t="n"/>
      <c r="G91" s="18" t="n"/>
      <c r="H91" s="18" t="n"/>
      <c r="I91" s="18" t="n"/>
      <c r="J91" s="18" t="n"/>
      <c r="K91" s="18" t="n"/>
      <c r="L91" s="18" t="n"/>
      <c r="M91" s="18" t="n"/>
      <c r="N91" s="18" t="n"/>
    </row>
    <row r="92">
      <c r="A92" s="5" t="inlineStr">
        <is>
          <t>Major Maintenance</t>
        </is>
      </c>
      <c r="B92" s="6" t="inlineStr">
        <is>
          <t>$mm</t>
        </is>
      </c>
      <c r="C92" s="6" t="inlineStr">
        <is>
          <t>HGP in specified year</t>
        </is>
      </c>
      <c r="E92" s="21" t="n"/>
      <c r="F92" s="21" t="n"/>
      <c r="G92" s="21" t="n"/>
      <c r="H92" s="21" t="n"/>
      <c r="I92" s="21" t="n"/>
      <c r="J92" s="21" t="n"/>
      <c r="K92" s="21" t="n"/>
      <c r="L92" s="21" t="n"/>
      <c r="M92" s="21" t="n"/>
      <c r="N92" s="21" t="n"/>
    </row>
    <row r="93">
      <c r="A93" s="5" t="inlineStr">
        <is>
          <t>CFADS</t>
        </is>
      </c>
      <c r="B93" s="6" t="inlineStr">
        <is>
          <t>$mm</t>
        </is>
      </c>
      <c r="C93" s="6" t="inlineStr">
        <is>
          <t>EBITDA - Taxes - Maint</t>
        </is>
      </c>
      <c r="E93" s="7" t="n"/>
      <c r="F93" s="7" t="n"/>
      <c r="G93" s="7" t="n"/>
      <c r="H93" s="7" t="n"/>
      <c r="I93" s="7" t="n"/>
      <c r="J93" s="7" t="n"/>
      <c r="K93" s="7" t="n"/>
      <c r="L93" s="7" t="n"/>
      <c r="M93" s="7" t="n"/>
      <c r="N93" s="7" t="n"/>
    </row>
    <row r="94">
      <c r="A94" s="5" t="n"/>
      <c r="B94" s="6" t="n"/>
      <c r="C94" s="6" t="n"/>
      <c r="E94" s="7" t="n"/>
      <c r="F94" s="7" t="n"/>
      <c r="G94" s="7" t="n"/>
      <c r="H94" s="7" t="n"/>
      <c r="I94" s="7" t="n"/>
      <c r="J94" s="7" t="n"/>
      <c r="K94" s="7" t="n"/>
      <c r="L94" s="7" t="n"/>
      <c r="M94" s="7" t="n"/>
      <c r="N94" s="7" t="n"/>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n"/>
      <c r="D96" s="4"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t="n"/>
      <c r="F97" s="18" t="n"/>
      <c r="G97" s="18" t="n"/>
      <c r="H97" s="18" t="n"/>
      <c r="I97" s="18" t="n"/>
      <c r="J97" s="18" t="n"/>
      <c r="K97" s="18" t="n"/>
      <c r="L97" s="18" t="n"/>
      <c r="M97" s="18" t="n"/>
      <c r="N97" s="18" t="n"/>
    </row>
    <row r="98">
      <c r="A98" s="5" t="inlineStr">
        <is>
          <t>Scheduled Principal</t>
        </is>
      </c>
      <c r="B98" s="6" t="inlineStr">
        <is>
          <t>$mm</t>
        </is>
      </c>
      <c r="C98" s="6" t="inlineStr">
        <is>
          <t>MIN(Sched, Beg Bal)</t>
        </is>
      </c>
      <c r="E98" s="18" t="n"/>
      <c r="F98" s="18" t="n"/>
      <c r="G98" s="18" t="n"/>
      <c r="H98" s="18" t="n"/>
      <c r="I98" s="18" t="n"/>
      <c r="J98" s="18" t="n"/>
      <c r="K98" s="18" t="n"/>
      <c r="L98" s="18" t="n"/>
      <c r="M98" s="18" t="n"/>
      <c r="N98" s="18" t="n"/>
    </row>
    <row r="99">
      <c r="A99" s="5" t="inlineStr">
        <is>
          <t>Debt Service (Pre-Sweep)</t>
        </is>
      </c>
      <c r="B99" s="6" t="inlineStr">
        <is>
          <t>$mm</t>
        </is>
      </c>
      <c r="C99" s="6" t="inlineStr">
        <is>
          <t>Interest + Sched Prin</t>
        </is>
      </c>
      <c r="E99" s="18" t="n"/>
      <c r="F99" s="18" t="n"/>
      <c r="G99" s="18" t="n"/>
      <c r="H99" s="18" t="n"/>
      <c r="I99" s="18" t="n"/>
      <c r="J99" s="18" t="n"/>
      <c r="K99" s="18" t="n"/>
      <c r="L99" s="18" t="n"/>
      <c r="M99" s="18" t="n"/>
      <c r="N99" s="18" t="n"/>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t="n"/>
      <c r="F101" s="21" t="n"/>
      <c r="G101" s="21" t="n"/>
      <c r="H101" s="21" t="n"/>
      <c r="I101" s="21" t="n"/>
      <c r="J101" s="21" t="n"/>
      <c r="K101" s="21" t="n"/>
      <c r="L101" s="21" t="n"/>
      <c r="M101" s="21" t="n"/>
      <c r="N101" s="21" t="n"/>
    </row>
    <row r="102">
      <c r="A102" s="5" t="inlineStr">
        <is>
          <t>Total Principal</t>
        </is>
      </c>
      <c r="B102" s="6" t="inlineStr">
        <is>
          <t>$mm</t>
        </is>
      </c>
      <c r="C102" s="6" t="inlineStr">
        <is>
          <t>Scheduled + Sweep</t>
        </is>
      </c>
      <c r="E102" s="18" t="n"/>
      <c r="F102" s="18" t="n"/>
      <c r="G102" s="18" t="n"/>
      <c r="H102" s="18" t="n"/>
      <c r="I102" s="18" t="n"/>
      <c r="J102" s="18" t="n"/>
      <c r="K102" s="18" t="n"/>
      <c r="L102" s="18" t="n"/>
      <c r="M102" s="18" t="n"/>
      <c r="N102" s="18" t="n"/>
    </row>
    <row r="103">
      <c r="A103" s="5" t="inlineStr">
        <is>
          <t>Ending Balance</t>
        </is>
      </c>
      <c r="B103" s="6" t="inlineStr">
        <is>
          <t>$mm</t>
        </is>
      </c>
      <c r="C103" s="6" t="inlineStr">
        <is>
          <t>MAX(0, Beg - Total Prin)</t>
        </is>
      </c>
      <c r="D103">
        <f>$D$68</f>
        <v/>
      </c>
      <c r="E103" s="18" t="n"/>
      <c r="F103" s="18" t="n"/>
      <c r="G103" s="18" t="n"/>
      <c r="H103" s="18" t="n"/>
      <c r="I103" s="18" t="n"/>
      <c r="J103" s="18" t="n"/>
      <c r="K103" s="18" t="n"/>
      <c r="L103" s="18" t="n"/>
      <c r="M103" s="18" t="n"/>
      <c r="N103" s="18" t="n"/>
    </row>
    <row r="104">
      <c r="A104" s="5" t="inlineStr">
        <is>
          <t>DSCR</t>
        </is>
      </c>
      <c r="B104" s="6" t="inlineStr">
        <is>
          <t>x</t>
        </is>
      </c>
      <c r="C104" s="6" t="inlineStr">
        <is>
          <t>CFADS / Debt Service</t>
        </is>
      </c>
      <c r="E104" s="30" t="n"/>
      <c r="F104" s="30" t="n"/>
      <c r="G104" s="30" t="n"/>
      <c r="H104" s="30" t="n"/>
      <c r="I104" s="30" t="n"/>
      <c r="J104" s="30" t="n"/>
      <c r="K104" s="30" t="n"/>
      <c r="L104" s="30" t="n"/>
      <c r="M104" s="30" t="n"/>
      <c r="N104" s="30" t="n"/>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n"/>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1">
      <c r="A111" s="5" t="n"/>
      <c r="B111" s="6" t="n"/>
      <c r="C111" s="6" t="n"/>
      <c r="D111" s="18" t="n"/>
      <c r="E111" s="18" t="n"/>
      <c r="F111" s="18" t="n"/>
      <c r="G111" s="18" t="n"/>
      <c r="H111" s="18" t="n"/>
      <c r="I111" s="18" t="n"/>
      <c r="J111" s="18" t="n"/>
      <c r="K111" s="18" t="n"/>
      <c r="L111" s="18" t="n"/>
      <c r="M111" s="18" t="n"/>
      <c r="N111" s="18" t="n"/>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D113" s="4" t="n"/>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n"/>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6">
      <c r="A116" s="5" t="n"/>
      <c r="B116" s="6" t="n"/>
      <c r="C116" s="6" t="n"/>
      <c r="E116" s="7" t="n"/>
      <c r="F116" s="7" t="n"/>
      <c r="G116" s="7" t="n"/>
      <c r="H116" s="7" t="n"/>
      <c r="I116" s="7" t="n"/>
      <c r="J116" s="7" t="n"/>
      <c r="K116" s="7" t="n"/>
      <c r="L116" s="7" t="n"/>
      <c r="M116" s="7" t="n"/>
      <c r="N116" s="7" t="n"/>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n"/>
      <c r="C118" s="6" t="n"/>
      <c r="D118" s="4" t="n"/>
      <c r="E118" s="4" t="n"/>
      <c r="F118" s="4" t="n"/>
      <c r="G118" s="4" t="n"/>
      <c r="H118" s="4" t="n"/>
      <c r="I118" s="4" t="n"/>
      <c r="J118" s="4" t="n"/>
      <c r="K118" s="4" t="n"/>
      <c r="L118" s="4" t="n"/>
      <c r="M118" s="4" t="n"/>
      <c r="N118" s="4" t="n"/>
    </row>
    <row r="119">
      <c r="A119" s="5" t="inlineStr">
        <is>
          <t xml:space="preserve">  Purchase Price</t>
        </is>
      </c>
      <c r="B119" s="6" t="inlineStr">
        <is>
          <t>$mm</t>
        </is>
      </c>
      <c r="C119" s="6" t="n"/>
      <c r="D119" s="18">
        <f>$D$28</f>
        <v/>
      </c>
    </row>
    <row r="120">
      <c r="A120" s="5" t="inlineStr">
        <is>
          <t xml:space="preserve">  Transaction Fees</t>
        </is>
      </c>
      <c r="B120" s="6" t="inlineStr">
        <is>
          <t>$mm</t>
        </is>
      </c>
      <c r="C120" s="6" t="n"/>
      <c r="D120" s="18">
        <f>$D$28*$D$29</f>
        <v/>
      </c>
    </row>
    <row r="121">
      <c r="A121" s="5" t="inlineStr">
        <is>
          <t xml:space="preserve">  DSRA Funding</t>
        </is>
      </c>
      <c r="B121" s="6" t="inlineStr">
        <is>
          <t>$mm</t>
        </is>
      </c>
      <c r="C121" s="6" t="n"/>
      <c r="D121" s="18">
        <f>E107</f>
        <v/>
      </c>
    </row>
    <row r="122">
      <c r="A122" s="5" t="inlineStr">
        <is>
          <t>Total Uses</t>
        </is>
      </c>
      <c r="B122" s="6" t="inlineStr">
        <is>
          <t>$mm</t>
        </is>
      </c>
      <c r="C122" s="6" t="n"/>
      <c r="D122" s="7">
        <f>D119+D120+D121</f>
        <v/>
      </c>
    </row>
    <row r="123">
      <c r="A123" s="5" t="n"/>
      <c r="B123" s="6" t="n"/>
      <c r="C123" s="6" t="n"/>
      <c r="D123" s="7" t="n"/>
    </row>
    <row r="124">
      <c r="A124" s="23" t="inlineStr">
        <is>
          <t>SOURCES</t>
        </is>
      </c>
      <c r="B124" s="6" t="n"/>
      <c r="C124" s="6" t="n"/>
    </row>
    <row r="125">
      <c r="A125" s="5" t="inlineStr">
        <is>
          <t xml:space="preserve">  Debt</t>
        </is>
      </c>
      <c r="B125" s="6" t="inlineStr">
        <is>
          <t>$mm</t>
        </is>
      </c>
      <c r="C125" s="6" t="n"/>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n"/>
      <c r="D127" s="7">
        <f>D125+D126</f>
        <v/>
      </c>
    </row>
    <row r="128">
      <c r="A128" s="5" t="inlineStr">
        <is>
          <t>Balance Check</t>
        </is>
      </c>
      <c r="B128" s="6" t="n"/>
      <c r="C128" s="6" t="n"/>
      <c r="D128" s="10">
        <f>IF(ABS(D122-D127)&lt;0.01,"PASS","FAIL")</f>
        <v/>
      </c>
    </row>
    <row r="129">
      <c r="A129" s="5" t="n"/>
      <c r="B129" s="6" t="n"/>
      <c r="C129" s="6" t="n"/>
      <c r="D129" s="10" t="n"/>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s="4">
        <f>K87*$D$30</f>
        <v/>
      </c>
      <c r="E131" s="4" t="n"/>
      <c r="F131" s="4" t="n"/>
      <c r="G131" s="4" t="n"/>
      <c r="H131" s="4" t="n"/>
      <c r="I131" s="4" t="n"/>
      <c r="J131" s="4" t="n"/>
      <c r="K131" s="18">
        <f>$D$19*K75</f>
        <v/>
      </c>
      <c r="L131" s="4" t="n"/>
      <c r="M131" s="4" t="n"/>
      <c r="N131" s="4" t="n"/>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5">
      <c r="A135" s="5" t="n"/>
      <c r="B135" s="6" t="n"/>
      <c r="C135" s="6" t="n"/>
      <c r="K135" s="7" t="n"/>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n"/>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31" t="n"/>
      <c r="E138" s="18" t="n"/>
      <c r="F138" s="18" t="n"/>
      <c r="G138" s="18" t="n"/>
      <c r="H138" s="18" t="n"/>
      <c r="I138" s="18" t="n"/>
      <c r="J138" s="18" t="n"/>
      <c r="K138" s="18" t="n"/>
      <c r="L138" s="18" t="n"/>
      <c r="M138" s="18" t="n"/>
      <c r="N138" s="18" t="n"/>
    </row>
    <row r="139">
      <c r="A139" s="5" t="inlineStr">
        <is>
          <t>MOIC</t>
        </is>
      </c>
      <c r="B139" s="6" t="inlineStr">
        <is>
          <t>x</t>
        </is>
      </c>
      <c r="C139" s="6" t="inlineStr">
        <is>
          <t>Sum inflows / outflow</t>
        </is>
      </c>
      <c r="D139" s="30" t="n"/>
    </row>
    <row r="140">
      <c r="A140" s="5" t="n"/>
      <c r="B140" s="6" t="n"/>
      <c r="C140" s="6" t="n"/>
      <c r="D140" s="30" t="n"/>
    </row>
    <row r="141">
      <c r="A141" s="23" t="inlineStr">
        <is>
          <t>Unlevered Returns (for reference)</t>
        </is>
      </c>
      <c r="B141" s="6" t="n"/>
      <c r="C141" s="6" t="n"/>
    </row>
    <row r="142">
      <c r="A142" s="5" t="inlineStr">
        <is>
          <t>Unlevered Cash Flow</t>
        </is>
      </c>
      <c r="B142" s="6" t="inlineStr">
        <is>
          <t>$mm</t>
        </is>
      </c>
      <c r="C142" s="6" t="n"/>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31">
        <f>IRR(D142:N142)</f>
        <v/>
      </c>
      <c r="E143" s="18" t="n"/>
      <c r="F143" s="18" t="n"/>
      <c r="G143" s="18" t="n"/>
      <c r="H143" s="18" t="n"/>
      <c r="I143" s="18" t="n"/>
      <c r="J143" s="18" t="n"/>
      <c r="K143" s="18" t="n"/>
      <c r="L143" s="18" t="n"/>
      <c r="M143" s="18" t="n"/>
      <c r="N143" s="18" t="n"/>
    </row>
    <row r="144">
      <c r="A144" s="5" t="n"/>
      <c r="B144" s="6" t="n"/>
      <c r="C144" s="6" t="n"/>
      <c r="D144" s="31" t="n"/>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c r="B5" s="49" t="n"/>
      <c r="C5" s="49" t="n"/>
      <c r="D5" s="49" t="n"/>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4" t="inlineStr">
        <is>
          <t>Spark Spread</t>
        </is>
      </c>
      <c r="B82" t="inlineStr">
        <is>
          <t>$/MWh</t>
        </is>
      </c>
      <c r="C82"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6">
        <f>E72-($D$34/1000)*E74</f>
        <v/>
      </c>
      <c r="F82" s="56">
        <f>F72-($D$34/1000)*F74</f>
        <v/>
      </c>
      <c r="G82" s="56">
        <f>G72-($D$34/1000)*G74</f>
        <v/>
      </c>
      <c r="H82" s="56">
        <f>H72-($D$34/1000)*H74</f>
        <v/>
      </c>
      <c r="I82" s="56">
        <f>I72-($D$34/1000)*I74</f>
        <v/>
      </c>
      <c r="J82" s="56">
        <f>J72-($D$34/1000)*J74</f>
        <v/>
      </c>
      <c r="K82" s="56">
        <f>K72-($D$34/1000)*K74</f>
        <v/>
      </c>
      <c r="L82" s="56">
        <f>L72-($D$34/1000)*L74</f>
        <v/>
      </c>
      <c r="M82" s="56">
        <f>M72-($D$34/1000)*M74</f>
        <v/>
      </c>
      <c r="N82" s="56">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n"/>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30">
        <f>IF(E87&gt;0,E81/E87,0)</f>
        <v/>
      </c>
      <c r="F104" s="30">
        <f>IF(F87&gt;0,F81/F87,0)</f>
        <v/>
      </c>
      <c r="G104" s="30">
        <f>IF(G87&gt;0,G81/G87,0)</f>
        <v/>
      </c>
      <c r="H104" s="30">
        <f>IF(H87&gt;0,H81/H87,0)</f>
        <v/>
      </c>
      <c r="I104" s="30">
        <f>IF(I87&gt;0,I81/I87,0)</f>
        <v/>
      </c>
      <c r="J104" s="30">
        <f>IF(J87&gt;0,J81/J87,0)</f>
        <v/>
      </c>
      <c r="K104" s="30">
        <f>IF(K87&gt;0,K81/K87,0)</f>
        <v/>
      </c>
      <c r="L104" s="30">
        <f>IF(L87&gt;0,L81/L87,0)</f>
        <v/>
      </c>
      <c r="M104" s="30">
        <f>IF(M87&gt;0,M81/M87,0)</f>
        <v/>
      </c>
      <c r="N104" s="30">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8" t="inlineStr">
        <is>
          <t>─────────── PROJECT FINANCE COVERAGE ───────────</t>
        </is>
      </c>
    </row>
    <row r="123">
      <c r="A123" t="inlineStr">
        <is>
          <t>LLCR (Loan Life Coverage)</t>
        </is>
      </c>
      <c r="B123" t="inlineStr">
        <is>
          <t>x</t>
        </is>
      </c>
      <c r="C123" t="inlineStr">
        <is>
          <t>[WHAT] NPV(CFADS over loan life) / Debt; [WHY] Total debt capacity</t>
        </is>
      </c>
      <c r="D123" s="46">
        <f>NPV(D45,E82:K82)/D100</f>
        <v/>
      </c>
    </row>
    <row r="124">
      <c r="A124" t="inlineStr">
        <is>
          <t>PLCR (Project Life Coverage)</t>
        </is>
      </c>
      <c r="B124" t="inlineStr">
        <is>
          <t>x</t>
        </is>
      </c>
      <c r="C124" t="inlineStr">
        <is>
          <t>[WHAT] NPV(CFADS over project life) / Debt; [WHY] Full asset capacity</t>
        </is>
      </c>
      <c r="D124" s="46">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c r="D144" s="31">
        <f>IRR(D125:K125)</f>
        <v/>
      </c>
    </row>
    <row r="145">
      <c r="A145" s="5" t="inlineStr">
        <is>
          <t>MOIC</t>
        </is>
      </c>
      <c r="B145" s="6" t="inlineStr">
        <is>
          <t>x</t>
        </is>
      </c>
      <c r="C145" s="6" t="inlineStr">
        <is>
          <t>Sum inflows / outflow</t>
        </is>
      </c>
      <c r="D145" s="30">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c r="D149" s="31">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2026-01-21T02:00:16Z</dcterms:modified>
</cp:coreProperties>
</file>