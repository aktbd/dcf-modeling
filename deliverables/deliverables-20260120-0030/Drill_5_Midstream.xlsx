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6" fontId="2" fillId="4" borderId="0" pivotButton="0" quotePrefix="0" xfId="0"/>
    <xf numFmtId="0" fontId="19" fillId="2" borderId="0" applyAlignment="1" pivotButton="0" quotePrefix="0" xfId="0">
      <alignment horizontal="left"/>
    </xf>
    <xf numFmtId="164" fontId="4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57" t="inlineStr">
        <is>
          <t>═══ DRILL MODE: Rebuild formulas in highlighted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═══ AUDIT STRIP ═══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4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5" t="inlineStr">
        <is>
          <t>+/- 5% Entry → ~+/- 1% IRR</t>
        </is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  <c r="M5" s="55" t="inlineStr">
        <is>
          <t>+/- 0.5x Exit → ~+/- 1.5% IRR</t>
        </is>
      </c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n"/>
      <c r="C21" s="6" t="n"/>
      <c r="D21" s="10">
        <f>D103</f>
        <v/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Y5</t>
        </is>
      </c>
      <c r="B22" s="6" t="n"/>
      <c r="C22" s="6" t="n"/>
      <c r="D22" s="10">
        <f>IF(I78&lt;1,"PASS","FAIL")</f>
        <v/>
      </c>
    </row>
    <row r="23">
      <c r="A23" s="5" t="inlineStr">
        <is>
          <t>Min DSCR ≥ 1.25x</t>
        </is>
      </c>
      <c r="B23" s="6" t="n"/>
      <c r="C23" s="6" t="inlineStr">
        <is>
          <t>CFADS / Debt Service</t>
        </is>
      </c>
      <c r="D23" s="10">
        <f>IF(D6&gt;=1.25,"PASS","FAIL")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>
      <c r="A31" s="5" t="n"/>
      <c r="B31" s="6" t="n"/>
      <c r="C31" s="6" t="n"/>
      <c r="D31" s="14" t="n"/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6">
      <c r="A36" s="5" t="n"/>
      <c r="B36" s="6" t="n"/>
      <c r="C36" s="6" t="n"/>
      <c r="D36" s="30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0">
      <c r="A40" s="5" t="n"/>
      <c r="B40" s="6" t="n"/>
      <c r="C40" s="6" t="n"/>
      <c r="D40" s="30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>
      <c r="A45" s="5" t="n"/>
      <c r="B45" s="6" t="n"/>
      <c r="C45" s="6" t="n"/>
      <c r="D45" s="11" t="n"/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3">
      <c r="A53" s="5" t="n"/>
      <c r="B53" s="6" t="n"/>
      <c r="C53" s="6" t="n"/>
      <c r="D53" s="31" t="n"/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>
      <c r="A58" s="5" t="n"/>
      <c r="B58" s="6" t="n"/>
      <c r="C58" s="6" t="n"/>
      <c r="D58" s="14" t="n"/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3">
      <c r="A63" s="5" t="n"/>
      <c r="B63" s="6" t="n"/>
      <c r="C63" s="6" t="n"/>
      <c r="D63" s="16" t="n"/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D65" s="4" t="n"/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8">
      <c r="A68" s="5" t="n"/>
      <c r="B68" s="6" t="n"/>
      <c r="C68" s="6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58" t="n"/>
      <c r="F70" s="58" t="n"/>
      <c r="G70" s="58" t="n"/>
      <c r="H70" s="58" t="n"/>
      <c r="I70" s="58" t="n"/>
      <c r="J70" s="58" t="n"/>
      <c r="K70" s="58" t="n"/>
      <c r="L70" s="58" t="n"/>
      <c r="M70" s="58" t="n"/>
      <c r="N70" s="58" t="n"/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</row>
    <row r="73">
      <c r="A73" s="5" t="n"/>
      <c r="B73" s="6" t="n"/>
      <c r="C73" s="6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D75" s="4" t="n"/>
      <c r="E75" s="58" t="n"/>
      <c r="F75" s="58" t="n"/>
      <c r="G75" s="58" t="n"/>
      <c r="H75" s="58" t="n"/>
      <c r="I75" s="58" t="n"/>
      <c r="J75" s="58" t="n"/>
      <c r="K75" s="58" t="n"/>
      <c r="L75" s="58" t="n"/>
      <c r="M75" s="58" t="n"/>
      <c r="N75" s="58" t="n"/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58" t="n"/>
      <c r="F76" s="58" t="n"/>
      <c r="G76" s="58" t="n"/>
      <c r="H76" s="58" t="n"/>
      <c r="I76" s="58" t="n"/>
      <c r="J76" s="58" t="n"/>
      <c r="K76" s="58" t="n"/>
      <c r="L76" s="58" t="n"/>
      <c r="M76" s="58" t="n"/>
      <c r="N76" s="58" t="n"/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n"/>
      <c r="D81" s="4" t="n">
        <v>0</v>
      </c>
      <c r="E81" s="58" t="n"/>
      <c r="F81" s="58" t="n"/>
      <c r="G81" s="58" t="n"/>
      <c r="H81" s="58" t="n"/>
      <c r="I81" s="58" t="n"/>
      <c r="J81" s="58" t="n"/>
      <c r="K81" s="58" t="n"/>
      <c r="L81" s="58" t="n"/>
      <c r="M81" s="58" t="n"/>
      <c r="N81" s="58" t="n"/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n"/>
      <c r="N89" s="60" t="n"/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1">
      <c r="A91" s="5" t="n"/>
      <c r="B91" s="6" t="n"/>
      <c r="C91" s="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</row>
    <row r="94">
      <c r="A94" s="5" t="inlineStr">
        <is>
          <t>DSRA Beginning</t>
        </is>
      </c>
      <c r="B94" s="6" t="inlineStr">
        <is>
          <t>$mm</t>
        </is>
      </c>
      <c r="C94" s="6" t="n"/>
      <c r="D94" s="16">
        <f>0</f>
        <v/>
      </c>
      <c r="E94" s="58" t="n"/>
      <c r="F94" s="58" t="n"/>
      <c r="G94" s="58" t="n"/>
      <c r="H94" s="58" t="n"/>
      <c r="I94" s="58" t="n"/>
      <c r="J94" s="58" t="n"/>
      <c r="K94" s="58" t="n"/>
      <c r="L94" s="58" t="n"/>
      <c r="M94" s="58" t="n"/>
      <c r="N94" s="58" t="n"/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58" t="n"/>
      <c r="F95" s="58" t="n"/>
      <c r="G95" s="58" t="n"/>
      <c r="H95" s="58" t="n"/>
      <c r="I95" s="58" t="n"/>
      <c r="J95" s="58" t="n"/>
      <c r="K95" s="58" t="n"/>
      <c r="L95" s="58" t="n"/>
      <c r="M95" s="58" t="n"/>
      <c r="N95" s="58" t="n"/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58" t="n"/>
      <c r="F96" s="58" t="n"/>
      <c r="G96" s="58" t="n"/>
      <c r="H96" s="58" t="n"/>
      <c r="I96" s="58" t="n"/>
      <c r="J96" s="58" t="n"/>
      <c r="K96" s="58" t="n"/>
      <c r="L96" s="58" t="n"/>
      <c r="M96" s="58" t="n"/>
      <c r="N96" s="58" t="n"/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D98" s="4" t="n"/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n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</row>
    <row r="101">
      <c r="A101" s="5" t="n"/>
      <c r="B101" s="6" t="n"/>
      <c r="C101" s="6" t="n"/>
      <c r="E101" s="7">
        <f>IF(E89&gt;=$D$52,"PASS","LOCKED")</f>
        <v/>
      </c>
      <c r="F101" s="7">
        <f>IF(F89&gt;=$D$52,"PASS","LOCKED")</f>
        <v/>
      </c>
      <c r="G101" s="7">
        <f>IF(G89&gt;=$D$52,"PASS","LOCKED")</f>
        <v/>
      </c>
      <c r="H101" s="7">
        <f>IF(H89&gt;=$D$52,"PASS","LOCKED")</f>
        <v/>
      </c>
      <c r="I101" s="7">
        <f>IF(I89&gt;=$D$52,"PASS","LOCKED")</f>
        <v/>
      </c>
      <c r="J101" s="7">
        <f>IF(J89&gt;=$D$52,"PASS","LOCKED")</f>
        <v/>
      </c>
      <c r="K101" s="7">
        <f>IF(K89&gt;=$D$52,"PASS","LOCKED")</f>
        <v/>
      </c>
      <c r="L101" s="7">
        <f>IF(L89&gt;=$D$52,"PASS","LOCKED")</f>
        <v/>
      </c>
      <c r="M101" s="7">
        <f>IF(M89&gt;=$D$52,"PASS","LOCKED")</f>
        <v/>
      </c>
      <c r="N101" s="7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n"/>
      <c r="C103" s="6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n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n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n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n"/>
      <c r="D107" s="7">
        <f>D104+D105+D106</f>
        <v/>
      </c>
    </row>
    <row r="108">
      <c r="A108" s="5" t="n"/>
      <c r="B108" s="6" t="n"/>
      <c r="C108" s="6" t="n"/>
      <c r="D108" s="7">
        <f>E94</f>
        <v/>
      </c>
    </row>
    <row r="109">
      <c r="A109" s="21" t="inlineStr">
        <is>
          <t>SOURCES</t>
        </is>
      </c>
      <c r="B109" s="6" t="n"/>
      <c r="C109" s="6" t="n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n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n"/>
      <c r="D112" s="7">
        <f>D110+D111</f>
        <v/>
      </c>
    </row>
    <row r="113">
      <c r="A113" s="5" t="inlineStr">
        <is>
          <t>Balance Check</t>
        </is>
      </c>
      <c r="B113" s="6" t="n"/>
      <c r="C113" s="6" t="n"/>
      <c r="D113" s="10">
        <f>IF(ABS(D107-D112)&lt;0.01,"PASS","FAIL")</f>
        <v/>
      </c>
    </row>
    <row r="114">
      <c r="A114" s="5" t="n"/>
      <c r="B114" s="6" t="n"/>
      <c r="C114" s="6" t="n"/>
      <c r="D114" s="10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 s="4">
        <f>K72*$D$29</f>
        <v/>
      </c>
      <c r="E116" s="4" t="n"/>
      <c r="F116" s="4" t="n"/>
      <c r="G116" s="4" t="n"/>
      <c r="H116" s="4" t="n"/>
      <c r="I116" s="4" t="n"/>
      <c r="J116" s="4" t="n"/>
      <c r="K116" s="16">
        <f>$D$19*K62</f>
        <v/>
      </c>
      <c r="L116" s="4" t="n"/>
      <c r="M116" s="4" t="n"/>
      <c r="N116" s="4" t="n"/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A120" s="5" t="n"/>
      <c r="B120" s="6" t="n"/>
      <c r="C120" s="6" t="n"/>
      <c r="D120">
        <f>D119*$D$29</f>
        <v/>
      </c>
      <c r="K120" s="7" t="n"/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n"/>
      <c r="D122" s="16">
        <f>-D111</f>
        <v/>
      </c>
      <c r="E122" s="58" t="n"/>
      <c r="F122" s="58" t="n"/>
      <c r="G122" s="58" t="n"/>
      <c r="H122" s="58" t="n"/>
      <c r="I122" s="58" t="n"/>
      <c r="J122" s="58" t="n"/>
      <c r="K122" s="58" t="n"/>
      <c r="L122" s="58" t="n"/>
      <c r="M122" s="58" t="n"/>
      <c r="N122" s="58" t="n"/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61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60" t="n"/>
    </row>
    <row r="125">
      <c r="A125" s="5" t="n"/>
      <c r="B125" s="6" t="n"/>
      <c r="C125" s="6" t="n"/>
      <c r="D125" s="28" t="n"/>
    </row>
    <row r="126">
      <c r="A126" s="21" t="inlineStr">
        <is>
          <t>Unlevered Cash Flow</t>
        </is>
      </c>
      <c r="B126" s="6" t="n"/>
      <c r="C126" s="6" t="n"/>
      <c r="D126">
        <f>-D104</f>
        <v/>
      </c>
      <c r="E126">
        <f>E102</f>
        <v/>
      </c>
      <c r="F126">
        <f>F102</f>
        <v/>
      </c>
      <c r="G126">
        <f>G102</f>
        <v/>
      </c>
      <c r="H126">
        <f>H102</f>
        <v/>
      </c>
      <c r="I126">
        <f>I102</f>
        <v/>
      </c>
      <c r="J126">
        <f>J102</f>
        <v/>
      </c>
      <c r="K126">
        <f>K102+D123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n"/>
      <c r="D127" s="29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8">
        <f>(SUM(E126:K126))/-D126</f>
        <v/>
      </c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n"/>
      <c r="B129" s="6" t="n"/>
      <c r="C129" s="6" t="n"/>
      <c r="D129" s="29" t="n"/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6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2026-01-21T01:27:00Z</dcterms:modified>
</cp:coreProperties>
</file>