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_);(#,##0.0)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4" borderId="1" pivotButton="0" quotePrefix="0" xfId="0"/>
    <xf numFmtId="166" fontId="2" fillId="4" borderId="1" pivotButton="0" quotePrefix="0" xfId="0"/>
    <xf numFmtId="165" fontId="2" fillId="4" borderId="1" pivotButton="0" quotePrefix="0" xfId="0"/>
    <xf numFmtId="0" fontId="2" fillId="4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6" fontId="6" fillId="3" borderId="1" pivotButton="0" quotePrefix="0" xfId="0"/>
    <xf numFmtId="3" fontId="6" fillId="3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2" fillId="0" borderId="1" pivotButton="0" quotePrefix="0" xfId="0"/>
    <xf numFmtId="164" fontId="4" fillId="5" borderId="1" pivotButton="0" quotePrefix="0" xfId="0"/>
    <xf numFmtId="0" fontId="4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Solar+BESS Model - Lotus Infrastructure Partners</t>
        </is>
      </c>
      <c r="D1" s="2" t="n">
        <v>0</v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/>
      <c r="D3" s="7">
        <f>$D$17</f>
        <v/>
      </c>
    </row>
    <row r="4">
      <c r="A4" s="5" t="inlineStr">
        <is>
          <t>Y1 EBITDA</t>
        </is>
      </c>
      <c r="B4" s="6" t="inlineStr">
        <is>
          <t>$mm</t>
        </is>
      </c>
      <c r="C4" s="6" t="inlineStr"/>
      <c r="D4" s="7">
        <f>E68</f>
        <v/>
      </c>
    </row>
    <row r="5">
      <c r="A5" s="5" t="inlineStr">
        <is>
          <t>Avg CFADS (Y1-Y10)</t>
        </is>
      </c>
      <c r="B5" s="6" t="inlineStr">
        <is>
          <t>$mm</t>
        </is>
      </c>
      <c r="C5" s="6" t="inlineStr"/>
      <c r="D5" s="7">
        <f>AVERAGE(E73:N73)</f>
        <v/>
      </c>
    </row>
    <row r="6">
      <c r="A6" s="5" t="inlineStr">
        <is>
          <t>Min DSCR (Y1-Y10)</t>
        </is>
      </c>
      <c r="B6" s="6" t="inlineStr">
        <is>
          <t>x</t>
        </is>
      </c>
      <c r="C6" s="6" t="inlineStr"/>
      <c r="D6" s="8">
        <f>MIN(E82:N82)</f>
        <v/>
      </c>
    </row>
    <row r="7">
      <c r="A7" s="5" t="inlineStr">
        <is>
          <t>Levered IRR</t>
        </is>
      </c>
      <c r="B7" s="6" t="inlineStr">
        <is>
          <t>%</t>
        </is>
      </c>
      <c r="C7" s="6" t="inlineStr"/>
      <c r="D7" s="9">
        <f>D118</f>
        <v/>
      </c>
    </row>
    <row r="8">
      <c r="A8" s="5" t="inlineStr">
        <is>
          <t>MOIC</t>
        </is>
      </c>
      <c r="B8" s="6" t="inlineStr">
        <is>
          <t>x</t>
        </is>
      </c>
      <c r="C8" s="6" t="inlineStr"/>
      <c r="D8" s="8">
        <f>D119</f>
        <v/>
      </c>
    </row>
    <row r="9">
      <c r="A9" s="5" t="inlineStr">
        <is>
          <t>Unlevered IRR</t>
        </is>
      </c>
      <c r="B9" s="6" t="inlineStr">
        <is>
          <t>%</t>
        </is>
      </c>
      <c r="C9" s="6" t="inlineStr"/>
      <c r="D9" s="9">
        <f>D123</f>
        <v/>
      </c>
    </row>
    <row r="10">
      <c r="A10" s="3" t="inlineStr">
        <is>
          <t>═══ QA CHECKS ═══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>S&amp;U Balance</t>
        </is>
      </c>
      <c r="B11" s="6" t="inlineStr"/>
      <c r="C11" s="6" t="inlineStr"/>
      <c r="D11" s="10">
        <f>D108</f>
        <v/>
      </c>
    </row>
    <row r="12">
      <c r="A12" s="5" t="inlineStr">
        <is>
          <t>Debt Payoff Y10</t>
        </is>
      </c>
      <c r="B12" s="6" t="inlineStr"/>
      <c r="C12" s="6" t="inlineStr"/>
      <c r="D12" s="10">
        <f>IF(N81&lt;1,"PASS","FAIL")</f>
        <v/>
      </c>
    </row>
    <row r="13">
      <c r="A13" s="5" t="inlineStr">
        <is>
          <t>Min DSCR ≥ 1.30x</t>
        </is>
      </c>
      <c r="B13" s="6" t="inlineStr"/>
      <c r="C13" s="6" t="inlineStr"/>
      <c r="D13" s="10">
        <f>IF(D6&gt;=1.30,"PASS","FAIL")</f>
        <v/>
      </c>
    </row>
    <row r="16">
      <c r="A16" s="3" t="inlineStr">
        <is>
          <t>TRANSACTION INPUTS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Entry EV</t>
        </is>
      </c>
      <c r="B17" s="6" t="inlineStr">
        <is>
          <t>$mm</t>
        </is>
      </c>
      <c r="C17" s="6" t="inlineStr">
        <is>
          <t>Purchase price</t>
        </is>
      </c>
      <c r="D17" s="11" t="n">
        <v>145</v>
      </c>
    </row>
    <row r="18">
      <c r="A18" s="5" t="inlineStr">
        <is>
          <t>Transaction Fees</t>
        </is>
      </c>
      <c r="B18" s="6" t="inlineStr">
        <is>
          <t>%</t>
        </is>
      </c>
      <c r="C18" s="6" t="inlineStr">
        <is>
          <t>Legal, advisory, financing</t>
        </is>
      </c>
      <c r="D18" s="12" t="n">
        <v>0.015</v>
      </c>
    </row>
    <row r="19">
      <c r="A19" s="5" t="inlineStr">
        <is>
          <t>ITC Rate</t>
        </is>
      </c>
      <c r="B19" s="6" t="inlineStr">
        <is>
          <t>%</t>
        </is>
      </c>
      <c r="C19" s="6" t="inlineStr">
        <is>
          <t>Investment Tax Credit</t>
        </is>
      </c>
      <c r="D19" s="12" t="n">
        <v>0.3</v>
      </c>
    </row>
    <row r="20">
      <c r="A20" s="5" t="inlineStr">
        <is>
          <t>Exit Multiple</t>
        </is>
      </c>
      <c r="B20" s="6" t="inlineStr">
        <is>
          <t>x</t>
        </is>
      </c>
      <c r="C20" s="6" t="inlineStr">
        <is>
          <t>On exit year EBITDA</t>
        </is>
      </c>
      <c r="D20" s="13" t="n">
        <v>8</v>
      </c>
    </row>
    <row r="21">
      <c r="A21" s="5" t="inlineStr">
        <is>
          <t>Exit Year</t>
        </is>
      </c>
      <c r="B21" s="6" t="inlineStr">
        <is>
          <t>#</t>
        </is>
      </c>
      <c r="C21" s="6" t="inlineStr">
        <is>
          <t>Hold period</t>
        </is>
      </c>
      <c r="D21" s="14" t="n">
        <v>10</v>
      </c>
    </row>
    <row r="23">
      <c r="A23" s="3" t="inlineStr">
        <is>
          <t>ASSET INPUTS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inlineStr">
        <is>
          <t>AC Capacity</t>
        </is>
      </c>
      <c r="B24" s="6" t="inlineStr">
        <is>
          <t>MWac</t>
        </is>
      </c>
      <c r="C24" s="6" t="inlineStr">
        <is>
          <t>Inverter rating</t>
        </is>
      </c>
      <c r="D24" s="14" t="n">
        <v>115</v>
      </c>
    </row>
    <row r="25">
      <c r="A25" s="5" t="inlineStr">
        <is>
          <t>Capacity Factor</t>
        </is>
      </c>
      <c r="B25" s="6" t="inlineStr">
        <is>
          <t>%</t>
        </is>
      </c>
      <c r="C25" s="6" t="inlineStr">
        <is>
          <t>P50 estimate</t>
        </is>
      </c>
      <c r="D25" s="12" t="n">
        <v>0.26</v>
      </c>
    </row>
    <row r="26">
      <c r="A26" s="5" t="inlineStr">
        <is>
          <t>Degradation</t>
        </is>
      </c>
      <c r="B26" s="6" t="inlineStr">
        <is>
          <t>%/yr</t>
        </is>
      </c>
      <c r="C26" s="6" t="inlineStr">
        <is>
          <t>Annual output decline</t>
        </is>
      </c>
      <c r="D26" s="12" t="n">
        <v>0.005</v>
      </c>
    </row>
    <row r="28">
      <c r="A28" s="3" t="inlineStr">
        <is>
          <t>PRICING INPUTS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inlineStr">
        <is>
          <t>PPA Price Y1</t>
        </is>
      </c>
      <c r="B29" s="6" t="inlineStr">
        <is>
          <t>$/MWh</t>
        </is>
      </c>
      <c r="C29" s="6" t="inlineStr">
        <is>
          <t>Contracted price</t>
        </is>
      </c>
      <c r="D29" s="11" t="n">
        <v>35</v>
      </c>
    </row>
    <row r="30">
      <c r="A30" s="5" t="inlineStr">
        <is>
          <t>PPA Escalation</t>
        </is>
      </c>
      <c r="B30" s="6" t="inlineStr">
        <is>
          <t>%/yr</t>
        </is>
      </c>
      <c r="C30" s="6" t="inlineStr">
        <is>
          <t>Contract escalation</t>
        </is>
      </c>
      <c r="D30" s="12" t="n">
        <v>0.015</v>
      </c>
    </row>
    <row r="31">
      <c r="A31" s="5" t="inlineStr">
        <is>
          <t>BESS Revenue Y1</t>
        </is>
      </c>
      <c r="B31" s="6" t="inlineStr">
        <is>
          <t>$mm</t>
        </is>
      </c>
      <c r="C31" s="6" t="inlineStr">
        <is>
          <t>Arbitrage + ancillary</t>
        </is>
      </c>
      <c r="D31" s="11" t="n">
        <v>4.5</v>
      </c>
    </row>
    <row r="32">
      <c r="A32" s="5" t="inlineStr">
        <is>
          <t>BESS Revenue Escalation</t>
        </is>
      </c>
      <c r="B32" s="6" t="inlineStr">
        <is>
          <t>%/yr</t>
        </is>
      </c>
      <c r="C32" s="6" t="inlineStr">
        <is>
          <t>Revenue growth</t>
        </is>
      </c>
      <c r="D32" s="12" t="n">
        <v>0.02</v>
      </c>
    </row>
    <row r="34">
      <c r="A34" s="3" t="inlineStr">
        <is>
          <t>COST INPUTS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5" t="inlineStr">
        <is>
          <t>O&amp;M Cost</t>
        </is>
      </c>
      <c r="B35" s="6" t="inlineStr">
        <is>
          <t>$mm/yr</t>
        </is>
      </c>
      <c r="C35" s="6" t="inlineStr">
        <is>
          <t>Fixed operating costs</t>
        </is>
      </c>
      <c r="D35" s="11" t="n">
        <v>2</v>
      </c>
    </row>
    <row r="36">
      <c r="A36" s="5" t="inlineStr">
        <is>
          <t>O&amp;M Escalation</t>
        </is>
      </c>
      <c r="B36" s="6" t="inlineStr">
        <is>
          <t>%/yr</t>
        </is>
      </c>
      <c r="C36" s="6" t="inlineStr">
        <is>
          <t>Cost escalation</t>
        </is>
      </c>
      <c r="D36" s="12" t="n">
        <v>0.02</v>
      </c>
    </row>
    <row r="37">
      <c r="A37" s="5" t="inlineStr">
        <is>
          <t>Augmentation Year</t>
        </is>
      </c>
      <c r="B37" s="6" t="inlineStr">
        <is>
          <t>#</t>
        </is>
      </c>
      <c r="C37" s="6" t="inlineStr">
        <is>
          <t>BESS capacity augment</t>
        </is>
      </c>
      <c r="D37" s="14" t="n">
        <v>7</v>
      </c>
    </row>
    <row r="38">
      <c r="A38" s="5" t="inlineStr">
        <is>
          <t>Augmentation Cost</t>
        </is>
      </c>
      <c r="B38" s="6" t="inlineStr">
        <is>
          <t>$mm</t>
        </is>
      </c>
      <c r="C38" s="6" t="inlineStr">
        <is>
          <t>Battery replacement</t>
        </is>
      </c>
      <c r="D38" s="11" t="n">
        <v>5</v>
      </c>
    </row>
    <row r="40">
      <c r="A40" s="3" t="inlineStr">
        <is>
          <t>FINANCING INPUTS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5" t="inlineStr">
        <is>
          <t>Leverage</t>
        </is>
      </c>
      <c r="B41" s="6" t="inlineStr">
        <is>
          <t>%</t>
        </is>
      </c>
      <c r="C41" s="6" t="inlineStr">
        <is>
          <t>Debt / Entry EV</t>
        </is>
      </c>
      <c r="D41" s="12" t="n">
        <v>0.35</v>
      </c>
    </row>
    <row r="42">
      <c r="A42" s="5" t="inlineStr">
        <is>
          <t>Interest Rate</t>
        </is>
      </c>
      <c r="B42" s="6" t="inlineStr">
        <is>
          <t>%</t>
        </is>
      </c>
      <c r="C42" s="6" t="inlineStr">
        <is>
          <t>Lower (contracted)</t>
        </is>
      </c>
      <c r="D42" s="12" t="n">
        <v>0.055</v>
      </c>
    </row>
    <row r="43">
      <c r="A43" s="5" t="inlineStr">
        <is>
          <t>Debt Tenor</t>
        </is>
      </c>
      <c r="B43" s="6" t="inlineStr">
        <is>
          <t>years</t>
        </is>
      </c>
      <c r="C43" s="6" t="inlineStr">
        <is>
          <t>Longer for contracted</t>
        </is>
      </c>
      <c r="D43" s="14" t="n">
        <v>10</v>
      </c>
    </row>
    <row r="44">
      <c r="A44" s="5" t="inlineStr">
        <is>
          <t>DSRA Months</t>
        </is>
      </c>
      <c r="B44" s="6" t="inlineStr">
        <is>
          <t>months</t>
        </is>
      </c>
      <c r="C44" s="6" t="inlineStr">
        <is>
          <t>Debt service reserve</t>
        </is>
      </c>
      <c r="D44" s="14" t="n">
        <v>6</v>
      </c>
    </row>
    <row r="45">
      <c r="A45" s="5" t="inlineStr">
        <is>
          <t>Target DSCR</t>
        </is>
      </c>
      <c r="B45" s="6" t="inlineStr">
        <is>
          <t>x</t>
        </is>
      </c>
      <c r="C45" s="6" t="inlineStr">
        <is>
          <t>For sculpting</t>
        </is>
      </c>
      <c r="D45" s="13" t="n">
        <v>1.35</v>
      </c>
    </row>
    <row r="46">
      <c r="A46" s="5" t="inlineStr">
        <is>
          <t>Lock-up DSCR</t>
        </is>
      </c>
      <c r="B46" s="6" t="inlineStr">
        <is>
          <t>x</t>
        </is>
      </c>
      <c r="C46" s="6" t="inlineStr">
        <is>
          <t>Distribution threshold</t>
        </is>
      </c>
      <c r="D46" s="13" t="n">
        <v>1.1</v>
      </c>
    </row>
    <row r="48">
      <c r="A48" s="3" t="inlineStr">
        <is>
          <t>TAX INPUTS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5" t="inlineStr">
        <is>
          <t>Tax Rate</t>
        </is>
      </c>
      <c r="B49" s="6" t="inlineStr">
        <is>
          <t>%</t>
        </is>
      </c>
      <c r="C49" s="6" t="inlineStr">
        <is>
          <t>Blended federal + state</t>
        </is>
      </c>
      <c r="D49" s="12" t="n">
        <v>0.25</v>
      </c>
    </row>
    <row r="50">
      <c r="A50" s="5" t="inlineStr">
        <is>
          <t>MACRS Shield Years</t>
        </is>
      </c>
      <c r="B50" s="6" t="inlineStr">
        <is>
          <t>#</t>
        </is>
      </c>
      <c r="C50" s="6" t="inlineStr">
        <is>
          <t>Years with no tax</t>
        </is>
      </c>
      <c r="D50" s="14" t="n">
        <v>6</v>
      </c>
    </row>
    <row r="51">
      <c r="A51" s="5" t="inlineStr">
        <is>
          <t>Post-MACRS Tax Rate</t>
        </is>
      </c>
      <c r="B51" s="6" t="inlineStr">
        <is>
          <t>%</t>
        </is>
      </c>
      <c r="C51" s="6" t="inlineStr">
        <is>
          <t>Reduced effective rate</t>
        </is>
      </c>
      <c r="D51" s="12" t="n">
        <v>0.15</v>
      </c>
    </row>
    <row r="53">
      <c r="A53" s="3" t="inlineStr">
        <is>
          <t>CALCULATED ITEMS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5" t="inlineStr">
        <is>
          <t>Y1 Generation</t>
        </is>
      </c>
      <c r="B54" s="6" t="inlineStr">
        <is>
          <t>MWh</t>
        </is>
      </c>
      <c r="C54" s="6" t="inlineStr">
        <is>
          <t>AC Cap × CF × 8760</t>
        </is>
      </c>
      <c r="D54" s="15">
        <f>$D$24*$D$25*8760</f>
        <v/>
      </c>
    </row>
    <row r="55">
      <c r="A55" s="5" t="inlineStr">
        <is>
          <t>Debt Amount</t>
        </is>
      </c>
      <c r="B55" s="6" t="inlineStr">
        <is>
          <t>$mm</t>
        </is>
      </c>
      <c r="C55" s="6" t="inlineStr">
        <is>
          <t>Entry EV × Leverage</t>
        </is>
      </c>
      <c r="D55" s="16">
        <f>$D$17*$D$41</f>
        <v/>
      </c>
    </row>
    <row r="56">
      <c r="A56" s="5" t="inlineStr">
        <is>
          <t>ITC Benefit</t>
        </is>
      </c>
      <c r="B56" s="6" t="inlineStr">
        <is>
          <t>$mm</t>
        </is>
      </c>
      <c r="C56" s="6" t="inlineStr">
        <is>
          <t>Entry EV × ITC Rate</t>
        </is>
      </c>
      <c r="D56" s="16">
        <f>$D$17*$D$19</f>
        <v/>
      </c>
    </row>
    <row r="58">
      <c r="A58" s="3" t="inlineStr">
        <is>
          <t>OPERATING MODEL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5" t="inlineStr">
        <is>
          <t>Generation</t>
        </is>
      </c>
      <c r="B59" s="6" t="inlineStr">
        <is>
          <t>MWh</t>
        </is>
      </c>
      <c r="C59" s="6" t="inlineStr">
        <is>
          <t>With degradation</t>
        </is>
      </c>
      <c r="E59" s="15">
        <f>$D$54*(1-$D$26)^(1-1)</f>
        <v/>
      </c>
      <c r="F59" s="15">
        <f>$D$54*(1-$D$26)^(2-1)</f>
        <v/>
      </c>
      <c r="G59" s="15">
        <f>$D$54*(1-$D$26)^(3-1)</f>
        <v/>
      </c>
      <c r="H59" s="15">
        <f>$D$54*(1-$D$26)^(4-1)</f>
        <v/>
      </c>
      <c r="I59" s="15">
        <f>$D$54*(1-$D$26)^(5-1)</f>
        <v/>
      </c>
      <c r="J59" s="15">
        <f>$D$54*(1-$D$26)^(6-1)</f>
        <v/>
      </c>
      <c r="K59" s="15">
        <f>$D$54*(1-$D$26)^(7-1)</f>
        <v/>
      </c>
      <c r="L59" s="15">
        <f>$D$54*(1-$D$26)^(8-1)</f>
        <v/>
      </c>
      <c r="M59" s="15">
        <f>$D$54*(1-$D$26)^(9-1)</f>
        <v/>
      </c>
      <c r="N59" s="15">
        <f>$D$54*(1-$D$26)^(10-1)</f>
        <v/>
      </c>
    </row>
    <row r="60">
      <c r="A60" s="5" t="inlineStr">
        <is>
          <t>PPA Price</t>
        </is>
      </c>
      <c r="B60" s="6" t="inlineStr">
        <is>
          <t>$/MWh</t>
        </is>
      </c>
      <c r="C60" s="6" t="inlineStr">
        <is>
          <t>Escalated</t>
        </is>
      </c>
      <c r="E60" s="16">
        <f>$D$29*(1+$D$30)^(1-1)</f>
        <v/>
      </c>
      <c r="F60" s="16">
        <f>$D$29*(1+$D$30)^(2-1)</f>
        <v/>
      </c>
      <c r="G60" s="16">
        <f>$D$29*(1+$D$30)^(3-1)</f>
        <v/>
      </c>
      <c r="H60" s="16">
        <f>$D$29*(1+$D$30)^(4-1)</f>
        <v/>
      </c>
      <c r="I60" s="16">
        <f>$D$29*(1+$D$30)^(5-1)</f>
        <v/>
      </c>
      <c r="J60" s="16">
        <f>$D$29*(1+$D$30)^(6-1)</f>
        <v/>
      </c>
      <c r="K60" s="16">
        <f>$D$29*(1+$D$30)^(7-1)</f>
        <v/>
      </c>
      <c r="L60" s="16">
        <f>$D$29*(1+$D$30)^(8-1)</f>
        <v/>
      </c>
      <c r="M60" s="16">
        <f>$D$29*(1+$D$30)^(9-1)</f>
        <v/>
      </c>
      <c r="N60" s="16">
        <f>$D$29*(1+$D$30)^(10-1)</f>
        <v/>
      </c>
    </row>
    <row r="62">
      <c r="A62" s="5" t="inlineStr">
        <is>
          <t>PPA Revenue</t>
        </is>
      </c>
      <c r="B62" s="6" t="inlineStr">
        <is>
          <t>$mm</t>
        </is>
      </c>
      <c r="C62" s="6" t="inlineStr">
        <is>
          <t>Gen × PPA Price / 1M</t>
        </is>
      </c>
      <c r="E62" s="16">
        <f>E59*E60/1000000</f>
        <v/>
      </c>
      <c r="F62" s="16">
        <f>F59*F60/1000000</f>
        <v/>
      </c>
      <c r="G62" s="16">
        <f>G59*G60/1000000</f>
        <v/>
      </c>
      <c r="H62" s="16">
        <f>H59*H60/1000000</f>
        <v/>
      </c>
      <c r="I62" s="16">
        <f>I59*I60/1000000</f>
        <v/>
      </c>
      <c r="J62" s="16">
        <f>J59*J60/1000000</f>
        <v/>
      </c>
      <c r="K62" s="16">
        <f>K59*K60/1000000</f>
        <v/>
      </c>
      <c r="L62" s="16">
        <f>L59*L60/1000000</f>
        <v/>
      </c>
      <c r="M62" s="16">
        <f>M59*M60/1000000</f>
        <v/>
      </c>
      <c r="N62" s="16">
        <f>N59*N60/1000000</f>
        <v/>
      </c>
    </row>
    <row r="63">
      <c r="A63" s="5" t="inlineStr">
        <is>
          <t>BESS Revenue</t>
        </is>
      </c>
      <c r="B63" s="6" t="inlineStr">
        <is>
          <t>$mm</t>
        </is>
      </c>
      <c r="C63" s="6" t="inlineStr">
        <is>
          <t>Arbitrage + ancillary</t>
        </is>
      </c>
      <c r="E63" s="16">
        <f>$D$31*(1+$D$32)^(1-1)</f>
        <v/>
      </c>
      <c r="F63" s="16">
        <f>$D$31*(1+$D$32)^(2-1)</f>
        <v/>
      </c>
      <c r="G63" s="16">
        <f>$D$31*(1+$D$32)^(3-1)</f>
        <v/>
      </c>
      <c r="H63" s="16">
        <f>$D$31*(1+$D$32)^(4-1)</f>
        <v/>
      </c>
      <c r="I63" s="16">
        <f>$D$31*(1+$D$32)^(5-1)</f>
        <v/>
      </c>
      <c r="J63" s="16">
        <f>$D$31*(1+$D$32)^(6-1)</f>
        <v/>
      </c>
      <c r="K63" s="16">
        <f>$D$31*(1+$D$32)^(7-1)</f>
        <v/>
      </c>
      <c r="L63" s="16">
        <f>$D$31*(1+$D$32)^(8-1)</f>
        <v/>
      </c>
      <c r="M63" s="16">
        <f>$D$31*(1+$D$32)^(9-1)</f>
        <v/>
      </c>
      <c r="N63" s="16">
        <f>$D$31*(1+$D$32)^(10-1)</f>
        <v/>
      </c>
    </row>
    <row r="64">
      <c r="A64" s="5" t="inlineStr">
        <is>
          <t>Total Revenue</t>
        </is>
      </c>
      <c r="B64" s="6" t="inlineStr">
        <is>
          <t>$mm</t>
        </is>
      </c>
      <c r="C64" s="6" t="inlineStr"/>
      <c r="E64" s="17">
        <f>E62+E63</f>
        <v/>
      </c>
      <c r="F64" s="17">
        <f>F62+F63</f>
        <v/>
      </c>
      <c r="G64" s="17">
        <f>G62+G63</f>
        <v/>
      </c>
      <c r="H64" s="17">
        <f>H62+H63</f>
        <v/>
      </c>
      <c r="I64" s="17">
        <f>I62+I63</f>
        <v/>
      </c>
      <c r="J64" s="17">
        <f>J62+J63</f>
        <v/>
      </c>
      <c r="K64" s="17">
        <f>K62+K63</f>
        <v/>
      </c>
      <c r="L64" s="17">
        <f>L62+L63</f>
        <v/>
      </c>
      <c r="M64" s="17">
        <f>M62+M63</f>
        <v/>
      </c>
      <c r="N64" s="17">
        <f>N62+N63</f>
        <v/>
      </c>
    </row>
    <row r="66">
      <c r="A66" s="5" t="inlineStr">
        <is>
          <t>O&amp;M Cost</t>
        </is>
      </c>
      <c r="B66" s="6" t="inlineStr">
        <is>
          <t>$mm</t>
        </is>
      </c>
      <c r="C66" s="6" t="inlineStr">
        <is>
          <t>Escalated</t>
        </is>
      </c>
      <c r="E66" s="16">
        <f>$D$35*(1+$D$36)^(1-1)</f>
        <v/>
      </c>
      <c r="F66" s="16">
        <f>$D$35*(1+$D$36)^(2-1)</f>
        <v/>
      </c>
      <c r="G66" s="16">
        <f>$D$35*(1+$D$36)^(3-1)</f>
        <v/>
      </c>
      <c r="H66" s="16">
        <f>$D$35*(1+$D$36)^(4-1)</f>
        <v/>
      </c>
      <c r="I66" s="16">
        <f>$D$35*(1+$D$36)^(5-1)</f>
        <v/>
      </c>
      <c r="J66" s="16">
        <f>$D$35*(1+$D$36)^(6-1)</f>
        <v/>
      </c>
      <c r="K66" s="16">
        <f>$D$35*(1+$D$36)^(7-1)</f>
        <v/>
      </c>
      <c r="L66" s="16">
        <f>$D$35*(1+$D$36)^(8-1)</f>
        <v/>
      </c>
      <c r="M66" s="16">
        <f>$D$35*(1+$D$36)^(9-1)</f>
        <v/>
      </c>
      <c r="N66" s="16">
        <f>$D$35*(1+$D$36)^(10-1)</f>
        <v/>
      </c>
    </row>
    <row r="68">
      <c r="A68" s="5" t="inlineStr">
        <is>
          <t>EBITDA</t>
        </is>
      </c>
      <c r="B68" s="6" t="inlineStr">
        <is>
          <t>$mm</t>
        </is>
      </c>
      <c r="C68" s="6" t="inlineStr"/>
      <c r="E68" s="7">
        <f>E64-E66</f>
        <v/>
      </c>
      <c r="F68" s="7">
        <f>F64-F66</f>
        <v/>
      </c>
      <c r="G68" s="7">
        <f>G64-G66</f>
        <v/>
      </c>
      <c r="H68" s="7">
        <f>H64-H66</f>
        <v/>
      </c>
      <c r="I68" s="7">
        <f>I64-I66</f>
        <v/>
      </c>
      <c r="J68" s="7">
        <f>J64-J66</f>
        <v/>
      </c>
      <c r="K68" s="7">
        <f>K64-K66</f>
        <v/>
      </c>
      <c r="L68" s="7">
        <f>L64-L66</f>
        <v/>
      </c>
      <c r="M68" s="7">
        <f>M64-M66</f>
        <v/>
      </c>
      <c r="N68" s="7">
        <f>N64-N66</f>
        <v/>
      </c>
    </row>
    <row r="70">
      <c r="A70" s="3" t="inlineStr">
        <is>
          <t>CASH FLOW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5" t="inlineStr">
        <is>
          <t>Taxes</t>
        </is>
      </c>
      <c r="B71" s="6" t="inlineStr">
        <is>
          <t>$mm</t>
        </is>
      </c>
      <c r="C71" s="6" t="inlineStr">
        <is>
          <t>MACRS shield Y1-Y6</t>
        </is>
      </c>
      <c r="E71" s="16">
        <f>IF(1&lt;=$D$50,0,E68*$D$51)</f>
        <v/>
      </c>
      <c r="F71" s="16">
        <f>IF(2&lt;=$D$50,0,F68*$D$51)</f>
        <v/>
      </c>
      <c r="G71" s="16">
        <f>IF(3&lt;=$D$50,0,G68*$D$51)</f>
        <v/>
      </c>
      <c r="H71" s="16">
        <f>IF(4&lt;=$D$50,0,H68*$D$51)</f>
        <v/>
      </c>
      <c r="I71" s="16">
        <f>IF(5&lt;=$D$50,0,I68*$D$51)</f>
        <v/>
      </c>
      <c r="J71" s="16">
        <f>IF(6&lt;=$D$50,0,J68*$D$51)</f>
        <v/>
      </c>
      <c r="K71" s="16">
        <f>IF(7&lt;=$D$50,0,K68*$D$51)</f>
        <v/>
      </c>
      <c r="L71" s="16">
        <f>IF(8&lt;=$D$50,0,L68*$D$51)</f>
        <v/>
      </c>
      <c r="M71" s="16">
        <f>IF(9&lt;=$D$50,0,M68*$D$51)</f>
        <v/>
      </c>
      <c r="N71" s="16">
        <f>IF(10&lt;=$D$50,0,N68*$D$51)</f>
        <v/>
      </c>
    </row>
    <row r="72">
      <c r="A72" s="5" t="inlineStr">
        <is>
          <t>BESS Augmentation</t>
        </is>
      </c>
      <c r="B72" s="6" t="inlineStr">
        <is>
          <t>$mm</t>
        </is>
      </c>
      <c r="C72" s="6" t="inlineStr">
        <is>
          <t>Battery replacement</t>
        </is>
      </c>
      <c r="E72" s="18">
        <f>IF(1=$D$37,$D$38,0)</f>
        <v/>
      </c>
      <c r="F72" s="18">
        <f>IF(2=$D$37,$D$38,0)</f>
        <v/>
      </c>
      <c r="G72" s="18">
        <f>IF(3=$D$37,$D$38,0)</f>
        <v/>
      </c>
      <c r="H72" s="18">
        <f>IF(4=$D$37,$D$38,0)</f>
        <v/>
      </c>
      <c r="I72" s="18">
        <f>IF(5=$D$37,$D$38,0)</f>
        <v/>
      </c>
      <c r="J72" s="18">
        <f>IF(6=$D$37,$D$38,0)</f>
        <v/>
      </c>
      <c r="K72" s="18">
        <f>IF(7=$D$37,$D$38,0)</f>
        <v/>
      </c>
      <c r="L72" s="18">
        <f>IF(8=$D$37,$D$38,0)</f>
        <v/>
      </c>
      <c r="M72" s="18">
        <f>IF(9=$D$37,$D$38,0)</f>
        <v/>
      </c>
      <c r="N72" s="18">
        <f>IF(10=$D$37,$D$38,0)</f>
        <v/>
      </c>
    </row>
    <row r="73">
      <c r="A73" s="5" t="inlineStr">
        <is>
          <t>CFADS</t>
        </is>
      </c>
      <c r="B73" s="6" t="inlineStr">
        <is>
          <t>$mm</t>
        </is>
      </c>
      <c r="C73" s="6" t="inlineStr">
        <is>
          <t>EBITDA - Taxes - Augment</t>
        </is>
      </c>
      <c r="E73" s="7">
        <f>E68-E71-E72</f>
        <v/>
      </c>
      <c r="F73" s="7">
        <f>F68-F71-F72</f>
        <v/>
      </c>
      <c r="G73" s="7">
        <f>G68-G71-G72</f>
        <v/>
      </c>
      <c r="H73" s="7">
        <f>H68-H71-H72</f>
        <v/>
      </c>
      <c r="I73" s="7">
        <f>I68-I71-I72</f>
        <v/>
      </c>
      <c r="J73" s="7">
        <f>J68-J71-J72</f>
        <v/>
      </c>
      <c r="K73" s="7">
        <f>K68-K71-K72</f>
        <v/>
      </c>
      <c r="L73" s="7">
        <f>L68-L71-L72</f>
        <v/>
      </c>
      <c r="M73" s="7">
        <f>M68-M71-M72</f>
        <v/>
      </c>
      <c r="N73" s="7">
        <f>N68-N71-N72</f>
        <v/>
      </c>
    </row>
    <row r="75">
      <c r="A75" s="3" t="inlineStr">
        <is>
          <t>DEBT SCHEDULE (Sculpted to 1.35x DSCR)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5" t="inlineStr">
        <is>
          <t>Beginning Balance</t>
        </is>
      </c>
      <c r="B76" s="6" t="inlineStr">
        <is>
          <t>$mm</t>
        </is>
      </c>
      <c r="C76" s="6" t="inlineStr"/>
      <c r="E76" s="16">
        <f>$D$55</f>
        <v/>
      </c>
      <c r="F76" s="16">
        <f>E81</f>
        <v/>
      </c>
      <c r="G76" s="16">
        <f>F81</f>
        <v/>
      </c>
      <c r="H76" s="16">
        <f>G81</f>
        <v/>
      </c>
      <c r="I76" s="16">
        <f>H81</f>
        <v/>
      </c>
      <c r="J76" s="16">
        <f>I81</f>
        <v/>
      </c>
      <c r="K76" s="16">
        <f>J81</f>
        <v/>
      </c>
      <c r="L76" s="16">
        <f>K81</f>
        <v/>
      </c>
      <c r="M76" s="16">
        <f>L81</f>
        <v/>
      </c>
      <c r="N76" s="16">
        <f>M81</f>
        <v/>
      </c>
    </row>
    <row r="77">
      <c r="A77" s="5" t="inlineStr">
        <is>
          <t>Interest</t>
        </is>
      </c>
      <c r="B77" s="6" t="inlineStr">
        <is>
          <t>$mm</t>
        </is>
      </c>
      <c r="C77" s="6" t="inlineStr">
        <is>
          <t>Beg Bal × Int Rate</t>
        </is>
      </c>
      <c r="E77" s="16">
        <f>E76*$D$42</f>
        <v/>
      </c>
      <c r="F77" s="16">
        <f>F76*$D$42</f>
        <v/>
      </c>
      <c r="G77" s="16">
        <f>G76*$D$42</f>
        <v/>
      </c>
      <c r="H77" s="16">
        <f>H76*$D$42</f>
        <v/>
      </c>
      <c r="I77" s="16">
        <f>I76*$D$42</f>
        <v/>
      </c>
      <c r="J77" s="16">
        <f>J76*$D$42</f>
        <v/>
      </c>
      <c r="K77" s="16">
        <f>K76*$D$42</f>
        <v/>
      </c>
      <c r="L77" s="16">
        <f>L76*$D$42</f>
        <v/>
      </c>
      <c r="M77" s="16">
        <f>M76*$D$42</f>
        <v/>
      </c>
      <c r="N77" s="16">
        <f>N76*$D$42</f>
        <v/>
      </c>
    </row>
    <row r="78">
      <c r="A78" s="5" t="inlineStr">
        <is>
          <t>Target Debt Service</t>
        </is>
      </c>
      <c r="B78" s="6" t="inlineStr">
        <is>
          <t>$mm</t>
        </is>
      </c>
      <c r="C78" s="6" t="inlineStr">
        <is>
          <t>CFADS / Target DSCR</t>
        </is>
      </c>
      <c r="E78" s="16">
        <f>E73/$D$45</f>
        <v/>
      </c>
      <c r="F78" s="16">
        <f>F73/$D$45</f>
        <v/>
      </c>
      <c r="G78" s="16">
        <f>G73/$D$45</f>
        <v/>
      </c>
      <c r="H78" s="16">
        <f>H73/$D$45</f>
        <v/>
      </c>
      <c r="I78" s="16">
        <f>I73/$D$45</f>
        <v/>
      </c>
      <c r="J78" s="16">
        <f>J73/$D$45</f>
        <v/>
      </c>
      <c r="K78" s="16">
        <f>K73/$D$45</f>
        <v/>
      </c>
      <c r="L78" s="16">
        <f>L73/$D$45</f>
        <v/>
      </c>
      <c r="M78" s="16">
        <f>M73/$D$45</f>
        <v/>
      </c>
      <c r="N78" s="16">
        <f>N73/$D$45</f>
        <v/>
      </c>
    </row>
    <row r="79">
      <c r="A79" s="5" t="inlineStr">
        <is>
          <t>Sculpted Principal</t>
        </is>
      </c>
      <c r="B79" s="6" t="inlineStr">
        <is>
          <t>$mm</t>
        </is>
      </c>
      <c r="C79" s="6" t="inlineStr">
        <is>
          <t>Target DS - Interest</t>
        </is>
      </c>
      <c r="E79" s="16">
        <f>MIN(MAX(0,E78-E77),E76)</f>
        <v/>
      </c>
      <c r="F79" s="16">
        <f>MIN(MAX(0,F78-F77),F76)</f>
        <v/>
      </c>
      <c r="G79" s="16">
        <f>MIN(MAX(0,G78-G77),G76)</f>
        <v/>
      </c>
      <c r="H79" s="16">
        <f>MIN(MAX(0,H78-H77),H76)</f>
        <v/>
      </c>
      <c r="I79" s="16">
        <f>MIN(MAX(0,I78-I77),I76)</f>
        <v/>
      </c>
      <c r="J79" s="16">
        <f>MIN(MAX(0,J78-J77),J76)</f>
        <v/>
      </c>
      <c r="K79" s="16">
        <f>MIN(MAX(0,K78-K77),K76)</f>
        <v/>
      </c>
      <c r="L79" s="16">
        <f>MIN(MAX(0,L78-L77),L76)</f>
        <v/>
      </c>
      <c r="M79" s="16">
        <f>MIN(MAX(0,M78-M77),M76)</f>
        <v/>
      </c>
      <c r="N79" s="16">
        <f>MIN(MAX(0,N78-N77),N76)</f>
        <v/>
      </c>
    </row>
    <row r="80">
      <c r="A80" s="5" t="inlineStr">
        <is>
          <t>Actual Debt Service</t>
        </is>
      </c>
      <c r="B80" s="6" t="inlineStr">
        <is>
          <t>$mm</t>
        </is>
      </c>
      <c r="C80" s="6" t="inlineStr">
        <is>
          <t>Interest + Principal</t>
        </is>
      </c>
      <c r="E80" s="16">
        <f>E77+E79</f>
        <v/>
      </c>
      <c r="F80" s="16">
        <f>F77+F79</f>
        <v/>
      </c>
      <c r="G80" s="16">
        <f>G77+G79</f>
        <v/>
      </c>
      <c r="H80" s="16">
        <f>H77+H79</f>
        <v/>
      </c>
      <c r="I80" s="16">
        <f>I77+I79</f>
        <v/>
      </c>
      <c r="J80" s="16">
        <f>J77+J79</f>
        <v/>
      </c>
      <c r="K80" s="16">
        <f>K77+K79</f>
        <v/>
      </c>
      <c r="L80" s="16">
        <f>L77+L79</f>
        <v/>
      </c>
      <c r="M80" s="16">
        <f>M77+M79</f>
        <v/>
      </c>
      <c r="N80" s="16">
        <f>N77+N79</f>
        <v/>
      </c>
    </row>
    <row r="81">
      <c r="A81" s="5" t="inlineStr">
        <is>
          <t>Ending Balance</t>
        </is>
      </c>
      <c r="B81" s="6" t="inlineStr">
        <is>
          <t>$mm</t>
        </is>
      </c>
      <c r="C81" s="6" t="inlineStr">
        <is>
          <t>Beg - Principal</t>
        </is>
      </c>
      <c r="E81" s="16">
        <f>MAX(0,E76-E79)</f>
        <v/>
      </c>
      <c r="F81" s="16">
        <f>MAX(0,F76-F79)</f>
        <v/>
      </c>
      <c r="G81" s="16">
        <f>MAX(0,G76-G79)</f>
        <v/>
      </c>
      <c r="H81" s="16">
        <f>MAX(0,H76-H79)</f>
        <v/>
      </c>
      <c r="I81" s="16">
        <f>MAX(0,I76-I79)</f>
        <v/>
      </c>
      <c r="J81" s="16">
        <f>MAX(0,J76-J79)</f>
        <v/>
      </c>
      <c r="K81" s="16">
        <f>MAX(0,K76-K79)</f>
        <v/>
      </c>
      <c r="L81" s="16">
        <f>MAX(0,L76-L79)</f>
        <v/>
      </c>
      <c r="M81" s="16">
        <f>MAX(0,M76-M79)</f>
        <v/>
      </c>
      <c r="N81" s="16">
        <f>MAX(0,N76-N79)</f>
        <v/>
      </c>
    </row>
    <row r="82">
      <c r="A82" s="5" t="inlineStr">
        <is>
          <t>Actual DSCR</t>
        </is>
      </c>
      <c r="B82" s="6" t="inlineStr">
        <is>
          <t>x</t>
        </is>
      </c>
      <c r="C82" s="6" t="inlineStr">
        <is>
          <t>CFADS / Actual DS</t>
        </is>
      </c>
      <c r="E82" s="8">
        <f>IF(E80&gt;0,E73/E80,0)</f>
        <v/>
      </c>
      <c r="F82" s="8">
        <f>IF(F80&gt;0,F73/F80,0)</f>
        <v/>
      </c>
      <c r="G82" s="8">
        <f>IF(G80&gt;0,G73/G80,0)</f>
        <v/>
      </c>
      <c r="H82" s="8">
        <f>IF(H80&gt;0,H73/H80,0)</f>
        <v/>
      </c>
      <c r="I82" s="8">
        <f>IF(I80&gt;0,I73/I80,0)</f>
        <v/>
      </c>
      <c r="J82" s="8">
        <f>IF(J80&gt;0,J73/J80,0)</f>
        <v/>
      </c>
      <c r="K82" s="8">
        <f>IF(K80&gt;0,K73/K80,0)</f>
        <v/>
      </c>
      <c r="L82" s="8">
        <f>IF(L80&gt;0,L73/L80,0)</f>
        <v/>
      </c>
      <c r="M82" s="8">
        <f>IF(M80&gt;0,M73/M80,0)</f>
        <v/>
      </c>
      <c r="N82" s="8">
        <f>IF(N80&gt;0,N73/N80,0)</f>
        <v/>
      </c>
    </row>
    <row r="84">
      <c r="A84" s="3" t="inlineStr">
        <is>
          <t>DSRA (Debt Service Reserve Account)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5" t="inlineStr">
        <is>
          <t>DSRA Target</t>
        </is>
      </c>
      <c r="B85" s="6" t="inlineStr">
        <is>
          <t>$mm</t>
        </is>
      </c>
      <c r="C85" s="6" t="inlineStr">
        <is>
          <t>Next Yr DS × DSRA Months / 12</t>
        </is>
      </c>
      <c r="D85" s="16">
        <f>E80*$D$44/12</f>
        <v/>
      </c>
      <c r="E85" s="16">
        <f>F80*$D$44/12</f>
        <v/>
      </c>
      <c r="F85" s="16">
        <f>G80*$D$44/12</f>
        <v/>
      </c>
      <c r="G85" s="16">
        <f>H80*$D$44/12</f>
        <v/>
      </c>
      <c r="H85" s="16">
        <f>I80*$D$44/12</f>
        <v/>
      </c>
      <c r="I85" s="16">
        <f>J80*$D$44/12</f>
        <v/>
      </c>
      <c r="J85" s="16">
        <f>K80*$D$44/12</f>
        <v/>
      </c>
      <c r="K85" s="16">
        <f>L80*$D$44/12</f>
        <v/>
      </c>
      <c r="L85" s="16">
        <f>M80*$D$44/12</f>
        <v/>
      </c>
      <c r="M85" s="16">
        <f>N80*$D$44/12</f>
        <v/>
      </c>
      <c r="N85" s="16">
        <f>0</f>
        <v/>
      </c>
    </row>
    <row r="86">
      <c r="A86" s="5" t="inlineStr">
        <is>
          <t>DSRA Beginning</t>
        </is>
      </c>
      <c r="B86" s="6" t="inlineStr">
        <is>
          <t>$mm</t>
        </is>
      </c>
      <c r="C86" s="6" t="inlineStr"/>
      <c r="D86" s="16">
        <f>0</f>
        <v/>
      </c>
      <c r="E86" s="16">
        <f>D88</f>
        <v/>
      </c>
      <c r="F86" s="16">
        <f>E88</f>
        <v/>
      </c>
      <c r="G86" s="16">
        <f>F88</f>
        <v/>
      </c>
      <c r="H86" s="16">
        <f>G88</f>
        <v/>
      </c>
      <c r="I86" s="16">
        <f>H88</f>
        <v/>
      </c>
      <c r="J86" s="16">
        <f>I88</f>
        <v/>
      </c>
      <c r="K86" s="16">
        <f>J88</f>
        <v/>
      </c>
      <c r="L86" s="16">
        <f>K88</f>
        <v/>
      </c>
      <c r="M86" s="16">
        <f>L88</f>
        <v/>
      </c>
      <c r="N86" s="16">
        <f>M88</f>
        <v/>
      </c>
    </row>
    <row r="87">
      <c r="A87" s="5" t="inlineStr">
        <is>
          <t>DSRA Funding/(Release)</t>
        </is>
      </c>
      <c r="B87" s="6" t="inlineStr">
        <is>
          <t>$mm</t>
        </is>
      </c>
      <c r="C87" s="6" t="inlineStr">
        <is>
          <t>Target - Beginning</t>
        </is>
      </c>
      <c r="D87" s="16">
        <f>D85-D86</f>
        <v/>
      </c>
      <c r="E87" s="16">
        <f>E85-E86</f>
        <v/>
      </c>
      <c r="F87" s="16">
        <f>F85-F86</f>
        <v/>
      </c>
      <c r="G87" s="16">
        <f>G85-G86</f>
        <v/>
      </c>
      <c r="H87" s="16">
        <f>H85-H86</f>
        <v/>
      </c>
      <c r="I87" s="16">
        <f>I85-I86</f>
        <v/>
      </c>
      <c r="J87" s="16">
        <f>J85-J86</f>
        <v/>
      </c>
      <c r="K87" s="16">
        <f>K85-K86</f>
        <v/>
      </c>
      <c r="L87" s="16">
        <f>L85-L86</f>
        <v/>
      </c>
      <c r="M87" s="16">
        <f>M85-M86</f>
        <v/>
      </c>
      <c r="N87" s="16">
        <f>N85-N86</f>
        <v/>
      </c>
    </row>
    <row r="88">
      <c r="A88" s="5" t="inlineStr">
        <is>
          <t>DSRA Ending</t>
        </is>
      </c>
      <c r="B88" s="6" t="inlineStr">
        <is>
          <t>$mm</t>
        </is>
      </c>
      <c r="C88" s="6" t="inlineStr">
        <is>
          <t>Beginning + Funding</t>
        </is>
      </c>
      <c r="D88" s="16">
        <f>D86+D87</f>
        <v/>
      </c>
      <c r="E88" s="16">
        <f>E86+E87</f>
        <v/>
      </c>
      <c r="F88" s="16">
        <f>F86+F87</f>
        <v/>
      </c>
      <c r="G88" s="16">
        <f>G86+G87</f>
        <v/>
      </c>
      <c r="H88" s="16">
        <f>H86+H87</f>
        <v/>
      </c>
      <c r="I88" s="16">
        <f>I86+I87</f>
        <v/>
      </c>
      <c r="J88" s="16">
        <f>J86+J87</f>
        <v/>
      </c>
      <c r="K88" s="16">
        <f>K86+K87</f>
        <v/>
      </c>
      <c r="L88" s="16">
        <f>L86+L87</f>
        <v/>
      </c>
      <c r="M88" s="16">
        <f>M86+M87</f>
        <v/>
      </c>
      <c r="N88" s="16">
        <f>N86+N87</f>
        <v/>
      </c>
    </row>
    <row r="90">
      <c r="A90" s="3" t="inlineStr">
        <is>
          <t>DISTRIBUTION WATERFALL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5" t="inlineStr">
        <is>
          <t>Cash Available for Distribution</t>
        </is>
      </c>
      <c r="B91" s="6" t="inlineStr">
        <is>
          <t>$mm</t>
        </is>
      </c>
      <c r="C91" s="6" t="inlineStr">
        <is>
          <t>CFADS - DS - DSRA Fund</t>
        </is>
      </c>
      <c r="E91" s="16">
        <f>E73-E80-E87</f>
        <v/>
      </c>
      <c r="F91" s="16">
        <f>F73-F80-F87</f>
        <v/>
      </c>
      <c r="G91" s="16">
        <f>G73-G80-G87</f>
        <v/>
      </c>
      <c r="H91" s="16">
        <f>H73-H80-H87</f>
        <v/>
      </c>
      <c r="I91" s="16">
        <f>I73-I80-I87</f>
        <v/>
      </c>
      <c r="J91" s="16">
        <f>J73-J80-J87</f>
        <v/>
      </c>
      <c r="K91" s="16">
        <f>K73-K80-K87</f>
        <v/>
      </c>
      <c r="L91" s="16">
        <f>L73-L80-L87</f>
        <v/>
      </c>
      <c r="M91" s="16">
        <f>M73-M80-M87</f>
        <v/>
      </c>
      <c r="N91" s="16">
        <f>N73-N80-N87</f>
        <v/>
      </c>
    </row>
    <row r="92">
      <c r="A92" s="5" t="inlineStr">
        <is>
          <t>Lock-up Test</t>
        </is>
      </c>
      <c r="B92" s="6" t="inlineStr"/>
      <c r="C92" s="6" t="inlineStr">
        <is>
          <t>PASS if DSCR ≥ Lock-up</t>
        </is>
      </c>
      <c r="E92" s="19">
        <f>IF(E82&gt;=$D$46,"PASS","LOCKED")</f>
        <v/>
      </c>
      <c r="F92" s="19">
        <f>IF(F82&gt;=$D$46,"PASS","LOCKED")</f>
        <v/>
      </c>
      <c r="G92" s="19">
        <f>IF(G82&gt;=$D$46,"PASS","LOCKED")</f>
        <v/>
      </c>
      <c r="H92" s="19">
        <f>IF(H82&gt;=$D$46,"PASS","LOCKED")</f>
        <v/>
      </c>
      <c r="I92" s="19">
        <f>IF(I82&gt;=$D$46,"PASS","LOCKED")</f>
        <v/>
      </c>
      <c r="J92" s="19">
        <f>IF(J82&gt;=$D$46,"PASS","LOCKED")</f>
        <v/>
      </c>
      <c r="K92" s="19">
        <f>IF(K82&gt;=$D$46,"PASS","LOCKED")</f>
        <v/>
      </c>
      <c r="L92" s="19">
        <f>IF(L82&gt;=$D$46,"PASS","LOCKED")</f>
        <v/>
      </c>
      <c r="M92" s="19">
        <f>IF(M82&gt;=$D$46,"PASS","LOCKED")</f>
        <v/>
      </c>
      <c r="N92" s="19">
        <f>IF(N82&gt;=$D$46,"PASS","LOCKED")</f>
        <v/>
      </c>
    </row>
    <row r="93">
      <c r="A93" s="5" t="inlineStr">
        <is>
          <t>Distributable Cash</t>
        </is>
      </c>
      <c r="B93" s="6" t="inlineStr">
        <is>
          <t>$mm</t>
        </is>
      </c>
      <c r="C93" s="6" t="inlineStr">
        <is>
          <t>If PASS, MAX(0, Cash Avail)</t>
        </is>
      </c>
      <c r="E93" s="7">
        <f>IF(E92="PASS",MAX(0,E91),0)</f>
        <v/>
      </c>
      <c r="F93" s="7">
        <f>IF(F92="PASS",MAX(0,F91),0)</f>
        <v/>
      </c>
      <c r="G93" s="7">
        <f>IF(G92="PASS",MAX(0,G91),0)</f>
        <v/>
      </c>
      <c r="H93" s="7">
        <f>IF(H92="PASS",MAX(0,H91),0)</f>
        <v/>
      </c>
      <c r="I93" s="7">
        <f>IF(I92="PASS",MAX(0,I91),0)</f>
        <v/>
      </c>
      <c r="J93" s="7">
        <f>IF(J92="PASS",MAX(0,J91),0)</f>
        <v/>
      </c>
      <c r="K93" s="7">
        <f>IF(K92="PASS",MAX(0,K91),0)</f>
        <v/>
      </c>
      <c r="L93" s="7">
        <f>IF(L92="PASS",MAX(0,L91),0)</f>
        <v/>
      </c>
      <c r="M93" s="7">
        <f>IF(M92="PASS",MAX(0,M91),0)</f>
        <v/>
      </c>
      <c r="N93" s="7">
        <f>IF(N92="PASS",MAX(0,N91),0)</f>
        <v/>
      </c>
    </row>
    <row r="95">
      <c r="A95" s="3" t="inlineStr">
        <is>
          <t>SOURCES &amp; USES (Year 0)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0" t="inlineStr">
        <is>
          <t>USES</t>
        </is>
      </c>
      <c r="B96" s="6" t="inlineStr"/>
      <c r="C96" s="6" t="inlineStr"/>
    </row>
    <row r="97">
      <c r="A97" s="5" t="inlineStr">
        <is>
          <t xml:space="preserve">  Purchase Price</t>
        </is>
      </c>
      <c r="B97" s="6" t="inlineStr">
        <is>
          <t>$mm</t>
        </is>
      </c>
      <c r="C97" s="6" t="inlineStr"/>
      <c r="D97" s="16">
        <f>$D$17</f>
        <v/>
      </c>
    </row>
    <row r="98">
      <c r="A98" s="5" t="inlineStr">
        <is>
          <t xml:space="preserve">  Transaction Fees</t>
        </is>
      </c>
      <c r="B98" s="6" t="inlineStr">
        <is>
          <t>$mm</t>
        </is>
      </c>
      <c r="C98" s="6" t="inlineStr"/>
      <c r="D98" s="16">
        <f>$D$17*$D$18</f>
        <v/>
      </c>
    </row>
    <row r="99">
      <c r="A99" s="5" t="inlineStr">
        <is>
          <t xml:space="preserve">  DSRA Funding</t>
        </is>
      </c>
      <c r="B99" s="6" t="inlineStr">
        <is>
          <t>$mm</t>
        </is>
      </c>
      <c r="C99" s="6" t="inlineStr"/>
      <c r="D99" s="16">
        <f>D85</f>
        <v/>
      </c>
    </row>
    <row r="100">
      <c r="A100" s="5" t="inlineStr">
        <is>
          <t>Total Uses</t>
        </is>
      </c>
      <c r="B100" s="6" t="inlineStr">
        <is>
          <t>$mm</t>
        </is>
      </c>
      <c r="C100" s="6" t="inlineStr"/>
      <c r="D100" s="7">
        <f>D97+D98+D99</f>
        <v/>
      </c>
    </row>
    <row r="102">
      <c r="A102" s="20" t="inlineStr">
        <is>
          <t>SOURCES</t>
        </is>
      </c>
      <c r="B102" s="6" t="inlineStr"/>
      <c r="C102" s="6" t="inlineStr"/>
    </row>
    <row r="103">
      <c r="A103" s="5" t="inlineStr">
        <is>
          <t xml:space="preserve">  Debt</t>
        </is>
      </c>
      <c r="B103" s="6" t="inlineStr">
        <is>
          <t>$mm</t>
        </is>
      </c>
      <c r="C103" s="6" t="inlineStr"/>
      <c r="D103" s="16">
        <f>$D$55</f>
        <v/>
      </c>
    </row>
    <row r="104">
      <c r="A104" s="5" t="inlineStr">
        <is>
          <t xml:space="preserve">  Pre-ITC Equity</t>
        </is>
      </c>
      <c r="B104" s="6" t="inlineStr">
        <is>
          <t>$mm</t>
        </is>
      </c>
      <c r="C104" s="6" t="inlineStr">
        <is>
          <t>Uses - Debt</t>
        </is>
      </c>
      <c r="D104" s="16">
        <f>D100-D103</f>
        <v/>
      </c>
    </row>
    <row r="105">
      <c r="A105" s="5" t="inlineStr">
        <is>
          <t xml:space="preserve">  ITC Benefit</t>
        </is>
      </c>
      <c r="B105" s="6" t="inlineStr">
        <is>
          <t>$mm</t>
        </is>
      </c>
      <c r="C105" s="6" t="inlineStr">
        <is>
          <t>Reduces equity required</t>
        </is>
      </c>
      <c r="D105" s="16">
        <f>$D$56</f>
        <v/>
      </c>
    </row>
    <row r="106">
      <c r="A106" s="5" t="inlineStr">
        <is>
          <t xml:space="preserve">  Net Equity</t>
        </is>
      </c>
      <c r="B106" s="6" t="inlineStr">
        <is>
          <t>$mm</t>
        </is>
      </c>
      <c r="C106" s="6" t="inlineStr">
        <is>
          <t>Pre-ITC - ITC</t>
        </is>
      </c>
      <c r="D106" s="7">
        <f>D104-D105</f>
        <v/>
      </c>
    </row>
    <row r="107">
      <c r="A107" s="5" t="inlineStr">
        <is>
          <t>Total Sources</t>
        </is>
      </c>
      <c r="B107" s="6" t="inlineStr">
        <is>
          <t>$mm</t>
        </is>
      </c>
      <c r="C107" s="6" t="inlineStr"/>
      <c r="D107" s="7">
        <f>D103+D106+D105</f>
        <v/>
      </c>
    </row>
    <row r="108">
      <c r="A108" s="5" t="inlineStr">
        <is>
          <t>Balance Check</t>
        </is>
      </c>
      <c r="B108" s="6" t="inlineStr"/>
      <c r="C108" s="6" t="inlineStr"/>
      <c r="D108" s="10">
        <f>IF(ABS(D100-D107)&lt;0.01,"PASS","FAIL")</f>
        <v/>
      </c>
    </row>
    <row r="110">
      <c r="A110" s="3" t="inlineStr">
        <is>
          <t>EXIT CALCULATIONS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5" t="inlineStr">
        <is>
          <t>Exit EV</t>
        </is>
      </c>
      <c r="B111" s="6" t="inlineStr">
        <is>
          <t>$mm</t>
        </is>
      </c>
      <c r="C111" s="6" t="inlineStr">
        <is>
          <t>Exit Multiple × Exit Yr EBITDA</t>
        </is>
      </c>
      <c r="N111" s="16">
        <f>$D$20*N68</f>
        <v/>
      </c>
    </row>
    <row r="112">
      <c r="A112" s="5" t="inlineStr">
        <is>
          <t>Exit Debt Payoff</t>
        </is>
      </c>
      <c r="B112" s="6" t="inlineStr">
        <is>
          <t>$mm</t>
        </is>
      </c>
      <c r="C112" s="6" t="inlineStr">
        <is>
          <t>Ending Bal at Exit</t>
        </is>
      </c>
      <c r="N112" s="16">
        <f>N81</f>
        <v/>
      </c>
    </row>
    <row r="113">
      <c r="A113" s="5" t="inlineStr">
        <is>
          <t>DSRA Release</t>
        </is>
      </c>
      <c r="B113" s="6" t="inlineStr">
        <is>
          <t>$mm</t>
        </is>
      </c>
      <c r="C113" s="6" t="inlineStr">
        <is>
          <t>DSRA Ending at Exit</t>
        </is>
      </c>
      <c r="N113" s="16">
        <f>N88</f>
        <v/>
      </c>
    </row>
    <row r="114">
      <c r="A114" s="5" t="inlineStr">
        <is>
          <t>Exit Equity Proceeds</t>
        </is>
      </c>
      <c r="B114" s="6" t="inlineStr">
        <is>
          <t>$mm</t>
        </is>
      </c>
      <c r="C114" s="6" t="inlineStr">
        <is>
          <t>Exit EV - Debt + DSRA</t>
        </is>
      </c>
      <c r="N114" s="7">
        <f>N111-N112+N113</f>
        <v/>
      </c>
    </row>
    <row r="116">
      <c r="A116" s="3" t="inlineStr">
        <is>
          <t>EQUITY RETURNS</t>
        </is>
      </c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5" t="inlineStr">
        <is>
          <t>Equity Cash Flow</t>
        </is>
      </c>
      <c r="B117" s="6" t="inlineStr">
        <is>
          <t>$mm</t>
        </is>
      </c>
      <c r="C117" s="6" t="inlineStr"/>
      <c r="D117" s="16">
        <f>-D106</f>
        <v/>
      </c>
      <c r="E117" s="16">
        <f>E93</f>
        <v/>
      </c>
      <c r="F117" s="16">
        <f>F93</f>
        <v/>
      </c>
      <c r="G117" s="16">
        <f>G93</f>
        <v/>
      </c>
      <c r="H117" s="16">
        <f>H93</f>
        <v/>
      </c>
      <c r="I117" s="16">
        <f>I93</f>
        <v/>
      </c>
      <c r="J117" s="16">
        <f>J93</f>
        <v/>
      </c>
      <c r="K117" s="16">
        <f>K93</f>
        <v/>
      </c>
      <c r="L117" s="16">
        <f>L93</f>
        <v/>
      </c>
      <c r="M117" s="16">
        <f>M93</f>
        <v/>
      </c>
      <c r="N117" s="16">
        <f>N93+N114</f>
        <v/>
      </c>
    </row>
    <row r="118">
      <c r="A118" s="5" t="inlineStr">
        <is>
          <t>Levered IRR</t>
        </is>
      </c>
      <c r="B118" s="6" t="inlineStr">
        <is>
          <t>%</t>
        </is>
      </c>
      <c r="C118" s="6" t="inlineStr"/>
      <c r="D118" s="9">
        <f>IRR(D117:N117)</f>
        <v/>
      </c>
    </row>
    <row r="119">
      <c r="A119" s="5" t="inlineStr">
        <is>
          <t>MOIC</t>
        </is>
      </c>
      <c r="B119" s="6" t="inlineStr">
        <is>
          <t>x</t>
        </is>
      </c>
      <c r="C119" s="6" t="inlineStr">
        <is>
          <t>Sum inflows / outflow</t>
        </is>
      </c>
      <c r="D119" s="8">
        <f>SUMIF(D117:N117,"&gt;0")/ABS(D117)</f>
        <v/>
      </c>
    </row>
    <row r="121">
      <c r="A121" s="20" t="inlineStr">
        <is>
          <t>Unlevered Returns (for reference)</t>
        </is>
      </c>
      <c r="B121" s="6" t="inlineStr"/>
      <c r="C121" s="6" t="inlineStr"/>
    </row>
    <row r="122">
      <c r="A122" s="5" t="inlineStr">
        <is>
          <t>Unlevered Cash Flow</t>
        </is>
      </c>
      <c r="B122" s="6" t="inlineStr">
        <is>
          <t>$mm</t>
        </is>
      </c>
      <c r="C122" s="6" t="inlineStr"/>
      <c r="D122" s="16">
        <f>-$D$17-D98</f>
        <v/>
      </c>
      <c r="E122" s="16">
        <f>E73</f>
        <v/>
      </c>
      <c r="F122" s="16">
        <f>F73</f>
        <v/>
      </c>
      <c r="G122" s="16">
        <f>G73</f>
        <v/>
      </c>
      <c r="H122" s="16">
        <f>H73</f>
        <v/>
      </c>
      <c r="I122" s="16">
        <f>I73</f>
        <v/>
      </c>
      <c r="J122" s="16">
        <f>J73</f>
        <v/>
      </c>
      <c r="K122" s="16">
        <f>K73</f>
        <v/>
      </c>
      <c r="L122" s="16">
        <f>L73</f>
        <v/>
      </c>
      <c r="M122" s="16">
        <f>M73</f>
        <v/>
      </c>
      <c r="N122" s="16">
        <f>N73+N111</f>
        <v/>
      </c>
    </row>
    <row r="123">
      <c r="A123" s="5" t="inlineStr">
        <is>
          <t>Unlevered IRR</t>
        </is>
      </c>
      <c r="B123" s="6" t="inlineStr">
        <is>
          <t>%</t>
        </is>
      </c>
      <c r="C123" s="6" t="inlineStr"/>
      <c r="D123" s="9">
        <f>IRR(D122:N122)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2026-01-19T23:18:29Z</dcterms:created>
  <dcterms:modified xmlns:dcterms="http://purl.org/dc/terms/" xmlns:xsi="http://www.w3.org/2001/XMLSchema-instance" xsi:type="dcterms:W3CDTF">2026-01-19T23:18:29Z</dcterms:modified>
</cp:coreProperties>
</file>