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5" authorId="0" shapeId="0">
      <text>
        <t>Debt Service Coverage Ratio. Key lender metric. Target: 1.25-1.40x.</t>
      </text>
    </comment>
    <comment ref="C46" authorId="0" shapeId="0">
      <text>
        <t>Debt Service Coverage Ratio. Key lender metric. Target: 1.25-1.40x.</t>
      </text>
    </comment>
    <comment ref="C68" authorId="0" shapeId="0">
      <text>
        <t>Cash earnings before financing. What is available to service debt and pay equity.</t>
      </text>
    </comment>
    <comment ref="C73" authorId="0" shapeId="0">
      <text>
        <t>Cash Flow Available for Debt Service. What remains after taxes to pay interest and principal.</t>
      </text>
    </comment>
    <comment ref="C75" authorId="0" shapeId="0">
      <text>
        <t>Debt Service Coverage Ratio. Key lender metric. Target: 1.25-1.40x.</t>
      </text>
    </comment>
    <comment ref="C82" authorId="0" shapeId="0">
      <text>
        <t>Debt Service Coverage Ratio. Key lender metric. Target: 1.25-1.40x.</t>
      </text>
    </comment>
    <comment ref="C85" authorId="0" shapeId="0">
      <text>
        <t>Reserve sized to cover NEXT years debt service. Uses SCHEDULED DS to avoid circular reference.</t>
      </text>
    </comment>
    <comment ref="C118" authorId="0" shapeId="0">
      <text>
        <t>Return to equity after debt service. Should exceed cost of equity (12-15% for infra).</t>
      </text>
    </comment>
    <comment ref="C119" authorId="0" shapeId="0">
      <text>
        <t>Multiple on Invested Capital. Cash-on-cash return. 2.0x = doubled money.</t>
      </text>
    </comment>
    <comment ref="C123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SolarBESS - INTUITION MAP</t>
        </is>
      </c>
    </row>
    <row r="3">
      <c r="A3" s="29" t="inlineStr">
        <is>
          <t>WHAT THIS MODEL DOES</t>
        </is>
      </c>
    </row>
    <row r="4">
      <c r="A4" t="inlineStr">
        <is>
          <t>Solar + Battery - Contracted PPA with merchant upside.</t>
        </is>
      </c>
    </row>
    <row r="6">
      <c r="A6" s="29" t="inlineStr">
        <is>
          <t>KEY VALUE DRIVERS</t>
        </is>
      </c>
    </row>
    <row r="7">
      <c r="A7" t="inlineStr">
        <is>
          <t>1. PPA Price</t>
        </is>
      </c>
    </row>
    <row r="8">
      <c r="A8" t="inlineStr">
        <is>
          <t>2. Degradation</t>
        </is>
      </c>
    </row>
    <row r="9">
      <c r="A9" t="inlineStr">
        <is>
          <t>3. Battery Cycling</t>
        </is>
      </c>
    </row>
    <row r="11">
      <c r="A11" s="29" t="inlineStr">
        <is>
          <t>DEBT STRUCTURE RATIONALE</t>
        </is>
      </c>
    </row>
    <row r="12">
      <c r="A12" t="inlineStr">
        <is>
          <t>Sculpted 1.35x - contracted cash flows.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>
        <is>
          <t>CFADS / Debt Service</t>
        </is>
      </c>
      <c r="D6" s="21">
        <f>IF(COUNTIF(E82:N82,"&gt;0")&gt;0,MINIFS(E82:N82,E82:N82,"&gt;0"),0)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2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1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2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>
        <is>
          <t>CFADS / Debt Service</t>
        </is>
      </c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3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3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24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3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3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3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3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3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3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3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24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24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3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3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>
        <is>
          <t>Revenue minus OpEx</t>
        </is>
      </c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inlineStr">
        <is>
          <t>CFADS / Debt Service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1">
        <f>IF(E80&gt;0,E73/E80,0)</f>
        <v/>
      </c>
      <c r="F82" s="21">
        <f>IF(F80&gt;0,F73/F80,0)</f>
        <v/>
      </c>
      <c r="G82" s="21">
        <f>IF(G80&gt;0,G73/G80,0)</f>
        <v/>
      </c>
      <c r="H82" s="21">
        <f>IF(H80&gt;0,H73/H80,0)</f>
        <v/>
      </c>
      <c r="I82" s="21">
        <f>IF(I80&gt;0,I73/I80,0)</f>
        <v/>
      </c>
      <c r="J82" s="21">
        <f>IF(J80&gt;0,J73/J80,0)</f>
        <v/>
      </c>
      <c r="K82" s="21">
        <f>IF(K80&gt;0,K73/K80,0)</f>
        <v/>
      </c>
      <c r="L82" s="21">
        <f>IF(L80&gt;0,L73/L80,0)</f>
        <v/>
      </c>
      <c r="M82" s="21">
        <f>IF(M80&gt;0,M73/M80,0)</f>
        <v/>
      </c>
      <c r="N82" s="21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>
        <is>
          <t>IRR of Equity CFs</t>
        </is>
      </c>
      <c r="D118" s="22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1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>
        <is>
          <t>IRR of Equity CFs</t>
        </is>
      </c>
      <c r="D123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2026-01-20T04:30:33Z</dcterms:modified>
</cp:coreProperties>
</file>