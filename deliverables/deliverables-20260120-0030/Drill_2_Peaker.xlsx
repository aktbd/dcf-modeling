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8" authorId="0" shapeId="0">
      <text>
        <t>Higher leverage amplifies equity returns but increases risk. Merchant assets: 40-50%. Contracted: 60-70%.</t>
      </text>
    </comment>
    <comment ref="C11" authorId="0" shapeId="0">
      <text>
        <t>Unlike baseload, peakers run only during high-price hours. 400-800 hrs/yr typical. NOT capacity factor × 8760.</t>
      </text>
    </comment>
    <comment ref="C13" authorId="0" shapeId="0">
      <text>
        <t>Mandatory prepayment from excess cash. Lenders require this for merchant assets to accelerate deleveraging.</t>
      </text>
    </comment>
    <comment ref="C14" authorId="0" shapeId="0">
      <text>
        <t>Each start-stop cycle causes wear. Major maintenance every 5-7 years. Factor into cash flow timing.</t>
      </text>
    </comment>
    <comment ref="C16" authorId="0" shapeId="0">
      <text>
        <t>CRITICAL: Use dispatch hours, NOT CF × 8760. Peakers run few hours but earn most revenue from capacity payments.</t>
      </text>
    </comment>
    <comment ref="C20" authorId="0" shapeId="0">
      <text>
        <t>Each start-stop cycle causes wear. Major maintenance every 5-7 years. Factor into cash flow timing.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3" t="inlineStr">
        <is>
          <t>PEAKER MODEL - INTUITION GUIDE</t>
        </is>
      </c>
      <c r="B1" s="24" t="inlineStr"/>
    </row>
    <row r="2" ht="30" customHeight="1">
      <c r="A2" s="23" t="inlineStr"/>
      <c r="B2" s="24" t="inlineStr"/>
    </row>
    <row r="3" ht="30" customHeight="1">
      <c r="A3" s="23" t="inlineStr">
        <is>
          <t>SECTION</t>
        </is>
      </c>
      <c r="B3" s="25" t="inlineStr">
        <is>
          <t>WHY IT MATTERS / KEY LOGIC</t>
        </is>
      </c>
    </row>
    <row r="4" ht="30" customHeight="1">
      <c r="A4" s="23" t="inlineStr"/>
      <c r="B4" s="24" t="inlineStr"/>
    </row>
    <row r="5" ht="30" customHeight="1">
      <c r="A5" s="26" t="inlineStr">
        <is>
          <t>═══ BUSINESS CONTEXT ═══</t>
        </is>
      </c>
      <c r="B5" s="27" t="n"/>
    </row>
    <row r="6" ht="30" customHeight="1">
      <c r="A6" s="23" t="inlineStr">
        <is>
          <t>What is a Peaker?</t>
        </is>
      </c>
      <c r="B6" s="24" t="inlineStr">
        <is>
          <t>Simple cycle gas turbine - fast-start units that run only during peak demand (~400 hours/year vs 4,800 for CCGT). Less efficient but can start in 10-15 minutes.</t>
        </is>
      </c>
    </row>
    <row r="7" ht="30" customHeight="1">
      <c r="A7" s="23" t="inlineStr">
        <is>
          <t>Revenue Mix</t>
        </is>
      </c>
      <c r="B7" s="24" t="inlineStr">
        <is>
          <t>60%+ from capacity payments for being available. Energy revenue is smaller (few running hours) but at high prices (dispatched during peaks).</t>
        </is>
      </c>
    </row>
    <row r="8" ht="30" customHeight="1">
      <c r="A8" s="23" t="inlineStr">
        <is>
          <t>Why Lower Leverage (30%)?</t>
        </is>
      </c>
      <c r="B8" s="24" t="inlineStr">
        <is>
          <t>More volatile revenue profile than CCGT. Capacity revenues more stable, but energy upside is lumpier. Conservative structure provides cushion.</t>
        </is>
      </c>
      <c r="C8" t="inlineStr">
        <is>
          <t>Debt / EV</t>
        </is>
      </c>
    </row>
    <row r="9" ht="30" customHeight="1">
      <c r="A9" s="23" t="inlineStr"/>
      <c r="B9" s="24" t="inlineStr"/>
    </row>
    <row r="10" ht="30" customHeight="1">
      <c r="A10" s="26" t="inlineStr">
        <is>
          <t>═══ KEY DIFFERENCES FROM CCGT ═══</t>
        </is>
      </c>
      <c r="B10" s="27" t="n"/>
    </row>
    <row r="11" ht="30" customHeight="1">
      <c r="A11" s="23" t="inlineStr">
        <is>
          <t>Dispatch Hours vs CF</t>
        </is>
      </c>
      <c r="B11" s="24" t="inlineStr">
        <is>
          <t>CRITICAL: Peakers use dispatch hours (400), NOT capacity factor × 8,760. This is the most common modeling error.</t>
        </is>
      </c>
      <c r="C11" t="inlineStr">
        <is>
          <t>Hours run per year</t>
        </is>
      </c>
    </row>
    <row r="12" ht="30" customHeight="1">
      <c r="A12" s="23" t="inlineStr">
        <is>
          <t>Heat Rate (10,500 Btu/kWh)</t>
        </is>
      </c>
      <c r="B12" s="24" t="inlineStr">
        <is>
          <t>Less efficient than CCGT (7,000). Acceptable because fuel cost is small % of revenue - availability matters more.</t>
        </is>
      </c>
    </row>
    <row r="13" ht="30" customHeight="1">
      <c r="A13" s="23" t="inlineStr">
        <is>
          <t>Lower Cash Sweep (50%)</t>
        </is>
      </c>
      <c r="B13" s="24" t="inlineStr">
        <is>
          <t>Need to retain cash for major maintenance. HGP (hot gas path) inspection every 5 years is $4mm+.</t>
        </is>
      </c>
      <c r="C13" t="inlineStr">
        <is>
          <t>% of excess cash to prepay</t>
        </is>
      </c>
    </row>
    <row r="14" ht="30" customHeight="1">
      <c r="A14" s="23" t="inlineStr">
        <is>
          <t>Major Maintenance Y5</t>
        </is>
      </c>
      <c r="B14" s="24" t="inlineStr">
        <is>
          <t>Hot gas path inspection - internal combustion parts require overhaul. Must fund from retained cash, not debt.</t>
        </is>
      </c>
      <c r="C14" t="inlineStr">
        <is>
          <t>One-time major overhaul</t>
        </is>
      </c>
    </row>
    <row r="15" ht="30" customHeight="1">
      <c r="A15" s="23" t="inlineStr"/>
      <c r="B15" s="24" t="inlineStr"/>
    </row>
    <row r="16" ht="30" customHeight="1">
      <c r="A16" s="26" t="inlineStr">
        <is>
          <t>═══ GENERATION FORMULA ═══</t>
        </is>
      </c>
      <c r="B16" s="27" t="n"/>
      <c r="C16">
        <f> Capacity × Dispatch × Avail</f>
        <v/>
      </c>
    </row>
    <row r="17" ht="30" customHeight="1">
      <c r="A17" s="23" t="inlineStr">
        <is>
          <t>Correct Formula</t>
        </is>
      </c>
      <c r="B17" s="24" t="inlineStr">
        <is>
          <t>Generation = Capacity × Dispatch Hours × Availability = 200 MW × 400 hrs × 94% = 75,200 MWh</t>
        </is>
      </c>
    </row>
    <row r="18" ht="30" customHeight="1">
      <c r="A18" s="23" t="inlineStr">
        <is>
          <t>WRONG Formula</t>
        </is>
      </c>
      <c r="B18" s="24" t="inlineStr">
        <is>
          <t>DO NOT use: Capacity × CF × 8,760. That's for baseload plants, not peakers.</t>
        </is>
      </c>
    </row>
    <row r="19" ht="30" customHeight="1">
      <c r="A19" s="23" t="inlineStr"/>
      <c r="B19" s="24" t="inlineStr"/>
    </row>
    <row r="20" ht="30" customHeight="1">
      <c r="A20" s="26" t="inlineStr">
        <is>
          <t>═══ MAINTENANCE IMPACT ═══</t>
        </is>
      </c>
      <c r="B20" s="27" t="n"/>
      <c r="C20" t="inlineStr">
        <is>
          <t>One-time major overhaul</t>
        </is>
      </c>
    </row>
    <row r="21" ht="30" customHeight="1">
      <c r="A21" s="23" t="inlineStr">
        <is>
          <t>Y5 Cash Flow</t>
        </is>
      </c>
      <c r="B21" s="24" t="inlineStr">
        <is>
          <t>CFADS drops by $4mm in Y5 due to HGP inspection. This hits DSCR - make sure covenant still passes.</t>
        </is>
      </c>
    </row>
    <row r="22" ht="30" customHeight="1">
      <c r="A22" s="23" t="inlineStr">
        <is>
          <t>Why Not Debt-Fund Maint?</t>
        </is>
      </c>
      <c r="B22" s="24" t="inlineStr">
        <is>
          <t>Maintenance is operational expense, not capital. Lenders expect you to fund from operations. That's why sweep is only 50%.</t>
        </is>
      </c>
    </row>
    <row r="23" ht="30" customHeight="1">
      <c r="A23" s="23" t="inlineStr"/>
      <c r="B23" s="24" t="inlineStr"/>
    </row>
    <row r="24" ht="30" customHeight="1">
      <c r="A24" s="26" t="inlineStr">
        <is>
          <t>═══ COMMON IC QUESTIONS ═══</t>
        </is>
      </c>
      <c r="B24" s="27" t="n"/>
    </row>
    <row r="25" ht="30" customHeight="1">
      <c r="A25" s="28" t="inlineStr">
        <is>
          <t>Q: Why is energy price $95/MWh?</t>
        </is>
      </c>
      <c r="B25" s="29" t="inlineStr">
        <is>
          <t>Dispatch-weighted average. Peakers only run during high-price hours, so their realized price &gt; average market price.</t>
        </is>
      </c>
    </row>
    <row r="26" ht="30" customHeight="1">
      <c r="A26" s="28" t="inlineStr">
        <is>
          <t>Q: What's UCAP vs ICAP?</t>
        </is>
      </c>
      <c r="B26" s="29" t="inlineStr">
        <is>
          <t>UCAP = Unforced Capacity (adjusted for reliability). ICAP = Installed Capacity (nameplate). Markets pay for UCAP.</t>
        </is>
      </c>
    </row>
    <row r="27" ht="30" customHeight="1">
      <c r="A27" s="28" t="inlineStr">
        <is>
          <t>Q: Downside if peaker never dispatches?</t>
        </is>
      </c>
      <c r="B27" s="29" t="inlineStr">
        <is>
          <t>Still receive capacity payments. Energy revenue is upside, not base case. Worst case = capacity-only revenue.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32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32" t="n">
        <v>0.025</v>
      </c>
    </row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32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32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32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33" t="n">
        <v>1.1</v>
      </c>
    </row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32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32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Escalated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$D$56*$D$24*E64/1E9</f>
        <v/>
      </c>
      <c r="F70" s="18">
        <f>$D$56*$D$24*F64/1E9</f>
        <v/>
      </c>
      <c r="G70" s="18">
        <f>$D$56*$D$24*G64/1E9</f>
        <v/>
      </c>
      <c r="H70" s="18">
        <f>$D$56*$D$24*H64/1E9</f>
        <v/>
      </c>
      <c r="I70" s="18">
        <f>$D$56*$D$24*I64/1E9</f>
        <v/>
      </c>
      <c r="J70" s="18">
        <f>$D$56*$D$24*J64/1E9</f>
        <v/>
      </c>
      <c r="K70" s="18">
        <f>$D$56*$D$24*K64/1E9</f>
        <v/>
      </c>
      <c r="L70" s="18">
        <f>$D$56*$D$24*L64/1E9</f>
        <v/>
      </c>
      <c r="M70" s="18">
        <f>$D$56*$D$24*M64/1E9</f>
        <v/>
      </c>
      <c r="N70" s="18">
        <f>$D$56*$D$24*N64/1E9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5">
      <c r="A75" s="5" t="inlineStr">
        <is>
          <t>EBITDA</t>
        </is>
      </c>
      <c r="B75" s="6" t="inlineStr">
        <is>
          <t>$mm</t>
        </is>
      </c>
      <c r="C75" s="6" t="inlineStr"/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3">
      <c r="A83" s="3" t="inlineStr">
        <is>
          <t>DEBT SCHEDULE (50%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IF(E87&gt;0,E81/E87,0)</f>
        <v/>
      </c>
      <c r="F92" s="30">
        <f>IF(F87&gt;0,F81/F87,0)</f>
        <v/>
      </c>
      <c r="G92" s="30">
        <f>IF(G87&gt;0,G81/G87,0)</f>
        <v/>
      </c>
      <c r="H92" s="30">
        <f>IF(H87&gt;0,H81/H87,0)</f>
        <v/>
      </c>
      <c r="I92" s="30">
        <f>IF(I87&gt;0,I81/I87,0)</f>
        <v/>
      </c>
      <c r="J92" s="30">
        <f>IF(J87&gt;0,J81/J87,0)</f>
        <v/>
      </c>
      <c r="K92" s="30">
        <f>IF(K87&gt;0,K81/K87,0)</f>
        <v/>
      </c>
      <c r="L92" s="30">
        <f>IF(L87&gt;0,L81/L87,0)</f>
        <v/>
      </c>
      <c r="M92" s="30">
        <f>IF(M87&gt;0,M81/M87,0)</f>
        <v/>
      </c>
      <c r="N92" s="30">
        <f>IF(N87&gt;0,N81/N87,0)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</t>
        </is>
      </c>
      <c r="E93" s="18">
        <f>MAX(0,$D$57-(1-1)*$D$59)*$D$43+$D$59</f>
        <v/>
      </c>
      <c r="F93" s="18">
        <f>MAX(0,$D$57-(2-1)*$D$59)*$D$43+$D$59</f>
        <v/>
      </c>
      <c r="G93" s="18">
        <f>MAX(0,$D$57-(3-1)*$D$59)*$D$43+$D$59</f>
        <v/>
      </c>
      <c r="H93" s="18">
        <f>MAX(0,$D$57-(4-1)*$D$59)*$D$43+$D$59</f>
        <v/>
      </c>
      <c r="I93" s="18">
        <f>MAX(0,$D$57-(5-1)*$D$59)*$D$43+$D$59</f>
        <v/>
      </c>
      <c r="J93" s="18">
        <f>MAX(0,$D$57-(6-1)*$D$59)*$D$43+$D$59</f>
        <v/>
      </c>
      <c r="K93" s="18">
        <f>MAX(0,$D$57-(7-1)*$D$59)*$D$43+$D$59</f>
        <v/>
      </c>
      <c r="L93" s="18">
        <f>MAX(0,$D$57-(8-1)*$D$59)*$D$43+$D$59</f>
        <v/>
      </c>
      <c r="M93" s="18">
        <f>MAX(0,$D$57-(9-1)*$D$59)*$D$43+$D$59</f>
        <v/>
      </c>
      <c r="N93" s="18">
        <f>MAX(0,$D$57-(10-1)*$D$59)*$D$43+$D$59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Scheduled DS × DSRA Months / 12</t>
        </is>
      </c>
      <c r="D95" s="18">
        <f>E93*$D$45/12</f>
        <v/>
      </c>
      <c r="E95" s="18">
        <f>F93*$D$45/12</f>
        <v/>
      </c>
      <c r="F95" s="18">
        <f>G93*$D$45/12</f>
        <v/>
      </c>
      <c r="G95" s="18">
        <f>H93*$D$45/12</f>
        <v/>
      </c>
      <c r="H95" s="18">
        <f>I93*$D$45/12</f>
        <v/>
      </c>
      <c r="I95" s="18">
        <f>J93*$D$45/12</f>
        <v/>
      </c>
      <c r="J95" s="18">
        <f>K93*$D$45/12</f>
        <v/>
      </c>
      <c r="K95" s="18">
        <f>L93*$D$45/12</f>
        <v/>
      </c>
      <c r="L95" s="18">
        <f>M93*$D$45/12</f>
        <v/>
      </c>
      <c r="M95" s="18">
        <f>N93*$D$45/12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 t="inlineStr"/>
      <c r="D126" s="31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30">
        <f>SUMIF(D125:K125,"&gt;0")/ABS(D125)</f>
        <v/>
      </c>
    </row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 t="inlineStr"/>
      <c r="D131" s="31">
        <f>IRR(D130:K130)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2026-01-20T02:37:04Z</dcterms:created>
  <dcterms:modified xmlns:dcterms="http://purl.org/dc/terms/" xmlns:xsi="http://www.w3.org/2001/XMLSchema-instance" xsi:type="dcterms:W3CDTF">2026-01-20T02:50:58Z</dcterms:modified>
</cp:coreProperties>
</file>