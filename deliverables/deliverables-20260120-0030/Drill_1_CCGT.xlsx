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uition Guide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_);(#,##0.0)"/>
    <numFmt numFmtId="165" formatCode="0.00&quot;x&quot;"/>
    <numFmt numFmtId="166" formatCode="0.0%"/>
    <numFmt numFmtId="167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000000"/>
    </font>
    <font>
      <b val="1"/>
      <color rgb="00FFFFFF"/>
    </font>
    <font>
      <color rgb="00000000"/>
    </font>
    <font>
      <i val="1"/>
      <color rgb="00666666"/>
    </font>
    <font>
      <b val="1"/>
      <color rgb="000000FF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C7"/>
        <bgColor rgb="00FFFFC7"/>
      </patternFill>
    </fill>
    <fill>
      <patternFill patternType="solid">
        <fgColor rgb="00C6EFCE"/>
        <bgColor rgb="00C6EFCE"/>
      </patternFill>
    </fill>
    <fill>
      <patternFill patternType="solid">
        <fgColor rgb="00FCE4D6"/>
        <bgColor rgb="00FCE4D6"/>
      </patternFill>
    </fill>
    <fill>
      <patternFill patternType="solid">
        <fgColor rgb="00DEEAF6"/>
        <bgColor rgb="00DEEA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0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164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2" fillId="4" borderId="1" pivotButton="0" quotePrefix="0" xfId="0"/>
    <xf numFmtId="164" fontId="6" fillId="3" borderId="1" pivotButton="0" quotePrefix="0" xfId="0"/>
    <xf numFmtId="166" fontId="6" fillId="3" borderId="1" pivotButton="0" quotePrefix="0" xfId="0"/>
    <xf numFmtId="165" fontId="6" fillId="3" borderId="1" pivotButton="0" quotePrefix="0" xfId="0"/>
    <xf numFmtId="3" fontId="6" fillId="3" borderId="1" pivotButton="0" quotePrefix="0" xfId="0"/>
    <xf numFmtId="4" fontId="6" fillId="3" borderId="1" pivotButton="0" quotePrefix="0" xfId="0"/>
    <xf numFmtId="167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4" fontId="4" fillId="0" borderId="1" pivotButton="0" quotePrefix="0" xfId="0"/>
    <xf numFmtId="164" fontId="2" fillId="0" borderId="1" pivotButton="0" quotePrefix="0" xfId="0"/>
    <xf numFmtId="164" fontId="4" fillId="5" borderId="1" pivotButton="0" quotePrefix="0" xfId="0"/>
    <xf numFmtId="0" fontId="4" fillId="0" borderId="1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applyAlignment="1" pivotButton="0" quotePrefix="0" xfId="0">
      <alignment wrapText="1"/>
    </xf>
    <xf numFmtId="0" fontId="2" fillId="6" borderId="0" pivotButton="0" quotePrefix="0" xfId="0"/>
    <xf numFmtId="0" fontId="4" fillId="6" borderId="0" applyAlignment="1" pivotButton="0" quotePrefix="0" xfId="0">
      <alignment wrapText="1"/>
    </xf>
    <xf numFmtId="165" fontId="2" fillId="4" borderId="1" pivotButton="0" quotePrefix="0" xfId="0"/>
    <xf numFmtId="166" fontId="2" fillId="4" borderId="1" pivotButton="0" quotePrefix="0" xfId="0"/>
    <xf numFmtId="166" fontId="6" fillId="3" borderId="1" pivotButton="0" quotePrefix="0" xfId="0"/>
    <xf numFmtId="165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Lotus Infrastructure</author>
  </authors>
  <commentList>
    <comment ref="C10" authorId="0" shapeId="0">
      <text>
        <t>Enterprise Value = Equity + Debt. Represents total asset value regardless of financing structure.</t>
      </text>
    </comment>
    <comment ref="C16" authorId="0" shapeId="0">
      <text>
        <t>Mandatory prepayment from excess cash. Lenders require this for merchant assets.</t>
      </text>
    </comment>
    <comment ref="C26" authorId="0" shapeId="0">
      <text>
        <t>Largest variable cost for thermal plants. Divide by 1E9 to convert to $mm.</t>
      </text>
    </comment>
    <comment ref="C29" authorId="0" shapeId="0">
      <text>
        <t>Mandatory prepayment from excess cash. Lenders require this for merchant assets.</t>
      </text>
    </comment>
    <comment ref="C34" authorId="0" shapeId="0">
      <text>
        <t>Multiple on Invested Capital. Cash-on-cash return. 2.0x = doubled money.</t>
      </text>
    </comment>
    <comment ref="C36" authorId="0" shapeId="0">
      <text>
        <t>Cash earnings before financing. What is available to service debt and pay equity.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23" t="inlineStr">
        <is>
          <t>CCGT MODEL - INTUITION GUIDE</t>
        </is>
      </c>
      <c r="B1" s="24" t="inlineStr"/>
    </row>
    <row r="2" ht="30" customHeight="1">
      <c r="A2" s="23" t="inlineStr"/>
      <c r="B2" s="24" t="inlineStr"/>
    </row>
    <row r="3" ht="30" customHeight="1">
      <c r="A3" s="23" t="inlineStr">
        <is>
          <t>SECTION</t>
        </is>
      </c>
      <c r="B3" s="25" t="inlineStr">
        <is>
          <t>WHY IT MATTERS / KEY LOGIC</t>
        </is>
      </c>
    </row>
    <row r="4" ht="30" customHeight="1">
      <c r="A4" s="23" t="inlineStr"/>
      <c r="B4" s="24" t="inlineStr"/>
    </row>
    <row r="5" ht="30" customHeight="1">
      <c r="A5" s="26" t="inlineStr">
        <is>
          <t>═══ BUSINESS CONTEXT ═══</t>
        </is>
      </c>
      <c r="B5" s="27" t="n"/>
    </row>
    <row r="6" ht="30" customHeight="1">
      <c r="A6" s="23" t="inlineStr">
        <is>
          <t>What is a CCGT?</t>
        </is>
      </c>
      <c r="B6" s="24" t="inlineStr">
        <is>
          <t>Combined Cycle Gas Turbine - efficient baseload gas plant that uses waste heat from gas turbines to power steam turbines. 'Combined' refers to combining gas and steam cycles for ~60% efficiency vs ~35% for simple cycle.</t>
        </is>
      </c>
    </row>
    <row r="7" ht="30" customHeight="1">
      <c r="A7" s="23" t="inlineStr">
        <is>
          <t>Revenue Streams</t>
        </is>
      </c>
      <c r="B7" s="24" t="inlineStr">
        <is>
          <t>1) Energy revenue (selling power at spot/contract prices) - driven by spark spread (power price - fuel cost)
2) Capacity revenue (payment for being available) - driven by capacity auction prices
Revenue volatility justifies cash sweep structure to accelerate debt paydown during good years.</t>
        </is>
      </c>
    </row>
    <row r="8" ht="30" customHeight="1">
      <c r="A8" s="23" t="inlineStr"/>
      <c r="B8" s="24" t="inlineStr"/>
    </row>
    <row r="9" ht="30" customHeight="1">
      <c r="A9" s="26" t="inlineStr">
        <is>
          <t>═══ INPUTS LOGIC ═══</t>
        </is>
      </c>
      <c r="B9" s="27" t="n"/>
    </row>
    <row r="10" ht="30" customHeight="1">
      <c r="A10" s="23" t="inlineStr">
        <is>
          <t>Entry EV ($520mm)</t>
        </is>
      </c>
      <c r="B10" s="24" t="inlineStr">
        <is>
          <t>Purchase price. EV = Equity + Debt, represents total asset value regardless of financing.</t>
        </is>
      </c>
      <c r="C10" t="inlineStr">
        <is>
          <t>Purchase price for asset</t>
        </is>
      </c>
    </row>
    <row r="11" ht="30" customHeight="1">
      <c r="A11" s="23" t="inlineStr">
        <is>
          <t>Capacity (365 MW)</t>
        </is>
      </c>
      <c r="B11" s="24" t="inlineStr">
        <is>
          <t>Nameplate rating - maximum output. Used to calculate generation and capacity revenue.</t>
        </is>
      </c>
    </row>
    <row r="12" ht="30" customHeight="1">
      <c r="A12" s="23" t="inlineStr">
        <is>
          <t>Heat Rate (7,000 Btu/kWh)</t>
        </is>
      </c>
      <c r="B12" s="24" t="inlineStr">
        <is>
          <t>Fuel efficiency - how much gas needed per kWh. Lower = better. 7,000 is efficient CCGT; peakers are 10,000+.</t>
        </is>
      </c>
    </row>
    <row r="13" ht="30" customHeight="1">
      <c r="A13" s="23" t="inlineStr">
        <is>
          <t>Capacity Factor (55%)</t>
        </is>
      </c>
      <c r="B13" s="24" t="inlineStr">
        <is>
          <t>Actual generation / max possible generation. 55% is typical merchant CCGT - runs when profitable but not always.</t>
        </is>
      </c>
    </row>
    <row r="14" ht="30" customHeight="1">
      <c r="A14" s="23" t="inlineStr">
        <is>
          <t>Forced Outage Rate (5%)</t>
        </is>
      </c>
      <c r="B14" s="24" t="inlineStr">
        <is>
          <t>Unplanned downtime. Reduces UCAP (capacity revenue) because you're paid for reliable capacity, not nameplate.</t>
        </is>
      </c>
    </row>
    <row r="15" ht="30" customHeight="1">
      <c r="A15" s="23" t="inlineStr">
        <is>
          <t>Leverage (45%)</t>
        </is>
      </c>
      <c r="B15" s="24" t="inlineStr">
        <is>
          <t>Debt / EV. 45% is moderate for merchant power - balances returns enhancement with covenant headroom.</t>
        </is>
      </c>
    </row>
    <row r="16" ht="30" customHeight="1">
      <c r="A16" s="23" t="inlineStr">
        <is>
          <t>Cash Sweep (75%)</t>
        </is>
      </c>
      <c r="B16" s="24" t="inlineStr">
        <is>
          <t>Mandatory prepayment of debt from excess cash flow. Higher sweep = faster paydown = lower refinancing risk.</t>
        </is>
      </c>
      <c r="C16" t="inlineStr">
        <is>
          <t>MIN(Excess×%, Bal−Sched)</t>
        </is>
      </c>
    </row>
    <row r="17" ht="30" customHeight="1">
      <c r="A17" s="23" t="inlineStr"/>
      <c r="B17" s="24" t="inlineStr"/>
    </row>
    <row r="18" ht="30" customHeight="1">
      <c r="A18" s="26" t="inlineStr">
        <is>
          <t>═══ CALCULATED ITEMS ═══</t>
        </is>
      </c>
      <c r="B18" s="27" t="n"/>
    </row>
    <row r="19" ht="30" customHeight="1">
      <c r="A19" s="23" t="inlineStr">
        <is>
          <t>UCAP (346.75 MW)</t>
        </is>
      </c>
      <c r="B19" s="24" t="inlineStr">
        <is>
          <t>Unforced Capacity = Nameplate × (1 - FOR). This is what you get paid for in capacity markets - your reliable capacity.</t>
        </is>
      </c>
    </row>
    <row r="20" ht="30" customHeight="1">
      <c r="A20" s="23" t="inlineStr">
        <is>
          <t>Generation (1,758,390 MWh)</t>
        </is>
      </c>
      <c r="B20" s="24" t="inlineStr">
        <is>
          <t>Annual output = Capacity × CF × 8,760 hours/year. This drives energy revenue.</t>
        </is>
      </c>
    </row>
    <row r="21" ht="30" customHeight="1">
      <c r="A21" s="23" t="inlineStr"/>
      <c r="B21" s="24" t="inlineStr"/>
    </row>
    <row r="22" ht="30" customHeight="1">
      <c r="A22" s="26" t="inlineStr">
        <is>
          <t>═══ OPERATING MODEL ═══</t>
        </is>
      </c>
      <c r="B22" s="27" t="n"/>
    </row>
    <row r="23" ht="30" customHeight="1">
      <c r="A23" s="23" t="inlineStr">
        <is>
          <t>Price Escalation</t>
        </is>
      </c>
      <c r="B23" s="24" t="inlineStr">
        <is>
          <t>All prices/costs grow at escalation rate (2.5%). Reflects inflation and market dynamics.</t>
        </is>
      </c>
    </row>
    <row r="24" ht="30" customHeight="1">
      <c r="A24" s="23" t="inlineStr">
        <is>
          <t>Energy Revenue</t>
        </is>
      </c>
      <c r="B24" s="24" t="inlineStr">
        <is>
          <t>Generation × Power Price / 1,000,000. Converting MWh × $/MWh to $mm.</t>
        </is>
      </c>
    </row>
    <row r="25" ht="30" customHeight="1">
      <c r="A25" s="23" t="inlineStr">
        <is>
          <t>Capacity Revenue</t>
        </is>
      </c>
      <c r="B25" s="24" t="inlineStr">
        <is>
          <t>UCAP (MW) × $/kW-yr × 1,000 kW/MW / 1,000,000. Note: capacity price is per kW, not MW.</t>
        </is>
      </c>
    </row>
    <row r="26" ht="30" customHeight="1">
      <c r="A26" s="23" t="inlineStr">
        <is>
          <t>Fuel Cost (CRITICAL)</t>
        </is>
      </c>
      <c r="B26" s="24" t="inlineStr">
        <is>
          <t>Generation × Heat Rate × Gas Price / 1,000,000,000.
Dimensional analysis: MWh × Btu/kWh × $/mmBtu / 10^9 = $mm
This is the #1 error candidates make - always verify the divisor.</t>
        </is>
      </c>
      <c r="C26" t="inlineStr">
        <is>
          <t>Gen × HR × Gas / 1E9</t>
        </is>
      </c>
    </row>
    <row r="27" ht="30" customHeight="1">
      <c r="A27" s="23" t="inlineStr"/>
      <c r="B27" s="24" t="inlineStr"/>
    </row>
    <row r="28" ht="30" customHeight="1">
      <c r="A28" s="26" t="inlineStr">
        <is>
          <t>═══ DEBT MECHANICS ═══</t>
        </is>
      </c>
      <c r="B28" s="27" t="n"/>
    </row>
    <row r="29" ht="30" customHeight="1">
      <c r="A29" s="23" t="inlineStr">
        <is>
          <t>Why Cash Sweep?</t>
        </is>
      </c>
      <c r="B29" s="24" t="inlineStr">
        <is>
          <t>Merchant assets have volatile CFADS. Sweep structure pays down debt faster during good years, providing cushion for bad years. Alternative is sculpting (seen in contracted assets).</t>
        </is>
      </c>
      <c r="C29" t="inlineStr">
        <is>
          <t>MIN(Excess×%, Bal−Sched)</t>
        </is>
      </c>
    </row>
    <row r="30" ht="30" customHeight="1">
      <c r="A30" s="23" t="inlineStr">
        <is>
          <t>DSRA Purpose</t>
        </is>
      </c>
      <c r="B30" s="24" t="inlineStr">
        <is>
          <t>6 months of debt service held in reserve. If CFADS drops, DSRA provides liquidity to make debt payments and avoid covenant breach.</t>
        </is>
      </c>
    </row>
    <row r="31" ht="30" customHeight="1">
      <c r="A31" s="23" t="inlineStr">
        <is>
          <t>Lock-up Test</t>
        </is>
      </c>
      <c r="B31" s="24" t="inlineStr">
        <is>
          <t>If DSCR &lt; 1.10x, distributions are 'locked up' - all cash goes to debt paydown. Protects lenders.</t>
        </is>
      </c>
    </row>
    <row r="32" ht="30" customHeight="1">
      <c r="A32" s="23" t="inlineStr"/>
      <c r="B32" s="24" t="inlineStr"/>
    </row>
    <row r="33" ht="30" customHeight="1">
      <c r="A33" s="26" t="inlineStr">
        <is>
          <t>═══ RETURNS ═══</t>
        </is>
      </c>
      <c r="B33" s="27" t="n"/>
    </row>
    <row r="34" ht="30" customHeight="1">
      <c r="A34" s="23" t="inlineStr">
        <is>
          <t>IRR vs MOIC</t>
        </is>
      </c>
      <c r="B34" s="24" t="inlineStr">
        <is>
          <t>IRR measures time-weighted return (sensitive to timing). MOIC measures total cash-on-cash return (ignores timing). Both matter.</t>
        </is>
      </c>
      <c r="C34" t="inlineStr">
        <is>
          <t>Total In / Total Out</t>
        </is>
      </c>
    </row>
    <row r="35" ht="30" customHeight="1">
      <c r="A35" s="23" t="inlineStr">
        <is>
          <t>Levered vs Unlevered</t>
        </is>
      </c>
      <c r="B35" s="24" t="inlineStr">
        <is>
          <t>Levered IRR = return to equity. Unlevered IRR = return to total capital. Difference is the 'leverage benefit.'</t>
        </is>
      </c>
    </row>
    <row r="36" ht="30" customHeight="1">
      <c r="A36" s="23" t="inlineStr">
        <is>
          <t>Exit at 7.0x EBITDA</t>
        </is>
      </c>
      <c r="B36" s="24" t="inlineStr">
        <is>
          <t>Standard infrastructure exit assumption. Buyer universe: other PE funds, utilities, infrastructure yield vehicles.</t>
        </is>
      </c>
      <c r="C36" t="inlineStr">
        <is>
          <t>Revenue minus OpEx</t>
        </is>
      </c>
    </row>
    <row r="37" ht="30" customHeight="1">
      <c r="A37" s="23" t="inlineStr"/>
      <c r="B37" s="24" t="inlineStr"/>
    </row>
    <row r="38" ht="30" customHeight="1">
      <c r="A38" s="26" t="inlineStr">
        <is>
          <t>═══ COMMON IC QUESTIONS ═══</t>
        </is>
      </c>
      <c r="B38" s="27" t="n"/>
    </row>
    <row r="39" ht="30" customHeight="1">
      <c r="A39" s="28" t="inlineStr">
        <is>
          <t>Q: Walk me through IRR bridge</t>
        </is>
      </c>
      <c r="B39" s="29" t="inlineStr">
        <is>
          <t>Start with unlevered IRR, add leverage benefit (cheaper debt vs equity), subtract financing costs (interest, fees).</t>
        </is>
      </c>
    </row>
    <row r="40" ht="30" customHeight="1">
      <c r="A40" s="28" t="inlineStr">
        <is>
          <t>Q: What if gas prices spike?</t>
        </is>
      </c>
      <c r="B40" s="29" t="inlineStr">
        <is>
          <t>Higher fuel costs reduce spark spread and EBITDA. Run sensitivity showing EBITDA and DSCR impact.</t>
        </is>
      </c>
    </row>
    <row r="41" ht="30" customHeight="1">
      <c r="A41" s="28" t="inlineStr">
        <is>
          <t>Q: Why 45% leverage?</t>
        </is>
      </c>
      <c r="B41" s="29" t="inlineStr">
        <is>
          <t>Balances return enhancement with covenant headroom. Higher leverage = higher returns but less cushion for volatility.</t>
        </is>
      </c>
    </row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2" customWidth="1" min="2" max="2"/>
    <col width="3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CCGT Model - Lotus Infrastructure Partners</t>
        </is>
      </c>
      <c r="D1" s="2" t="n">
        <v>0</v>
      </c>
      <c r="E1" s="2" t="n">
        <v>1</v>
      </c>
      <c r="F1" s="2" t="n">
        <v>2</v>
      </c>
      <c r="G1" s="2" t="n">
        <v>3</v>
      </c>
      <c r="H1" s="2" t="n">
        <v>4</v>
      </c>
      <c r="I1" s="2" t="n">
        <v>5</v>
      </c>
      <c r="J1" s="2" t="n">
        <v>6</v>
      </c>
      <c r="K1" s="2" t="n">
        <v>7</v>
      </c>
      <c r="L1" s="2" t="n">
        <v>8</v>
      </c>
      <c r="M1" s="2" t="n">
        <v>9</v>
      </c>
      <c r="N1" s="2" t="n">
        <v>10</v>
      </c>
    </row>
    <row r="2">
      <c r="A2" s="3" t="inlineStr">
        <is>
          <t>═══ AUDIT STRIP ═══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inlineStr">
        <is>
          <t>Entry EV</t>
        </is>
      </c>
      <c r="B3" s="6" t="inlineStr">
        <is>
          <t>$mm</t>
        </is>
      </c>
      <c r="C3" s="6" t="inlineStr"/>
      <c r="D3" s="7">
        <f>$D$17</f>
        <v/>
      </c>
    </row>
    <row r="4">
      <c r="A4" s="5" t="inlineStr">
        <is>
          <t>Y1 EBITDA</t>
        </is>
      </c>
      <c r="B4" s="6" t="inlineStr">
        <is>
          <t>$mm</t>
        </is>
      </c>
      <c r="C4" s="6" t="inlineStr"/>
      <c r="D4" s="7">
        <f>E74</f>
        <v/>
      </c>
    </row>
    <row r="5">
      <c r="A5" s="5" t="inlineStr">
        <is>
          <t>Avg CFADS (Y1-Y7)</t>
        </is>
      </c>
      <c r="B5" s="6" t="inlineStr">
        <is>
          <t>$mm</t>
        </is>
      </c>
      <c r="C5" s="6" t="inlineStr"/>
      <c r="D5" s="7">
        <f>AVERAGE(E80:K80)</f>
        <v/>
      </c>
    </row>
    <row r="6">
      <c r="A6" s="5" t="inlineStr">
        <is>
          <t>Min DSCR (Y1-Y7)</t>
        </is>
      </c>
      <c r="B6" s="6" t="inlineStr">
        <is>
          <t>x</t>
        </is>
      </c>
      <c r="C6" s="6" t="inlineStr"/>
      <c r="D6" s="30">
        <f>MIN(E92:K92)</f>
        <v/>
      </c>
    </row>
    <row r="7">
      <c r="A7" s="5" t="inlineStr">
        <is>
          <t>Levered IRR</t>
        </is>
      </c>
      <c r="B7" s="6" t="inlineStr">
        <is>
          <t>%</t>
        </is>
      </c>
      <c r="C7" s="6" t="inlineStr"/>
      <c r="D7" s="31">
        <f>D130</f>
        <v/>
      </c>
    </row>
    <row r="8">
      <c r="A8" s="5" t="inlineStr">
        <is>
          <t>MOIC</t>
        </is>
      </c>
      <c r="B8" s="6" t="inlineStr">
        <is>
          <t>x</t>
        </is>
      </c>
      <c r="C8" s="6" t="inlineStr"/>
      <c r="D8" s="30">
        <f>D131</f>
        <v/>
      </c>
    </row>
    <row r="9">
      <c r="A9" s="5" t="inlineStr">
        <is>
          <t>Unlevered IRR</t>
        </is>
      </c>
      <c r="B9" s="6" t="inlineStr">
        <is>
          <t>%</t>
        </is>
      </c>
      <c r="C9" s="6" t="inlineStr"/>
      <c r="D9" s="31">
        <f>D135</f>
        <v/>
      </c>
    </row>
    <row r="10">
      <c r="A10" s="3" t="inlineStr">
        <is>
          <t>═══ QA CHECKS ═══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inlineStr">
        <is>
          <t>S&amp;U Balance</t>
        </is>
      </c>
      <c r="B11" s="6" t="inlineStr"/>
      <c r="C11" s="6" t="inlineStr"/>
      <c r="D11" s="10">
        <f>D119</f>
        <v/>
      </c>
    </row>
    <row r="12">
      <c r="A12" s="5" t="inlineStr">
        <is>
          <t>Debt Payoff Y7</t>
        </is>
      </c>
      <c r="B12" s="6" t="inlineStr"/>
      <c r="C12" s="6" t="inlineStr"/>
      <c r="D12" s="10">
        <f>IF(K91&lt;1,"PASS","FAIL")</f>
        <v/>
      </c>
    </row>
    <row r="13">
      <c r="A13" s="5" t="inlineStr">
        <is>
          <t>Min DSCR ≥ 1.25x</t>
        </is>
      </c>
      <c r="B13" s="6" t="inlineStr"/>
      <c r="C13" s="6" t="inlineStr"/>
      <c r="D13" s="10">
        <f>IF(D6&gt;=1.25,"PASS","FAIL")</f>
        <v/>
      </c>
    </row>
    <row r="16">
      <c r="A16" s="3" t="inlineStr">
        <is>
          <t>TRANSACTION INPUTS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inlineStr">
        <is>
          <t>Entry EV</t>
        </is>
      </c>
      <c r="B17" s="6" t="inlineStr">
        <is>
          <t>$mm</t>
        </is>
      </c>
      <c r="C17" s="6" t="inlineStr">
        <is>
          <t>Purchase price</t>
        </is>
      </c>
      <c r="D17" s="11" t="n">
        <v>520</v>
      </c>
    </row>
    <row r="18">
      <c r="A18" s="5" t="inlineStr">
        <is>
          <t>Transaction Fees</t>
        </is>
      </c>
      <c r="B18" s="6" t="inlineStr">
        <is>
          <t>%</t>
        </is>
      </c>
      <c r="C18" s="6" t="inlineStr">
        <is>
          <t>Legal, advisory, financing</t>
        </is>
      </c>
      <c r="D18" s="32" t="n">
        <v>0.015</v>
      </c>
    </row>
    <row r="19">
      <c r="A19" s="5" t="inlineStr">
        <is>
          <t>Exit Multiple</t>
        </is>
      </c>
      <c r="B19" s="6" t="inlineStr">
        <is>
          <t>x</t>
        </is>
      </c>
      <c r="C19" s="6" t="inlineStr">
        <is>
          <t>On exit year EBITDA</t>
        </is>
      </c>
      <c r="D19" s="33" t="n">
        <v>7</v>
      </c>
    </row>
    <row r="20">
      <c r="A20" s="5" t="inlineStr">
        <is>
          <t>Exit Year</t>
        </is>
      </c>
      <c r="B20" s="6" t="inlineStr">
        <is>
          <t>#</t>
        </is>
      </c>
      <c r="C20" s="6" t="inlineStr">
        <is>
          <t>Hold period</t>
        </is>
      </c>
      <c r="D20" s="14" t="n">
        <v>7</v>
      </c>
    </row>
    <row r="22">
      <c r="A22" s="3" t="inlineStr">
        <is>
          <t>ASSET INPUTS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inlineStr">
        <is>
          <t>Capacity</t>
        </is>
      </c>
      <c r="B23" s="6" t="inlineStr">
        <is>
          <t>MW</t>
        </is>
      </c>
      <c r="C23" s="6" t="inlineStr">
        <is>
          <t>Nameplate rating</t>
        </is>
      </c>
      <c r="D23" s="14" t="n">
        <v>365</v>
      </c>
    </row>
    <row r="24">
      <c r="A24" s="5" t="inlineStr">
        <is>
          <t>Heat Rate</t>
        </is>
      </c>
      <c r="B24" s="6" t="inlineStr">
        <is>
          <t>Btu/kWh</t>
        </is>
      </c>
      <c r="C24" s="6" t="inlineStr">
        <is>
          <t>Efficiency (lower = better)</t>
        </is>
      </c>
      <c r="D24" s="14" t="n">
        <v>7000</v>
      </c>
    </row>
    <row r="25">
      <c r="A25" s="5" t="inlineStr">
        <is>
          <t>Capacity Factor</t>
        </is>
      </c>
      <c r="B25" s="6" t="inlineStr">
        <is>
          <t>%</t>
        </is>
      </c>
      <c r="C25" s="6" t="inlineStr">
        <is>
          <t>Annual utilization</t>
        </is>
      </c>
      <c r="D25" s="32" t="n">
        <v>0.55</v>
      </c>
    </row>
    <row r="26">
      <c r="A26" s="5" t="inlineStr">
        <is>
          <t>Forced Outage Rate</t>
        </is>
      </c>
      <c r="B26" s="6" t="inlineStr">
        <is>
          <t>%</t>
        </is>
      </c>
      <c r="C26" s="6" t="inlineStr">
        <is>
          <t>Unplanned downtime</t>
        </is>
      </c>
      <c r="D26" s="32" t="n">
        <v>0.05</v>
      </c>
    </row>
    <row r="28">
      <c r="A28" s="3" t="inlineStr">
        <is>
          <t>PRICING INPUTS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inlineStr">
        <is>
          <t>Power Price Y1</t>
        </is>
      </c>
      <c r="B29" s="6" t="inlineStr">
        <is>
          <t>$/MWh</t>
        </is>
      </c>
      <c r="C29" s="6" t="inlineStr">
        <is>
          <t>Energy clearing price</t>
        </is>
      </c>
      <c r="D29" s="11" t="n">
        <v>48</v>
      </c>
    </row>
    <row r="30">
      <c r="A30" s="5" t="inlineStr">
        <is>
          <t>Capacity Price Y1</t>
        </is>
      </c>
      <c r="B30" s="6" t="inlineStr">
        <is>
          <t>$/kW-yr</t>
        </is>
      </c>
      <c r="C30" s="6" t="inlineStr">
        <is>
          <t>ICAP/RPM auction result</t>
        </is>
      </c>
      <c r="D30" s="11" t="n">
        <v>110</v>
      </c>
    </row>
    <row r="31">
      <c r="A31" s="5" t="inlineStr">
        <is>
          <t>Gas Price Y1</t>
        </is>
      </c>
      <c r="B31" s="6" t="inlineStr">
        <is>
          <t>$/mmBtu</t>
        </is>
      </c>
      <c r="C31" s="6" t="inlineStr">
        <is>
          <t>Henry Hub + basis</t>
        </is>
      </c>
      <c r="D31" s="15" t="n">
        <v>3</v>
      </c>
    </row>
    <row r="32">
      <c r="A32" s="5" t="inlineStr">
        <is>
          <t>Escalation</t>
        </is>
      </c>
      <c r="B32" s="6" t="inlineStr">
        <is>
          <t>%/yr</t>
        </is>
      </c>
      <c r="C32" s="6" t="inlineStr">
        <is>
          <t>Applied to all prices/costs</t>
        </is>
      </c>
      <c r="D32" s="32" t="n">
        <v>0.025</v>
      </c>
    </row>
    <row r="34">
      <c r="A34" s="3" t="inlineStr">
        <is>
          <t>COST INPUTS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5" t="inlineStr">
        <is>
          <t>VOM</t>
        </is>
      </c>
      <c r="B35" s="6" t="inlineStr">
        <is>
          <t>$/MWh</t>
        </is>
      </c>
      <c r="C35" s="6" t="inlineStr">
        <is>
          <t>Variable O&amp;M</t>
        </is>
      </c>
      <c r="D35" s="15" t="n">
        <v>3.5</v>
      </c>
    </row>
    <row r="36">
      <c r="A36" s="5" t="inlineStr">
        <is>
          <t>FOM</t>
        </is>
      </c>
      <c r="B36" s="6" t="inlineStr">
        <is>
          <t>$/kW-yr</t>
        </is>
      </c>
      <c r="C36" s="6" t="inlineStr">
        <is>
          <t>Fixed O&amp;M</t>
        </is>
      </c>
      <c r="D36" s="15" t="n">
        <v>15</v>
      </c>
    </row>
    <row r="38">
      <c r="A38" s="3" t="inlineStr">
        <is>
          <t>FINANCING INPUTS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5" t="inlineStr">
        <is>
          <t>Leverage</t>
        </is>
      </c>
      <c r="B39" s="6" t="inlineStr">
        <is>
          <t>%</t>
        </is>
      </c>
      <c r="C39" s="6" t="inlineStr">
        <is>
          <t>Debt / Entry EV</t>
        </is>
      </c>
      <c r="D39" s="32" t="n">
        <v>0.45</v>
      </c>
    </row>
    <row r="40">
      <c r="A40" s="5" t="inlineStr">
        <is>
          <t>Interest Rate</t>
        </is>
      </c>
      <c r="B40" s="6" t="inlineStr">
        <is>
          <t>%</t>
        </is>
      </c>
      <c r="C40" s="6" t="inlineStr">
        <is>
          <t>All-in borrowing cost</t>
        </is>
      </c>
      <c r="D40" s="32" t="n">
        <v>0.065</v>
      </c>
    </row>
    <row r="41">
      <c r="A41" s="5" t="inlineStr">
        <is>
          <t>Debt Tenor</t>
        </is>
      </c>
      <c r="B41" s="6" t="inlineStr">
        <is>
          <t>years</t>
        </is>
      </c>
      <c r="C41" s="6" t="inlineStr">
        <is>
          <t>Amortization period</t>
        </is>
      </c>
      <c r="D41" s="14" t="n">
        <v>7</v>
      </c>
    </row>
    <row r="42">
      <c r="A42" s="5" t="inlineStr">
        <is>
          <t>DSRA Months</t>
        </is>
      </c>
      <c r="B42" s="6" t="inlineStr">
        <is>
          <t>months</t>
        </is>
      </c>
      <c r="C42" s="6" t="inlineStr">
        <is>
          <t>Debt service reserve</t>
        </is>
      </c>
      <c r="D42" s="14" t="n">
        <v>6</v>
      </c>
    </row>
    <row r="43">
      <c r="A43" s="5" t="inlineStr">
        <is>
          <t>Cash Sweep %</t>
        </is>
      </c>
      <c r="B43" s="6" t="inlineStr">
        <is>
          <t>%</t>
        </is>
      </c>
      <c r="C43" s="6" t="inlineStr">
        <is>
          <t>Mandatory excess CF prepay</t>
        </is>
      </c>
      <c r="D43" s="32" t="n">
        <v>0.75</v>
      </c>
    </row>
    <row r="44">
      <c r="A44" s="5" t="inlineStr">
        <is>
          <t>Lock-up DSCR</t>
        </is>
      </c>
      <c r="B44" s="6" t="inlineStr">
        <is>
          <t>x</t>
        </is>
      </c>
      <c r="C44" s="6" t="inlineStr">
        <is>
          <t>Distribution threshold</t>
        </is>
      </c>
      <c r="D44" s="33" t="n">
        <v>1.1</v>
      </c>
    </row>
    <row r="46">
      <c r="A46" s="3" t="inlineStr">
        <is>
          <t>TAX INPUTS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5" t="inlineStr">
        <is>
          <t>Tax Rate</t>
        </is>
      </c>
      <c r="B47" s="6" t="inlineStr">
        <is>
          <t>%</t>
        </is>
      </c>
      <c r="C47" s="6" t="inlineStr">
        <is>
          <t>Blended federal + state</t>
        </is>
      </c>
      <c r="D47" s="32" t="n">
        <v>0.25</v>
      </c>
    </row>
    <row r="48">
      <c r="A48" s="5" t="inlineStr">
        <is>
          <t>Depreciable Basis</t>
        </is>
      </c>
      <c r="B48" s="6" t="inlineStr">
        <is>
          <t>%</t>
        </is>
      </c>
      <c r="C48" s="6" t="inlineStr">
        <is>
          <t>% of EV for depreciation</t>
        </is>
      </c>
      <c r="D48" s="32" t="n">
        <v>0.85</v>
      </c>
    </row>
    <row r="49">
      <c r="A49" s="5" t="inlineStr">
        <is>
          <t>Depreciation Life</t>
        </is>
      </c>
      <c r="B49" s="6" t="inlineStr">
        <is>
          <t>years</t>
        </is>
      </c>
      <c r="C49" s="6" t="inlineStr">
        <is>
          <t>Straight-line</t>
        </is>
      </c>
      <c r="D49" s="14" t="n">
        <v>15</v>
      </c>
    </row>
    <row r="52">
      <c r="A52" s="3" t="inlineStr">
        <is>
          <t>CALCULATED ITEMS</t>
        </is>
      </c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5" t="inlineStr">
        <is>
          <t>UCAP (Unforced Capacity)</t>
        </is>
      </c>
      <c r="B53" s="6" t="inlineStr">
        <is>
          <t>MW</t>
        </is>
      </c>
      <c r="C53" s="6" t="inlineStr">
        <is>
          <t>Capacity × (1 - FOR)</t>
        </is>
      </c>
      <c r="D53" s="16">
        <f>$D$23*(1-$D$26)</f>
        <v/>
      </c>
    </row>
    <row r="54">
      <c r="A54" s="5" t="inlineStr">
        <is>
          <t>Annual Generation</t>
        </is>
      </c>
      <c r="B54" s="6" t="inlineStr">
        <is>
          <t>MWh</t>
        </is>
      </c>
      <c r="C54" s="6" t="inlineStr">
        <is>
          <t>Capacity × CF × 8,760</t>
        </is>
      </c>
      <c r="D54" s="17">
        <f>$D$23*$D$25*8760</f>
        <v/>
      </c>
    </row>
    <row r="55">
      <c r="A55" s="5" t="inlineStr">
        <is>
          <t>Debt Amount</t>
        </is>
      </c>
      <c r="B55" s="6" t="inlineStr">
        <is>
          <t>$mm</t>
        </is>
      </c>
      <c r="C55" s="6" t="inlineStr">
        <is>
          <t>Entry EV × Leverage</t>
        </is>
      </c>
      <c r="D55" s="18">
        <f>$D$17*$D$39</f>
        <v/>
      </c>
    </row>
    <row r="56">
      <c r="A56" s="5" t="inlineStr">
        <is>
          <t>Annual Depreciation</t>
        </is>
      </c>
      <c r="B56" s="6" t="inlineStr">
        <is>
          <t>$mm</t>
        </is>
      </c>
      <c r="C56" s="6" t="inlineStr">
        <is>
          <t>EV × Basis / Life</t>
        </is>
      </c>
      <c r="D56" s="18">
        <f>$D$17*$D$48/$D$49</f>
        <v/>
      </c>
    </row>
    <row r="57">
      <c r="A57" s="5" t="inlineStr">
        <is>
          <t>Scheduled Principal</t>
        </is>
      </c>
      <c r="B57" s="6" t="inlineStr">
        <is>
          <t>$mm/yr</t>
        </is>
      </c>
      <c r="C57" s="6" t="inlineStr">
        <is>
          <t>Debt / Tenor</t>
        </is>
      </c>
      <c r="D57" s="18">
        <f>$D$55/$D$41</f>
        <v/>
      </c>
    </row>
    <row r="60">
      <c r="A60" s="3" t="inlineStr">
        <is>
          <t>OPERATING MODEL</t>
        </is>
      </c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5" t="inlineStr">
        <is>
          <t>Power Price</t>
        </is>
      </c>
      <c r="B61" s="6" t="inlineStr">
        <is>
          <t>$/MWh</t>
        </is>
      </c>
      <c r="C61" s="6" t="inlineStr">
        <is>
          <t>Escalated</t>
        </is>
      </c>
      <c r="E61" s="18">
        <f>$D$29*(1+$D$32)^(1-1)</f>
        <v/>
      </c>
      <c r="F61" s="18">
        <f>$D$29*(1+$D$32)^(2-1)</f>
        <v/>
      </c>
      <c r="G61" s="18">
        <f>$D$29*(1+$D$32)^(3-1)</f>
        <v/>
      </c>
      <c r="H61" s="18">
        <f>$D$29*(1+$D$32)^(4-1)</f>
        <v/>
      </c>
      <c r="I61" s="18">
        <f>$D$29*(1+$D$32)^(5-1)</f>
        <v/>
      </c>
      <c r="J61" s="18">
        <f>$D$29*(1+$D$32)^(6-1)</f>
        <v/>
      </c>
      <c r="K61" s="18">
        <f>$D$29*(1+$D$32)^(7-1)</f>
        <v/>
      </c>
      <c r="L61" s="18">
        <f>$D$29*(1+$D$32)^(8-1)</f>
        <v/>
      </c>
      <c r="M61" s="18">
        <f>$D$29*(1+$D$32)^(9-1)</f>
        <v/>
      </c>
      <c r="N61" s="18">
        <f>$D$29*(1+$D$32)^(10-1)</f>
        <v/>
      </c>
    </row>
    <row r="62">
      <c r="A62" s="5" t="inlineStr">
        <is>
          <t>Capacity Price</t>
        </is>
      </c>
      <c r="B62" s="6" t="inlineStr">
        <is>
          <t>$/kW-yr</t>
        </is>
      </c>
      <c r="C62" s="6" t="inlineStr">
        <is>
          <t>Escalated</t>
        </is>
      </c>
      <c r="E62" s="18">
        <f>$D$30*(1+$D$32)^(1-1)</f>
        <v/>
      </c>
      <c r="F62" s="18">
        <f>$D$30*(1+$D$32)^(2-1)</f>
        <v/>
      </c>
      <c r="G62" s="18">
        <f>$D$30*(1+$D$32)^(3-1)</f>
        <v/>
      </c>
      <c r="H62" s="18">
        <f>$D$30*(1+$D$32)^(4-1)</f>
        <v/>
      </c>
      <c r="I62" s="18">
        <f>$D$30*(1+$D$32)^(5-1)</f>
        <v/>
      </c>
      <c r="J62" s="18">
        <f>$D$30*(1+$D$32)^(6-1)</f>
        <v/>
      </c>
      <c r="K62" s="18">
        <f>$D$30*(1+$D$32)^(7-1)</f>
        <v/>
      </c>
      <c r="L62" s="18">
        <f>$D$30*(1+$D$32)^(8-1)</f>
        <v/>
      </c>
      <c r="M62" s="18">
        <f>$D$30*(1+$D$32)^(9-1)</f>
        <v/>
      </c>
      <c r="N62" s="18">
        <f>$D$30*(1+$D$32)^(10-1)</f>
        <v/>
      </c>
    </row>
    <row r="63">
      <c r="A63" s="5" t="inlineStr">
        <is>
          <t>Gas Price</t>
        </is>
      </c>
      <c r="B63" s="6" t="inlineStr">
        <is>
          <t>$/mmBtu</t>
        </is>
      </c>
      <c r="C63" s="6" t="inlineStr">
        <is>
          <t>Escalated</t>
        </is>
      </c>
      <c r="E63" s="19">
        <f>$D$31*(1+$D$32)^(1-1)</f>
        <v/>
      </c>
      <c r="F63" s="19">
        <f>$D$31*(1+$D$32)^(2-1)</f>
        <v/>
      </c>
      <c r="G63" s="19">
        <f>$D$31*(1+$D$32)^(3-1)</f>
        <v/>
      </c>
      <c r="H63" s="19">
        <f>$D$31*(1+$D$32)^(4-1)</f>
        <v/>
      </c>
      <c r="I63" s="19">
        <f>$D$31*(1+$D$32)^(5-1)</f>
        <v/>
      </c>
      <c r="J63" s="19">
        <f>$D$31*(1+$D$32)^(6-1)</f>
        <v/>
      </c>
      <c r="K63" s="19">
        <f>$D$31*(1+$D$32)^(7-1)</f>
        <v/>
      </c>
      <c r="L63" s="19">
        <f>$D$31*(1+$D$32)^(8-1)</f>
        <v/>
      </c>
      <c r="M63" s="19">
        <f>$D$31*(1+$D$32)^(9-1)</f>
        <v/>
      </c>
      <c r="N63" s="19">
        <f>$D$31*(1+$D$32)^(10-1)</f>
        <v/>
      </c>
    </row>
    <row r="65">
      <c r="A65" s="5" t="inlineStr">
        <is>
          <t>Energy Revenue</t>
        </is>
      </c>
      <c r="B65" s="6" t="inlineStr">
        <is>
          <t>$mm</t>
        </is>
      </c>
      <c r="C65" s="6" t="inlineStr">
        <is>
          <t>Generation × Power Price / 1M</t>
        </is>
      </c>
      <c r="E65" s="18">
        <f>$D$54*E61/1000000</f>
        <v/>
      </c>
      <c r="F65" s="18">
        <f>$D$54*F61/1000000</f>
        <v/>
      </c>
      <c r="G65" s="18">
        <f>$D$54*G61/1000000</f>
        <v/>
      </c>
      <c r="H65" s="18">
        <f>$D$54*H61/1000000</f>
        <v/>
      </c>
      <c r="I65" s="18">
        <f>$D$54*I61/1000000</f>
        <v/>
      </c>
      <c r="J65" s="18">
        <f>$D$54*J61/1000000</f>
        <v/>
      </c>
      <c r="K65" s="18">
        <f>$D$54*K61/1000000</f>
        <v/>
      </c>
      <c r="L65" s="18">
        <f>$D$54*L61/1000000</f>
        <v/>
      </c>
      <c r="M65" s="18">
        <f>$D$54*M61/1000000</f>
        <v/>
      </c>
      <c r="N65" s="18">
        <f>$D$54*N61/1000000</f>
        <v/>
      </c>
    </row>
    <row r="66">
      <c r="A66" s="5" t="inlineStr">
        <is>
          <t>Capacity Revenue</t>
        </is>
      </c>
      <c r="B66" s="6" t="inlineStr">
        <is>
          <t>$mm</t>
        </is>
      </c>
      <c r="C66" s="6" t="inlineStr">
        <is>
          <t>UCAP × Cap Price × 1000 / 1M</t>
        </is>
      </c>
      <c r="E66" s="18">
        <f>$D$53*E62*1000/1000000</f>
        <v/>
      </c>
      <c r="F66" s="18">
        <f>$D$53*F62*1000/1000000</f>
        <v/>
      </c>
      <c r="G66" s="18">
        <f>$D$53*G62*1000/1000000</f>
        <v/>
      </c>
      <c r="H66" s="18">
        <f>$D$53*H62*1000/1000000</f>
        <v/>
      </c>
      <c r="I66" s="18">
        <f>$D$53*I62*1000/1000000</f>
        <v/>
      </c>
      <c r="J66" s="18">
        <f>$D$53*J62*1000/1000000</f>
        <v/>
      </c>
      <c r="K66" s="18">
        <f>$D$53*K62*1000/1000000</f>
        <v/>
      </c>
      <c r="L66" s="18">
        <f>$D$53*L62*1000/1000000</f>
        <v/>
      </c>
      <c r="M66" s="18">
        <f>$D$53*M62*1000/1000000</f>
        <v/>
      </c>
      <c r="N66" s="18">
        <f>$D$53*N62*1000/1000000</f>
        <v/>
      </c>
    </row>
    <row r="67">
      <c r="A67" s="5" t="inlineStr">
        <is>
          <t>Total Revenue</t>
        </is>
      </c>
      <c r="B67" s="6" t="inlineStr">
        <is>
          <t>$mm</t>
        </is>
      </c>
      <c r="C67" s="6" t="inlineStr"/>
      <c r="E67" s="20">
        <f>E65+E66</f>
        <v/>
      </c>
      <c r="F67" s="20">
        <f>F65+F66</f>
        <v/>
      </c>
      <c r="G67" s="20">
        <f>G65+G66</f>
        <v/>
      </c>
      <c r="H67" s="20">
        <f>H65+H66</f>
        <v/>
      </c>
      <c r="I67" s="20">
        <f>I65+I66</f>
        <v/>
      </c>
      <c r="J67" s="20">
        <f>J65+J66</f>
        <v/>
      </c>
      <c r="K67" s="20">
        <f>K65+K66</f>
        <v/>
      </c>
      <c r="L67" s="20">
        <f>L65+L66</f>
        <v/>
      </c>
      <c r="M67" s="20">
        <f>M65+M66</f>
        <v/>
      </c>
      <c r="N67" s="20">
        <f>N65+N66</f>
        <v/>
      </c>
    </row>
    <row r="69">
      <c r="A69" s="5" t="inlineStr">
        <is>
          <t>Fuel Cost</t>
        </is>
      </c>
      <c r="B69" s="6" t="inlineStr">
        <is>
          <t>$mm</t>
        </is>
      </c>
      <c r="C69" s="6" t="inlineStr">
        <is>
          <t>Gen × HR × Gas / 1B</t>
        </is>
      </c>
      <c r="E69" s="18">
        <f>$D$54*$D$24*E63/1E9</f>
        <v/>
      </c>
      <c r="F69" s="18">
        <f>$D$54*$D$24*F63/1E9</f>
        <v/>
      </c>
      <c r="G69" s="18">
        <f>$D$54*$D$24*G63/1E9</f>
        <v/>
      </c>
      <c r="H69" s="18">
        <f>$D$54*$D$24*H63/1E9</f>
        <v/>
      </c>
      <c r="I69" s="18">
        <f>$D$54*$D$24*I63/1E9</f>
        <v/>
      </c>
      <c r="J69" s="18">
        <f>$D$54*$D$24*J63/1E9</f>
        <v/>
      </c>
      <c r="K69" s="18">
        <f>$D$54*$D$24*K63/1E9</f>
        <v/>
      </c>
      <c r="L69" s="18">
        <f>$D$54*$D$24*L63/1E9</f>
        <v/>
      </c>
      <c r="M69" s="18">
        <f>$D$54*$D$24*M63/1E9</f>
        <v/>
      </c>
      <c r="N69" s="18">
        <f>$D$54*$D$24*N63/1E9</f>
        <v/>
      </c>
    </row>
    <row r="70">
      <c r="A70" s="5" t="inlineStr">
        <is>
          <t>VOM</t>
        </is>
      </c>
      <c r="B70" s="6" t="inlineStr">
        <is>
          <t>$mm</t>
        </is>
      </c>
      <c r="C70" s="6" t="inlineStr">
        <is>
          <t>Generation × VOM rate / 1M</t>
        </is>
      </c>
      <c r="E70" s="18">
        <f>$D$54*$D$35/1000000</f>
        <v/>
      </c>
      <c r="F70" s="18">
        <f>$D$54*$D$35/1000000</f>
        <v/>
      </c>
      <c r="G70" s="18">
        <f>$D$54*$D$35/1000000</f>
        <v/>
      </c>
      <c r="H70" s="18">
        <f>$D$54*$D$35/1000000</f>
        <v/>
      </c>
      <c r="I70" s="18">
        <f>$D$54*$D$35/1000000</f>
        <v/>
      </c>
      <c r="J70" s="18">
        <f>$D$54*$D$35/1000000</f>
        <v/>
      </c>
      <c r="K70" s="18">
        <f>$D$54*$D$35/1000000</f>
        <v/>
      </c>
      <c r="L70" s="18">
        <f>$D$54*$D$35/1000000</f>
        <v/>
      </c>
      <c r="M70" s="18">
        <f>$D$54*$D$35/1000000</f>
        <v/>
      </c>
      <c r="N70" s="18">
        <f>$D$54*$D$35/1000000</f>
        <v/>
      </c>
    </row>
    <row r="71">
      <c r="A71" s="5" t="inlineStr">
        <is>
          <t>FOM</t>
        </is>
      </c>
      <c r="B71" s="6" t="inlineStr">
        <is>
          <t>$mm</t>
        </is>
      </c>
      <c r="C71" s="6" t="inlineStr">
        <is>
          <t>Capacity × FOM × esc × 1000 / 1M</t>
        </is>
      </c>
      <c r="E71" s="18">
        <f>$D$23*$D$36*(1+$D$32)^(1-1)*1000/1000000</f>
        <v/>
      </c>
      <c r="F71" s="18">
        <f>$D$23*$D$36*(1+$D$32)^(2-1)*1000/1000000</f>
        <v/>
      </c>
      <c r="G71" s="18">
        <f>$D$23*$D$36*(1+$D$32)^(3-1)*1000/1000000</f>
        <v/>
      </c>
      <c r="H71" s="18">
        <f>$D$23*$D$36*(1+$D$32)^(4-1)*1000/1000000</f>
        <v/>
      </c>
      <c r="I71" s="18">
        <f>$D$23*$D$36*(1+$D$32)^(5-1)*1000/1000000</f>
        <v/>
      </c>
      <c r="J71" s="18">
        <f>$D$23*$D$36*(1+$D$32)^(6-1)*1000/1000000</f>
        <v/>
      </c>
      <c r="K71" s="18">
        <f>$D$23*$D$36*(1+$D$32)^(7-1)*1000/1000000</f>
        <v/>
      </c>
      <c r="L71" s="18">
        <f>$D$23*$D$36*(1+$D$32)^(8-1)*1000/1000000</f>
        <v/>
      </c>
      <c r="M71" s="18">
        <f>$D$23*$D$36*(1+$D$32)^(9-1)*1000/1000000</f>
        <v/>
      </c>
      <c r="N71" s="18">
        <f>$D$23*$D$36*(1+$D$32)^(10-1)*1000/1000000</f>
        <v/>
      </c>
    </row>
    <row r="72">
      <c r="A72" s="5" t="inlineStr">
        <is>
          <t>Total Operating Costs</t>
        </is>
      </c>
      <c r="B72" s="6" t="inlineStr">
        <is>
          <t>$mm</t>
        </is>
      </c>
      <c r="C72" s="6" t="inlineStr"/>
      <c r="E72" s="18">
        <f>E69+E70+E71</f>
        <v/>
      </c>
      <c r="F72" s="18">
        <f>F69+F70+F71</f>
        <v/>
      </c>
      <c r="G72" s="18">
        <f>G69+G70+G71</f>
        <v/>
      </c>
      <c r="H72" s="18">
        <f>H69+H70+H71</f>
        <v/>
      </c>
      <c r="I72" s="18">
        <f>I69+I70+I71</f>
        <v/>
      </c>
      <c r="J72" s="18">
        <f>J69+J70+J71</f>
        <v/>
      </c>
      <c r="K72" s="18">
        <f>K69+K70+K71</f>
        <v/>
      </c>
      <c r="L72" s="18">
        <f>L69+L70+L71</f>
        <v/>
      </c>
      <c r="M72" s="18">
        <f>M69+M70+M71</f>
        <v/>
      </c>
      <c r="N72" s="18">
        <f>N69+N70+N71</f>
        <v/>
      </c>
    </row>
    <row r="74">
      <c r="A74" s="5" t="inlineStr">
        <is>
          <t>EBITDA</t>
        </is>
      </c>
      <c r="B74" s="6" t="inlineStr">
        <is>
          <t>$mm</t>
        </is>
      </c>
      <c r="C74" s="6" t="inlineStr"/>
      <c r="E74" s="7">
        <f>E67-E72</f>
        <v/>
      </c>
      <c r="F74" s="7">
        <f>F67-F72</f>
        <v/>
      </c>
      <c r="G74" s="7">
        <f>G67-G72</f>
        <v/>
      </c>
      <c r="H74" s="7">
        <f>H67-H72</f>
        <v/>
      </c>
      <c r="I74" s="7">
        <f>I67-I72</f>
        <v/>
      </c>
      <c r="J74" s="7">
        <f>J67-J72</f>
        <v/>
      </c>
      <c r="K74" s="7">
        <f>K67-K72</f>
        <v/>
      </c>
      <c r="L74" s="7">
        <f>L67-L72</f>
        <v/>
      </c>
      <c r="M74" s="7">
        <f>M67-M72</f>
        <v/>
      </c>
      <c r="N74" s="7">
        <f>N67-N72</f>
        <v/>
      </c>
    </row>
    <row r="77">
      <c r="A77" s="3" t="inlineStr">
        <is>
          <t>CASH FLOW</t>
        </is>
      </c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5" t="inlineStr">
        <is>
          <t>EBIT</t>
        </is>
      </c>
      <c r="B78" s="6" t="inlineStr">
        <is>
          <t>$mm</t>
        </is>
      </c>
      <c r="C78" s="6" t="inlineStr">
        <is>
          <t>EBITDA - Depreciation</t>
        </is>
      </c>
      <c r="E78" s="18">
        <f>E74-$D$56</f>
        <v/>
      </c>
      <c r="F78" s="18">
        <f>F74-$D$56</f>
        <v/>
      </c>
      <c r="G78" s="18">
        <f>G74-$D$56</f>
        <v/>
      </c>
      <c r="H78" s="18">
        <f>H74-$D$56</f>
        <v/>
      </c>
      <c r="I78" s="18">
        <f>I74-$D$56</f>
        <v/>
      </c>
      <c r="J78" s="18">
        <f>J74-$D$56</f>
        <v/>
      </c>
      <c r="K78" s="18">
        <f>K74-$D$56</f>
        <v/>
      </c>
      <c r="L78" s="18">
        <f>L74-$D$56</f>
        <v/>
      </c>
      <c r="M78" s="18">
        <f>M74-$D$56</f>
        <v/>
      </c>
      <c r="N78" s="18">
        <f>N74-$D$56</f>
        <v/>
      </c>
    </row>
    <row r="79">
      <c r="A79" s="5" t="inlineStr">
        <is>
          <t>Taxes</t>
        </is>
      </c>
      <c r="B79" s="6" t="inlineStr">
        <is>
          <t>$mm</t>
        </is>
      </c>
      <c r="C79" s="6" t="inlineStr">
        <is>
          <t>MAX(0, EBIT) × Tax Rate</t>
        </is>
      </c>
      <c r="E79" s="18">
        <f>MAX(0,E78)*$D$47</f>
        <v/>
      </c>
      <c r="F79" s="18">
        <f>MAX(0,F78)*$D$47</f>
        <v/>
      </c>
      <c r="G79" s="18">
        <f>MAX(0,G78)*$D$47</f>
        <v/>
      </c>
      <c r="H79" s="18">
        <f>MAX(0,H78)*$D$47</f>
        <v/>
      </c>
      <c r="I79" s="18">
        <f>MAX(0,I78)*$D$47</f>
        <v/>
      </c>
      <c r="J79" s="18">
        <f>MAX(0,J78)*$D$47</f>
        <v/>
      </c>
      <c r="K79" s="18">
        <f>MAX(0,K78)*$D$47</f>
        <v/>
      </c>
      <c r="L79" s="18">
        <f>MAX(0,L78)*$D$47</f>
        <v/>
      </c>
      <c r="M79" s="18">
        <f>MAX(0,M78)*$D$47</f>
        <v/>
      </c>
      <c r="N79" s="18">
        <f>MAX(0,N78)*$D$47</f>
        <v/>
      </c>
    </row>
    <row r="80">
      <c r="A80" s="5" t="inlineStr">
        <is>
          <t>CFADS</t>
        </is>
      </c>
      <c r="B80" s="6" t="inlineStr">
        <is>
          <t>$mm</t>
        </is>
      </c>
      <c r="C80" s="6" t="inlineStr">
        <is>
          <t>EBITDA - Taxes</t>
        </is>
      </c>
      <c r="E80" s="7">
        <f>E74-E79</f>
        <v/>
      </c>
      <c r="F80" s="7">
        <f>F74-F79</f>
        <v/>
      </c>
      <c r="G80" s="7">
        <f>G74-G79</f>
        <v/>
      </c>
      <c r="H80" s="7">
        <f>H74-H79</f>
        <v/>
      </c>
      <c r="I80" s="7">
        <f>I74-I79</f>
        <v/>
      </c>
      <c r="J80" s="7">
        <f>J74-J79</f>
        <v/>
      </c>
      <c r="K80" s="7">
        <f>K74-K79</f>
        <v/>
      </c>
      <c r="L80" s="7">
        <f>L74-L79</f>
        <v/>
      </c>
      <c r="M80" s="7">
        <f>M74-M79</f>
        <v/>
      </c>
      <c r="N80" s="7">
        <f>N74-N79</f>
        <v/>
      </c>
    </row>
    <row r="83">
      <c r="A83" s="3" t="inlineStr">
        <is>
          <t>DEBT SCHEDULE (75% Cash Sweep)</t>
        </is>
      </c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5" t="inlineStr">
        <is>
          <t>Beginning Balance</t>
        </is>
      </c>
      <c r="B84" s="6" t="inlineStr">
        <is>
          <t>$mm</t>
        </is>
      </c>
      <c r="C84" s="6" t="inlineStr"/>
      <c r="E84" s="18">
        <f>$D$55</f>
        <v/>
      </c>
      <c r="F84" s="18">
        <f>E91</f>
        <v/>
      </c>
      <c r="G84" s="18">
        <f>F91</f>
        <v/>
      </c>
      <c r="H84" s="18">
        <f>G91</f>
        <v/>
      </c>
      <c r="I84" s="18">
        <f>H91</f>
        <v/>
      </c>
      <c r="J84" s="18">
        <f>I91</f>
        <v/>
      </c>
      <c r="K84" s="18">
        <f>J91</f>
        <v/>
      </c>
      <c r="L84" s="18">
        <f>K91</f>
        <v/>
      </c>
      <c r="M84" s="18">
        <f>L91</f>
        <v/>
      </c>
      <c r="N84" s="18">
        <f>M91</f>
        <v/>
      </c>
    </row>
    <row r="85">
      <c r="A85" s="5" t="inlineStr">
        <is>
          <t>Interest</t>
        </is>
      </c>
      <c r="B85" s="6" t="inlineStr">
        <is>
          <t>$mm</t>
        </is>
      </c>
      <c r="C85" s="6" t="inlineStr">
        <is>
          <t>Beg Bal × Int Rate</t>
        </is>
      </c>
      <c r="E85" s="18">
        <f>E84*$D$40</f>
        <v/>
      </c>
      <c r="F85" s="18">
        <f>F84*$D$40</f>
        <v/>
      </c>
      <c r="G85" s="18">
        <f>G84*$D$40</f>
        <v/>
      </c>
      <c r="H85" s="18">
        <f>H84*$D$40</f>
        <v/>
      </c>
      <c r="I85" s="18">
        <f>I84*$D$40</f>
        <v/>
      </c>
      <c r="J85" s="18">
        <f>J84*$D$40</f>
        <v/>
      </c>
      <c r="K85" s="18">
        <f>K84*$D$40</f>
        <v/>
      </c>
      <c r="L85" s="18">
        <f>L84*$D$40</f>
        <v/>
      </c>
      <c r="M85" s="18">
        <f>M84*$D$40</f>
        <v/>
      </c>
      <c r="N85" s="18">
        <f>N84*$D$40</f>
        <v/>
      </c>
    </row>
    <row r="86">
      <c r="A86" s="5" t="inlineStr">
        <is>
          <t>Scheduled Principal</t>
        </is>
      </c>
      <c r="B86" s="6" t="inlineStr">
        <is>
          <t>$mm</t>
        </is>
      </c>
      <c r="C86" s="6" t="inlineStr">
        <is>
          <t>MIN(Sched, Beg Bal)</t>
        </is>
      </c>
      <c r="E86" s="18">
        <f>MIN($D$57,E84)</f>
        <v/>
      </c>
      <c r="F86" s="18">
        <f>MIN($D$57,F84)</f>
        <v/>
      </c>
      <c r="G86" s="18">
        <f>MIN($D$57,G84)</f>
        <v/>
      </c>
      <c r="H86" s="18">
        <f>MIN($D$57,H84)</f>
        <v/>
      </c>
      <c r="I86" s="18">
        <f>MIN($D$57,I84)</f>
        <v/>
      </c>
      <c r="J86" s="18">
        <f>MIN($D$57,J84)</f>
        <v/>
      </c>
      <c r="K86" s="18">
        <f>MIN($D$57,K84)</f>
        <v/>
      </c>
      <c r="L86" s="18">
        <f>MIN($D$57,L84)</f>
        <v/>
      </c>
      <c r="M86" s="18">
        <f>MIN($D$57,M84)</f>
        <v/>
      </c>
      <c r="N86" s="18">
        <f>MIN($D$57,N84)</f>
        <v/>
      </c>
    </row>
    <row r="87">
      <c r="A87" s="5" t="inlineStr">
        <is>
          <t>Debt Service (Pre-Sweep)</t>
        </is>
      </c>
      <c r="B87" s="6" t="inlineStr">
        <is>
          <t>$mm</t>
        </is>
      </c>
      <c r="C87" s="6" t="inlineStr">
        <is>
          <t>Interest + Sched Prin</t>
        </is>
      </c>
      <c r="E87" s="18">
        <f>E85+E86</f>
        <v/>
      </c>
      <c r="F87" s="18">
        <f>F85+F86</f>
        <v/>
      </c>
      <c r="G87" s="18">
        <f>G85+G86</f>
        <v/>
      </c>
      <c r="H87" s="18">
        <f>H85+H86</f>
        <v/>
      </c>
      <c r="I87" s="18">
        <f>I85+I86</f>
        <v/>
      </c>
      <c r="J87" s="18">
        <f>J85+J86</f>
        <v/>
      </c>
      <c r="K87" s="18">
        <f>K85+K86</f>
        <v/>
      </c>
      <c r="L87" s="18">
        <f>L85+L86</f>
        <v/>
      </c>
      <c r="M87" s="18">
        <f>M85+M86</f>
        <v/>
      </c>
      <c r="N87" s="18">
        <f>N85+N86</f>
        <v/>
      </c>
    </row>
    <row r="88">
      <c r="A88" s="5" t="inlineStr">
        <is>
          <t>Excess Cash</t>
        </is>
      </c>
      <c r="B88" s="6" t="inlineStr">
        <is>
          <t>$mm</t>
        </is>
      </c>
      <c r="C88" s="6" t="inlineStr">
        <is>
          <t>CFADS - DS - DSRA Funding</t>
        </is>
      </c>
      <c r="E88" s="18">
        <f>MAX(0,E80-E87-E98)</f>
        <v/>
      </c>
      <c r="F88" s="18">
        <f>MAX(0,F80-F87-F98)</f>
        <v/>
      </c>
      <c r="G88" s="18">
        <f>MAX(0,G80-G87-G98)</f>
        <v/>
      </c>
      <c r="H88" s="18">
        <f>MAX(0,H80-H87-H98)</f>
        <v/>
      </c>
      <c r="I88" s="18">
        <f>MAX(0,I80-I87-I98)</f>
        <v/>
      </c>
      <c r="J88" s="18">
        <f>MAX(0,J80-J87-J98)</f>
        <v/>
      </c>
      <c r="K88" s="18">
        <f>MAX(0,K80-K87-K98)</f>
        <v/>
      </c>
      <c r="L88" s="18">
        <f>MAX(0,L80-L87-L98)</f>
        <v/>
      </c>
      <c r="M88" s="18">
        <f>MAX(0,M80-M87-M98)</f>
        <v/>
      </c>
      <c r="N88" s="18">
        <f>MAX(0,N80-N87-N98)</f>
        <v/>
      </c>
    </row>
    <row r="89">
      <c r="A89" s="5" t="inlineStr">
        <is>
          <t>Cash Sweep</t>
        </is>
      </c>
      <c r="B89" s="6" t="inlineStr">
        <is>
          <t>$mm</t>
        </is>
      </c>
      <c r="C89" s="6" t="inlineStr">
        <is>
          <t>MIN(Excess×Sweep%, Beg-Sched)</t>
        </is>
      </c>
      <c r="E89" s="21">
        <f>MIN(MAX(0,E88)*$D$43,MAX(0,E84-E86))</f>
        <v/>
      </c>
      <c r="F89" s="21">
        <f>MIN(MAX(0,F88)*$D$43,MAX(0,F84-F86))</f>
        <v/>
      </c>
      <c r="G89" s="21">
        <f>MIN(MAX(0,G88)*$D$43,MAX(0,G84-G86))</f>
        <v/>
      </c>
      <c r="H89" s="21">
        <f>MIN(MAX(0,H88)*$D$43,MAX(0,H84-H86))</f>
        <v/>
      </c>
      <c r="I89" s="21">
        <f>MIN(MAX(0,I88)*$D$43,MAX(0,I84-I86))</f>
        <v/>
      </c>
      <c r="J89" s="21">
        <f>MIN(MAX(0,J88)*$D$43,MAX(0,J84-J86))</f>
        <v/>
      </c>
      <c r="K89" s="21">
        <f>MIN(MAX(0,K88)*$D$43,MAX(0,K84-K86))</f>
        <v/>
      </c>
      <c r="L89" s="21">
        <f>MIN(MAX(0,L88)*$D$43,MAX(0,L84-L86))</f>
        <v/>
      </c>
      <c r="M89" s="21">
        <f>MIN(MAX(0,M88)*$D$43,MAX(0,M84-M86))</f>
        <v/>
      </c>
      <c r="N89" s="21">
        <f>MIN(MAX(0,N88)*$D$43,MAX(0,N84-N86))</f>
        <v/>
      </c>
    </row>
    <row r="90">
      <c r="A90" s="5" t="inlineStr">
        <is>
          <t>Total Principal</t>
        </is>
      </c>
      <c r="B90" s="6" t="inlineStr">
        <is>
          <t>$mm</t>
        </is>
      </c>
      <c r="C90" s="6" t="inlineStr">
        <is>
          <t>Scheduled + Sweep</t>
        </is>
      </c>
      <c r="E90" s="18">
        <f>E86+E89</f>
        <v/>
      </c>
      <c r="F90" s="18">
        <f>F86+F89</f>
        <v/>
      </c>
      <c r="G90" s="18">
        <f>G86+G89</f>
        <v/>
      </c>
      <c r="H90" s="18">
        <f>H86+H89</f>
        <v/>
      </c>
      <c r="I90" s="18">
        <f>I86+I89</f>
        <v/>
      </c>
      <c r="J90" s="18">
        <f>J86+J89</f>
        <v/>
      </c>
      <c r="K90" s="18">
        <f>K86+K89</f>
        <v/>
      </c>
      <c r="L90" s="18">
        <f>L86+L89</f>
        <v/>
      </c>
      <c r="M90" s="18">
        <f>M86+M89</f>
        <v/>
      </c>
      <c r="N90" s="18">
        <f>N86+N89</f>
        <v/>
      </c>
    </row>
    <row r="91">
      <c r="A91" s="5" t="inlineStr">
        <is>
          <t>Ending Balance</t>
        </is>
      </c>
      <c r="B91" s="6" t="inlineStr">
        <is>
          <t>$mm</t>
        </is>
      </c>
      <c r="C91" s="6" t="inlineStr">
        <is>
          <t>MAX(0, Beg - Total Prin)</t>
        </is>
      </c>
      <c r="E91" s="18">
        <f>MAX(0,E84-E90)</f>
        <v/>
      </c>
      <c r="F91" s="18">
        <f>MAX(0,F84-F90)</f>
        <v/>
      </c>
      <c r="G91" s="18">
        <f>MAX(0,G84-G90)</f>
        <v/>
      </c>
      <c r="H91" s="18">
        <f>MAX(0,H84-H90)</f>
        <v/>
      </c>
      <c r="I91" s="18">
        <f>MAX(0,I84-I90)</f>
        <v/>
      </c>
      <c r="J91" s="18">
        <f>MAX(0,J84-J90)</f>
        <v/>
      </c>
      <c r="K91" s="18">
        <f>MAX(0,K84-K90)</f>
        <v/>
      </c>
      <c r="L91" s="18">
        <f>MAX(0,L84-L90)</f>
        <v/>
      </c>
      <c r="M91" s="18">
        <f>MAX(0,M84-M90)</f>
        <v/>
      </c>
      <c r="N91" s="18">
        <f>MAX(0,N84-N90)</f>
        <v/>
      </c>
    </row>
    <row r="92">
      <c r="A92" s="5" t="inlineStr">
        <is>
          <t>DSCR</t>
        </is>
      </c>
      <c r="B92" s="6" t="inlineStr">
        <is>
          <t>x</t>
        </is>
      </c>
      <c r="C92" s="6" t="inlineStr">
        <is>
          <t>CFADS / Debt Service</t>
        </is>
      </c>
      <c r="E92" s="30">
        <f>IF(E87&gt;0,E80/E87,0)</f>
        <v/>
      </c>
      <c r="F92" s="30">
        <f>IF(F87&gt;0,F80/F87,0)</f>
        <v/>
      </c>
      <c r="G92" s="30">
        <f>IF(G87&gt;0,G80/G87,0)</f>
        <v/>
      </c>
      <c r="H92" s="30">
        <f>IF(H87&gt;0,H80/H87,0)</f>
        <v/>
      </c>
      <c r="I92" s="30">
        <f>IF(I87&gt;0,I80/I87,0)</f>
        <v/>
      </c>
      <c r="J92" s="30">
        <f>IF(J87&gt;0,J80/J87,0)</f>
        <v/>
      </c>
      <c r="K92" s="30">
        <f>IF(K87&gt;0,K80/K87,0)</f>
        <v/>
      </c>
      <c r="L92" s="30">
        <f>IF(L87&gt;0,L80/L87,0)</f>
        <v/>
      </c>
      <c r="M92" s="30">
        <f>IF(M87&gt;0,M80/M87,0)</f>
        <v/>
      </c>
      <c r="N92" s="30">
        <f>IF(N87&gt;0,N80/N87,0)</f>
        <v/>
      </c>
    </row>
    <row r="93">
      <c r="A93" s="5" t="inlineStr">
        <is>
          <t>Scheduled DS (for DSRA)</t>
        </is>
      </c>
      <c r="B93" s="6" t="inlineStr">
        <is>
          <t>$mm</t>
        </is>
      </c>
      <c r="C93" s="6" t="inlineStr">
        <is>
          <t>Based on straight-line amort, no sweep</t>
        </is>
      </c>
      <c r="E93" s="18">
        <f>MAX(0,$D$55-(1-1)*$D$57)*$D$40+$D$57</f>
        <v/>
      </c>
      <c r="F93" s="18">
        <f>MAX(0,$D$55-(2-1)*$D$57)*$D$40+$D$57</f>
        <v/>
      </c>
      <c r="G93" s="18">
        <f>MAX(0,$D$55-(3-1)*$D$57)*$D$40+$D$57</f>
        <v/>
      </c>
      <c r="H93" s="18">
        <f>MAX(0,$D$55-(4-1)*$D$57)*$D$40+$D$57</f>
        <v/>
      </c>
      <c r="I93" s="18">
        <f>MAX(0,$D$55-(5-1)*$D$57)*$D$40+$D$57</f>
        <v/>
      </c>
      <c r="J93" s="18">
        <f>MAX(0,$D$55-(6-1)*$D$57)*$D$40+$D$57</f>
        <v/>
      </c>
      <c r="K93" s="18">
        <f>MAX(0,$D$55-(7-1)*$D$57)*$D$40+$D$57</f>
        <v/>
      </c>
      <c r="L93" s="18">
        <f>MAX(0,$D$55-(8-1)*$D$57)*$D$40+$D$57</f>
        <v/>
      </c>
      <c r="M93" s="18">
        <f>MAX(0,$D$55-(9-1)*$D$57)*$D$40+$D$57</f>
        <v/>
      </c>
      <c r="N93" s="18">
        <f>MAX(0,$D$55-(10-1)*$D$57)*$D$40+$D$57</f>
        <v/>
      </c>
    </row>
    <row r="95">
      <c r="A95" s="3" t="inlineStr">
        <is>
          <t>DSRA (Debt Service Reserve Account)</t>
        </is>
      </c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5" t="inlineStr">
        <is>
          <t>DSRA Target</t>
        </is>
      </c>
      <c r="B96" s="6" t="inlineStr">
        <is>
          <t>$mm</t>
        </is>
      </c>
      <c r="C96" s="6" t="inlineStr">
        <is>
          <t>Next Yr Scheduled DS × DSRA Months / 12</t>
        </is>
      </c>
      <c r="D96" s="18">
        <f>E93*$D$42/12</f>
        <v/>
      </c>
      <c r="E96" s="18">
        <f>F93*$D$42/12</f>
        <v/>
      </c>
      <c r="F96" s="18">
        <f>G93*$D$42/12</f>
        <v/>
      </c>
      <c r="G96" s="18">
        <f>H93*$D$42/12</f>
        <v/>
      </c>
      <c r="H96" s="18">
        <f>I93*$D$42/12</f>
        <v/>
      </c>
      <c r="I96" s="18">
        <f>J93*$D$42/12</f>
        <v/>
      </c>
      <c r="J96" s="18">
        <f>K93*$D$42/12</f>
        <v/>
      </c>
      <c r="K96" s="18">
        <f>L93*$D$42/12</f>
        <v/>
      </c>
      <c r="L96" s="18">
        <f>M93*$D$42/12</f>
        <v/>
      </c>
      <c r="M96" s="18">
        <f>N93*$D$42/12</f>
        <v/>
      </c>
      <c r="N96" s="18">
        <f>0</f>
        <v/>
      </c>
    </row>
    <row r="97">
      <c r="A97" s="5" t="inlineStr">
        <is>
          <t>DSRA Beginning</t>
        </is>
      </c>
      <c r="B97" s="6" t="inlineStr">
        <is>
          <t>$mm</t>
        </is>
      </c>
      <c r="C97" s="6" t="inlineStr"/>
      <c r="D97" s="18">
        <f>0</f>
        <v/>
      </c>
      <c r="E97" s="18">
        <f>D99</f>
        <v/>
      </c>
      <c r="F97" s="18">
        <f>E99</f>
        <v/>
      </c>
      <c r="G97" s="18">
        <f>F99</f>
        <v/>
      </c>
      <c r="H97" s="18">
        <f>G99</f>
        <v/>
      </c>
      <c r="I97" s="18">
        <f>H99</f>
        <v/>
      </c>
      <c r="J97" s="18">
        <f>I99</f>
        <v/>
      </c>
      <c r="K97" s="18">
        <f>J99</f>
        <v/>
      </c>
      <c r="L97" s="18">
        <f>K99</f>
        <v/>
      </c>
      <c r="M97" s="18">
        <f>L99</f>
        <v/>
      </c>
      <c r="N97" s="18">
        <f>M99</f>
        <v/>
      </c>
    </row>
    <row r="98">
      <c r="A98" s="5" t="inlineStr">
        <is>
          <t>DSRA Funding/(Release)</t>
        </is>
      </c>
      <c r="B98" s="6" t="inlineStr">
        <is>
          <t>$mm</t>
        </is>
      </c>
      <c r="C98" s="6" t="inlineStr">
        <is>
          <t>Target - Beginning</t>
        </is>
      </c>
      <c r="D98" s="18">
        <f>D96-D97</f>
        <v/>
      </c>
      <c r="E98" s="18">
        <f>E96-E97</f>
        <v/>
      </c>
      <c r="F98" s="18">
        <f>F96-F97</f>
        <v/>
      </c>
      <c r="G98" s="18">
        <f>G96-G97</f>
        <v/>
      </c>
      <c r="H98" s="18">
        <f>H96-H97</f>
        <v/>
      </c>
      <c r="I98" s="18">
        <f>I96-I97</f>
        <v/>
      </c>
      <c r="J98" s="18">
        <f>J96-J97</f>
        <v/>
      </c>
      <c r="K98" s="18">
        <f>K96-K97</f>
        <v/>
      </c>
      <c r="L98" s="18">
        <f>L96-L97</f>
        <v/>
      </c>
      <c r="M98" s="18">
        <f>M96-M97</f>
        <v/>
      </c>
      <c r="N98" s="18">
        <f>N96-N97</f>
        <v/>
      </c>
    </row>
    <row r="99">
      <c r="A99" s="5" t="inlineStr">
        <is>
          <t>DSRA Ending</t>
        </is>
      </c>
      <c r="B99" s="6" t="inlineStr">
        <is>
          <t>$mm</t>
        </is>
      </c>
      <c r="C99" s="6" t="inlineStr">
        <is>
          <t>Beginning + Funding</t>
        </is>
      </c>
      <c r="D99" s="18">
        <f>D97+D98</f>
        <v/>
      </c>
      <c r="E99" s="18">
        <f>E97+E98</f>
        <v/>
      </c>
      <c r="F99" s="18">
        <f>F97+F98</f>
        <v/>
      </c>
      <c r="G99" s="18">
        <f>G97+G98</f>
        <v/>
      </c>
      <c r="H99" s="18">
        <f>H97+H98</f>
        <v/>
      </c>
      <c r="I99" s="18">
        <f>I97+I98</f>
        <v/>
      </c>
      <c r="J99" s="18">
        <f>J97+J98</f>
        <v/>
      </c>
      <c r="K99" s="18">
        <f>K97+K98</f>
        <v/>
      </c>
      <c r="L99" s="18">
        <f>L97+L98</f>
        <v/>
      </c>
      <c r="M99" s="18">
        <f>M97+M98</f>
        <v/>
      </c>
      <c r="N99" s="18">
        <f>N97+N98</f>
        <v/>
      </c>
    </row>
    <row r="102">
      <c r="A102" s="3" t="inlineStr">
        <is>
          <t>DISTRIBUTION WATERFALL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5" t="inlineStr">
        <is>
          <t>Cash Available for Distribution</t>
        </is>
      </c>
      <c r="B103" s="6" t="inlineStr">
        <is>
          <t>$mm</t>
        </is>
      </c>
      <c r="C103" s="6" t="inlineStr">
        <is>
          <t>CFADS - Total DS - DSRA Fund</t>
        </is>
      </c>
      <c r="E103" s="18">
        <f>E80-(E85+E90)-E98</f>
        <v/>
      </c>
      <c r="F103" s="18">
        <f>F80-(F85+F90)-F98</f>
        <v/>
      </c>
      <c r="G103" s="18">
        <f>G80-(G85+G90)-G98</f>
        <v/>
      </c>
      <c r="H103" s="18">
        <f>H80-(H85+H90)-H98</f>
        <v/>
      </c>
      <c r="I103" s="18">
        <f>I80-(I85+I90)-I98</f>
        <v/>
      </c>
      <c r="J103" s="18">
        <f>J80-(J85+J90)-J98</f>
        <v/>
      </c>
      <c r="K103" s="18">
        <f>K80-(K85+K90)-K98</f>
        <v/>
      </c>
      <c r="L103" s="18">
        <f>L80-(L85+L90)-L98</f>
        <v/>
      </c>
      <c r="M103" s="18">
        <f>M80-(M85+M90)-M98</f>
        <v/>
      </c>
      <c r="N103" s="18">
        <f>N80-(N85+N90)-N98</f>
        <v/>
      </c>
    </row>
    <row r="104">
      <c r="A104" s="5" t="inlineStr">
        <is>
          <t>Lock-up Test</t>
        </is>
      </c>
      <c r="B104" s="6" t="inlineStr"/>
      <c r="C104" s="6" t="inlineStr">
        <is>
          <t>PASS if DSCR ≥ Lock-up</t>
        </is>
      </c>
      <c r="E104" s="22">
        <f>IF(E92&gt;=$D$44,"PASS","LOCKED")</f>
        <v/>
      </c>
      <c r="F104" s="22">
        <f>IF(F92&gt;=$D$44,"PASS","LOCKED")</f>
        <v/>
      </c>
      <c r="G104" s="22">
        <f>IF(G92&gt;=$D$44,"PASS","LOCKED")</f>
        <v/>
      </c>
      <c r="H104" s="22">
        <f>IF(H92&gt;=$D$44,"PASS","LOCKED")</f>
        <v/>
      </c>
      <c r="I104" s="22">
        <f>IF(I92&gt;=$D$44,"PASS","LOCKED")</f>
        <v/>
      </c>
      <c r="J104" s="22">
        <f>IF(J92&gt;=$D$44,"PASS","LOCKED")</f>
        <v/>
      </c>
      <c r="K104" s="22">
        <f>IF(K92&gt;=$D$44,"PASS","LOCKED")</f>
        <v/>
      </c>
      <c r="L104" s="22">
        <f>IF(L92&gt;=$D$44,"PASS","LOCKED")</f>
        <v/>
      </c>
      <c r="M104" s="22">
        <f>IF(M92&gt;=$D$44,"PASS","LOCKED")</f>
        <v/>
      </c>
      <c r="N104" s="22">
        <f>IF(N92&gt;=$D$44,"PASS","LOCKED")</f>
        <v/>
      </c>
    </row>
    <row r="105">
      <c r="A105" s="5" t="inlineStr">
        <is>
          <t>Distributable Cash</t>
        </is>
      </c>
      <c r="B105" s="6" t="inlineStr">
        <is>
          <t>$mm</t>
        </is>
      </c>
      <c r="C105" s="6" t="inlineStr">
        <is>
          <t>If PASS, MAX(0, Cash Avail)</t>
        </is>
      </c>
      <c r="E105" s="7">
        <f>IF(E104="PASS",MAX(0,E103),0)</f>
        <v/>
      </c>
      <c r="F105" s="7">
        <f>IF(F104="PASS",MAX(0,F103),0)</f>
        <v/>
      </c>
      <c r="G105" s="7">
        <f>IF(G104="PASS",MAX(0,G103),0)</f>
        <v/>
      </c>
      <c r="H105" s="7">
        <f>IF(H104="PASS",MAX(0,H103),0)</f>
        <v/>
      </c>
      <c r="I105" s="7">
        <f>IF(I104="PASS",MAX(0,I103),0)</f>
        <v/>
      </c>
      <c r="J105" s="7">
        <f>IF(J104="PASS",MAX(0,J103),0)</f>
        <v/>
      </c>
      <c r="K105" s="7">
        <f>IF(K104="PASS",MAX(0,K103),0)</f>
        <v/>
      </c>
      <c r="L105" s="7">
        <f>IF(L104="PASS",MAX(0,L103),0)</f>
        <v/>
      </c>
      <c r="M105" s="7">
        <f>IF(M104="PASS",MAX(0,M103),0)</f>
        <v/>
      </c>
      <c r="N105" s="7">
        <f>IF(N104="PASS",MAX(0,N103),0)</f>
        <v/>
      </c>
    </row>
    <row r="108">
      <c r="A108" s="3" t="inlineStr">
        <is>
          <t>SOURCES &amp; USES (Year 0)</t>
        </is>
      </c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23" t="inlineStr">
        <is>
          <t>USES</t>
        </is>
      </c>
      <c r="B109" s="6" t="inlineStr"/>
      <c r="C109" s="6" t="inlineStr"/>
    </row>
    <row r="110">
      <c r="A110" s="5" t="inlineStr">
        <is>
          <t xml:space="preserve">  Purchase Price</t>
        </is>
      </c>
      <c r="B110" s="6" t="inlineStr">
        <is>
          <t>$mm</t>
        </is>
      </c>
      <c r="C110" s="6" t="inlineStr"/>
      <c r="D110" s="18">
        <f>$D$17</f>
        <v/>
      </c>
    </row>
    <row r="111">
      <c r="A111" s="5" t="inlineStr">
        <is>
          <t xml:space="preserve">  Transaction Fees</t>
        </is>
      </c>
      <c r="B111" s="6" t="inlineStr">
        <is>
          <t>$mm</t>
        </is>
      </c>
      <c r="C111" s="6" t="inlineStr"/>
      <c r="D111" s="18">
        <f>$D$17*$D$18</f>
        <v/>
      </c>
    </row>
    <row r="112">
      <c r="A112" s="5" t="inlineStr">
        <is>
          <t xml:space="preserve">  DSRA Funding</t>
        </is>
      </c>
      <c r="B112" s="6" t="inlineStr">
        <is>
          <t>$mm</t>
        </is>
      </c>
      <c r="C112" s="6" t="inlineStr"/>
      <c r="D112" s="18">
        <f>D96</f>
        <v/>
      </c>
    </row>
    <row r="113">
      <c r="A113" s="5" t="inlineStr">
        <is>
          <t>Total Uses</t>
        </is>
      </c>
      <c r="B113" s="6" t="inlineStr">
        <is>
          <t>$mm</t>
        </is>
      </c>
      <c r="C113" s="6" t="inlineStr"/>
      <c r="D113" s="7">
        <f>D110+D111+D112</f>
        <v/>
      </c>
    </row>
    <row r="115">
      <c r="A115" s="23" t="inlineStr">
        <is>
          <t>SOURCES</t>
        </is>
      </c>
      <c r="B115" s="6" t="inlineStr"/>
      <c r="C115" s="6" t="inlineStr"/>
    </row>
    <row r="116">
      <c r="A116" s="5" t="inlineStr">
        <is>
          <t xml:space="preserve">  Debt</t>
        </is>
      </c>
      <c r="B116" s="6" t="inlineStr">
        <is>
          <t>$mm</t>
        </is>
      </c>
      <c r="C116" s="6" t="inlineStr"/>
      <c r="D116" s="18">
        <f>$D$55</f>
        <v/>
      </c>
    </row>
    <row r="117">
      <c r="A117" s="5" t="inlineStr">
        <is>
          <t xml:space="preserve">  Equity</t>
        </is>
      </c>
      <c r="B117" s="6" t="inlineStr">
        <is>
          <t>$mm</t>
        </is>
      </c>
      <c r="C117" s="6" t="inlineStr">
        <is>
          <t>Plug to balance</t>
        </is>
      </c>
      <c r="D117" s="18">
        <f>D113-D116</f>
        <v/>
      </c>
    </row>
    <row r="118">
      <c r="A118" s="5" t="inlineStr">
        <is>
          <t>Total Sources</t>
        </is>
      </c>
      <c r="B118" s="6" t="inlineStr">
        <is>
          <t>$mm</t>
        </is>
      </c>
      <c r="C118" s="6" t="inlineStr"/>
      <c r="D118" s="7">
        <f>D116+D117</f>
        <v/>
      </c>
    </row>
    <row r="119">
      <c r="A119" s="5" t="inlineStr">
        <is>
          <t>Balance Check</t>
        </is>
      </c>
      <c r="B119" s="6" t="inlineStr"/>
      <c r="C119" s="6" t="inlineStr"/>
      <c r="D119" s="10">
        <f>IF(ABS(D113-D118)&lt;0.01,"PASS","FAIL")</f>
        <v/>
      </c>
    </row>
    <row r="122">
      <c r="A122" s="3" t="inlineStr">
        <is>
          <t>EXIT CALCULATIONS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5" t="inlineStr">
        <is>
          <t>Exit EV</t>
        </is>
      </c>
      <c r="B123" s="6" t="inlineStr">
        <is>
          <t>$mm</t>
        </is>
      </c>
      <c r="C123" s="6" t="inlineStr">
        <is>
          <t>Exit Multiple × Exit Yr EBITDA</t>
        </is>
      </c>
      <c r="K123" s="18">
        <f>$D$19*K74</f>
        <v/>
      </c>
    </row>
    <row r="124">
      <c r="A124" s="5" t="inlineStr">
        <is>
          <t>Exit Debt Payoff</t>
        </is>
      </c>
      <c r="B124" s="6" t="inlineStr">
        <is>
          <t>$mm</t>
        </is>
      </c>
      <c r="C124" s="6" t="inlineStr">
        <is>
          <t>Ending Bal at Exit</t>
        </is>
      </c>
      <c r="K124" s="18">
        <f>K91</f>
        <v/>
      </c>
    </row>
    <row r="125">
      <c r="A125" s="5" t="inlineStr">
        <is>
          <t>DSRA Release</t>
        </is>
      </c>
      <c r="B125" s="6" t="inlineStr">
        <is>
          <t>$mm</t>
        </is>
      </c>
      <c r="C125" s="6" t="inlineStr">
        <is>
          <t>DSRA Ending at Exit</t>
        </is>
      </c>
      <c r="K125" s="18">
        <f>K99</f>
        <v/>
      </c>
    </row>
    <row r="126">
      <c r="A126" s="5" t="inlineStr">
        <is>
          <t>Exit Equity Proceeds</t>
        </is>
      </c>
      <c r="B126" s="6" t="inlineStr">
        <is>
          <t>$mm</t>
        </is>
      </c>
      <c r="C126" s="6" t="inlineStr">
        <is>
          <t>Exit EV - Debt + DSRA</t>
        </is>
      </c>
      <c r="K126" s="7">
        <f>K123-K124+K125</f>
        <v/>
      </c>
    </row>
    <row r="128">
      <c r="A128" s="3" t="inlineStr">
        <is>
          <t>EQUITY RETURNS</t>
        </is>
      </c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5" t="inlineStr">
        <is>
          <t>Equity Cash Flow</t>
        </is>
      </c>
      <c r="B129" s="6" t="inlineStr">
        <is>
          <t>$mm</t>
        </is>
      </c>
      <c r="C129" s="6" t="inlineStr"/>
      <c r="D129" s="18">
        <f>-D117</f>
        <v/>
      </c>
      <c r="E129" s="18">
        <f>E105</f>
        <v/>
      </c>
      <c r="F129" s="18">
        <f>F105</f>
        <v/>
      </c>
      <c r="G129" s="18">
        <f>G105</f>
        <v/>
      </c>
      <c r="H129" s="18">
        <f>H105</f>
        <v/>
      </c>
      <c r="I129" s="18">
        <f>I105</f>
        <v/>
      </c>
      <c r="J129" s="18">
        <f>J105</f>
        <v/>
      </c>
      <c r="K129" s="18">
        <f>K105+K126</f>
        <v/>
      </c>
      <c r="L129" s="18">
        <f>0</f>
        <v/>
      </c>
      <c r="M129" s="18">
        <f>0</f>
        <v/>
      </c>
      <c r="N129" s="18">
        <f>0</f>
        <v/>
      </c>
    </row>
    <row r="130">
      <c r="A130" s="5" t="inlineStr">
        <is>
          <t>Levered IRR</t>
        </is>
      </c>
      <c r="B130" s="6" t="inlineStr">
        <is>
          <t>%</t>
        </is>
      </c>
      <c r="C130" s="6" t="inlineStr"/>
      <c r="D130" s="31">
        <f>IRR(D129:K129)</f>
        <v/>
      </c>
    </row>
    <row r="131">
      <c r="A131" s="5" t="inlineStr">
        <is>
          <t>MOIC</t>
        </is>
      </c>
      <c r="B131" s="6" t="inlineStr">
        <is>
          <t>x</t>
        </is>
      </c>
      <c r="C131" s="6" t="inlineStr">
        <is>
          <t>Sum inflows / outflow</t>
        </is>
      </c>
      <c r="D131" s="30">
        <f>SUMIF(D129:K129,"&gt;0")/ABS(D129)</f>
        <v/>
      </c>
    </row>
    <row r="133">
      <c r="A133" s="23" t="inlineStr">
        <is>
          <t>Unlevered Returns (for reference)</t>
        </is>
      </c>
      <c r="B133" s="6" t="inlineStr"/>
      <c r="C133" s="6" t="inlineStr"/>
    </row>
    <row r="134">
      <c r="A134" s="5" t="inlineStr">
        <is>
          <t>Unlevered Cash Flow</t>
        </is>
      </c>
      <c r="B134" s="6" t="inlineStr">
        <is>
          <t>$mm</t>
        </is>
      </c>
      <c r="C134" s="6" t="inlineStr"/>
      <c r="D134" s="18">
        <f>-$D$17-D111</f>
        <v/>
      </c>
      <c r="E134" s="18">
        <f>E80</f>
        <v/>
      </c>
      <c r="F134" s="18">
        <f>F80</f>
        <v/>
      </c>
      <c r="G134" s="18">
        <f>G80</f>
        <v/>
      </c>
      <c r="H134" s="18">
        <f>H80</f>
        <v/>
      </c>
      <c r="I134" s="18">
        <f>I80</f>
        <v/>
      </c>
      <c r="J134" s="18">
        <f>J80</f>
        <v/>
      </c>
      <c r="K134" s="18">
        <f>K80+K123</f>
        <v/>
      </c>
      <c r="L134" s="18">
        <f>0</f>
        <v/>
      </c>
      <c r="M134" s="18">
        <f>0</f>
        <v/>
      </c>
      <c r="N134" s="18">
        <f>0</f>
        <v/>
      </c>
    </row>
    <row r="135">
      <c r="A135" s="5" t="inlineStr">
        <is>
          <t>Unlevered IRR</t>
        </is>
      </c>
      <c r="B135" s="6" t="inlineStr">
        <is>
          <t>%</t>
        </is>
      </c>
      <c r="C135" s="6" t="inlineStr"/>
      <c r="D135" s="31">
        <f>IRR(D134:K134)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2026-01-20T03:00:01Z</dcterms:created>
  <dcterms:modified xmlns:dcterms="http://purl.org/dc/terms/" xmlns:xsi="http://www.w3.org/2001/XMLSchema-instance" xsi:type="dcterms:W3CDTF">2026-01-20T03:01:59Z</dcterms:modified>
</cp:coreProperties>
</file>