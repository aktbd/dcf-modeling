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 Prompt" sheetId="2" state="visible" r:id="rId2"/>
    <sheet xmlns:r="http://schemas.openxmlformats.org/officeDocument/2006/relationships" name="IC Memo" sheetId="3" state="visible" r:id="rId3"/>
    <sheet xmlns:r="http://schemas.openxmlformats.org/officeDocument/2006/relationships" name="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_);(#,##0.0)"/>
    <numFmt numFmtId="165" formatCode="0.00&quot;x&quot;"/>
    <numFmt numFmtId="166" formatCode="0.0%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  <color rgb="00000000"/>
    </font>
    <font>
      <b val="1"/>
      <color rgb="00FFFFFF"/>
    </font>
    <font>
      <color rgb="00000000"/>
    </font>
    <font>
      <i val="1"/>
      <color rgb="00666666"/>
    </font>
    <font>
      <b val="1"/>
      <color rgb="000000FF"/>
    </font>
    <font>
      <name val="Calibri"/>
      <sz val="11"/>
    </font>
    <font>
      <name val="Calibri"/>
      <b val="1"/>
      <color rgb="001F4E79"/>
      <sz val="14"/>
    </font>
    <font>
      <name val="Calibri"/>
      <b val="1"/>
      <sz val="12"/>
    </font>
    <font>
      <name val="Consolas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C7"/>
        <bgColor rgb="00FFFFC7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2" fillId="5" borderId="1" pivotButton="0" quotePrefix="0" xfId="0"/>
    <xf numFmtId="165" fontId="2" fillId="5" borderId="1" pivotButton="0" quotePrefix="0" xfId="0"/>
    <xf numFmtId="166" fontId="2" fillId="5" borderId="1" pivotButton="0" quotePrefix="0" xfId="0"/>
    <xf numFmtId="0" fontId="2" fillId="5" borderId="1" pivotButton="0" quotePrefix="0" xfId="0"/>
    <xf numFmtId="164" fontId="6" fillId="3" borderId="1" pivotButton="0" quotePrefix="0" xfId="0"/>
    <xf numFmtId="3" fontId="6" fillId="3" borderId="1" pivotButton="0" quotePrefix="0" xfId="0"/>
    <xf numFmtId="166" fontId="6" fillId="3" borderId="1" pivotButton="0" quotePrefix="0" xfId="0"/>
    <xf numFmtId="165" fontId="6" fillId="3" borderId="1" pivotButton="0" quotePrefix="0" xfId="0"/>
    <xf numFmtId="164" fontId="4" fillId="0" borderId="1" pivotButton="0" quotePrefix="0" xfId="0"/>
    <xf numFmtId="164" fontId="4" fillId="4" borderId="1" pivotButton="0" quotePrefix="0" xfId="0"/>
    <xf numFmtId="0" fontId="4" fillId="0" borderId="1" pivotButton="0" quotePrefix="0" xfId="0"/>
    <xf numFmtId="0" fontId="2" fillId="0" borderId="0" pivotButton="0" quotePrefix="0" xfId="0"/>
    <xf numFmtId="165" fontId="2" fillId="5" borderId="1" pivotButton="0" quotePrefix="0" xfId="0"/>
    <xf numFmtId="166" fontId="2" fillId="5" borderId="1" pivotButton="0" quotePrefix="0" xfId="0"/>
    <xf numFmtId="166" fontId="6" fillId="3" borderId="1" pivotButton="0" quotePrefix="0" xfId="0"/>
    <xf numFmtId="165" fontId="6" fillId="3" borderId="1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Lotus Infrastructure</author>
  </authors>
  <commentList>
    <comment ref="C4" authorId="0" shapeId="0">
      <text>
        <t>Cash earnings before financing. What is available to service debt and pay equity.</t>
      </text>
    </comment>
    <comment ref="C5" authorId="0" shapeId="0">
      <text>
        <t>Cash Flow Available for Debt Service. What remains after taxes to pay interest and principal.</t>
      </text>
    </comment>
    <comment ref="C6" authorId="0" shapeId="0">
      <text>
        <t>Debt Service Coverage Ratio. Key lender metric. Target: 1.25-1.40x.</t>
      </text>
    </comment>
    <comment ref="C7" authorId="0" shapeId="0">
      <text>
        <t>Return to equity after debt service. Should exceed cost of equity (12-15% for infra).</t>
      </text>
    </comment>
    <comment ref="C8" authorId="0" shapeId="0">
      <text>
        <t>Multiple on Invested Capital. Cash-on-cash return. 2.0x = doubled money.</t>
      </text>
    </comment>
    <comment ref="C9" authorId="0" shapeId="0">
      <text>
        <t>Return to equity after debt service. Should exceed cost of equity (12-15% for infra).</t>
      </text>
    </comment>
    <comment ref="C13" authorId="0" shapeId="0">
      <text>
        <t>Debt Service Coverage Ratio. Key lender metric. Target: 1.25-1.40x.</t>
      </text>
    </comment>
    <comment ref="C40" authorId="0" shapeId="0">
      <text>
        <t>Debt Service Coverage Ratio. Key lender metric. Target: 1.25-1.40x.</t>
      </text>
    </comment>
    <comment ref="C41" authorId="0" shapeId="0">
      <text>
        <t>Debt Service Coverage Ratio. Key lender metric. Target: 1.25-1.40x.</t>
      </text>
    </comment>
    <comment ref="C70" authorId="0" shapeId="0">
      <text>
        <t>Cash earnings before financing. What is available to service debt and pay equity.</t>
      </text>
    </comment>
    <comment ref="C76" authorId="0" shapeId="0">
      <text>
        <t>Cash Flow Available for Debt Service. What remains after taxes to pay interest and principal.</t>
      </text>
    </comment>
    <comment ref="C85" authorId="0" shapeId="0">
      <text>
        <t>Debt Service Coverage Ratio. Key lender metric. Target: 1.25-1.40x.</t>
      </text>
    </comment>
    <comment ref="C88" authorId="0" shapeId="0">
      <text>
        <t>Reserve sized to cover NEXT years debt service. Uses SCHEDULED DS to avoid circular reference.</t>
      </text>
    </comment>
    <comment ref="C124" authorId="0" shapeId="0">
      <text>
        <t>Return to equity after debt service. Should exceed cost of equity (12-15% for infra).</t>
      </text>
    </comment>
    <comment ref="C125" authorId="0" shapeId="0">
      <text>
        <t>Multiple on Invested Capital. Cash-on-cash return. 2.0x = doubled money.</t>
      </text>
    </comment>
    <comment ref="C129" authorId="0" shapeId="0">
      <text>
        <t>Return to equity after debt service. Should exceed cost of equity (12-15% for infra).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Transmission - INTUITION MAP</t>
        </is>
      </c>
    </row>
    <row r="3">
      <c r="A3" s="27" t="inlineStr">
        <is>
          <t>WHAT THIS MODEL DOES</t>
        </is>
      </c>
    </row>
    <row r="4">
      <c r="A4" t="inlineStr">
        <is>
          <t>Regulated transmission - FERC ROE on rate base.</t>
        </is>
      </c>
    </row>
    <row r="6">
      <c r="A6" s="27" t="inlineStr">
        <is>
          <t>KEY VALUE DRIVERS</t>
        </is>
      </c>
    </row>
    <row r="7">
      <c r="A7" t="inlineStr">
        <is>
          <t>1. FERC ROE</t>
        </is>
      </c>
    </row>
    <row r="8">
      <c r="A8" t="inlineStr">
        <is>
          <t>2. Rate Base</t>
        </is>
      </c>
    </row>
    <row r="9">
      <c r="A9" t="inlineStr">
        <is>
          <t>3. Construction Timing</t>
        </is>
      </c>
    </row>
    <row r="11">
      <c r="A11" s="27" t="inlineStr">
        <is>
          <t>DEBT STRUCTURE RATIONALE</t>
        </is>
      </c>
    </row>
    <row r="12">
      <c r="A12" t="inlineStr">
        <is>
          <t>Sculpted 1.40x - regulated returns.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CASE STUDY: Transmission ACQUISITION</t>
        </is>
      </c>
    </row>
    <row r="3">
      <c r="A3" t="inlineStr">
        <is>
          <t>Time: 4 hours | Deliverables: Model + IC Memo</t>
        </is>
      </c>
    </row>
    <row r="5">
      <c r="A5" s="27" t="inlineStr">
        <is>
          <t>SITUATION</t>
        </is>
      </c>
    </row>
    <row r="6">
      <c r="A6" t="inlineStr">
        <is>
          <t>150-mile 345kV line, $180mm equity.</t>
        </is>
      </c>
    </row>
    <row r="8">
      <c r="A8" s="27" t="inlineStr">
        <is>
          <t>KEY QUESTIONS</t>
        </is>
      </c>
    </row>
    <row r="9">
      <c r="A9" t="inlineStr">
        <is>
          <t>1. What levered IRR at indicative price?</t>
        </is>
      </c>
    </row>
    <row r="10">
      <c r="A10" t="inlineStr">
        <is>
          <t>2. Downside DSCR under stress?</t>
        </is>
      </c>
    </row>
    <row r="11">
      <c r="A11" t="inlineStr">
        <is>
          <t>3. Key diligence items?</t>
        </is>
      </c>
    </row>
    <row r="12">
      <c r="A12" t="inlineStr">
        <is>
          <t>4. Protections to negotiate?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3" t="inlineStr">
        <is>
          <t>PROJECT CORRIDOR</t>
        </is>
      </c>
    </row>
    <row r="2">
      <c r="A2" s="24" t="inlineStr">
        <is>
          <t>INVESTMENT COMMITTEE MEMORANDUM</t>
        </is>
      </c>
    </row>
    <row r="3">
      <c r="A3" s="23" t="inlineStr">
        <is>
          <t>3,200 MW HVDC Transmission Line – SPP to MISO</t>
        </is>
      </c>
    </row>
    <row r="4">
      <c r="A4" s="25" t="inlineStr">
        <is>
          <t>RECOMMENDATION: Proceed to development at $585mm total investment</t>
        </is>
      </c>
    </row>
    <row r="5">
      <c r="A5" s="23" t="inlineStr">
        <is>
          <t>────────────────────────────────────────────────────────────</t>
        </is>
      </c>
    </row>
    <row r="6">
      <c r="A6" s="24" t="inlineStr">
        <is>
          <t>KEY METRICS</t>
        </is>
      </c>
    </row>
    <row r="7">
      <c r="A7" s="24" t="inlineStr">
        <is>
          <t>INVESTMENT THESIS</t>
        </is>
      </c>
    </row>
    <row r="8">
      <c r="A8" s="23" t="inlineStr">
        <is>
          <t>• FERC-approved tariff provides stable, regulated return on 40-year asset life</t>
        </is>
      </c>
    </row>
    <row r="9">
      <c r="A9" s="23" t="inlineStr">
        <is>
          <t>• Critical infrastructure connecting low-cost wind to high-demand load centers</t>
        </is>
      </c>
    </row>
    <row r="10">
      <c r="A10" s="23" t="inlineStr">
        <is>
          <t>• Construction interest capitalization into RAB improves economics</t>
        </is>
      </c>
    </row>
    <row r="11">
      <c r="A11" s="23" t="inlineStr">
        <is>
          <t>• Exit at 1.15x RAB to infrastructure yield vehicles seeking stable returns</t>
        </is>
      </c>
    </row>
    <row r="12">
      <c r="A12" s="24" t="inlineStr">
        <is>
          <t>KEY RISKS &amp; MITIGANTS</t>
        </is>
      </c>
    </row>
    <row r="13">
      <c r="A13" s="24" t="inlineStr">
        <is>
          <t>ANTICIPATED IC Q&amp;A</t>
        </is>
      </c>
    </row>
    <row r="14">
      <c r="A14" s="24" t="inlineStr">
        <is>
          <t>Q: Why does transmission trade at premium to RAB?</t>
        </is>
      </c>
    </row>
    <row r="15">
      <c r="A15" s="23" t="inlineStr">
        <is>
          <t>A: Scarcity value – new transmission is hard to permit. 40+ year life with stable regulated returns. Critical infrastructure status. 1.15x is conservative vs recent deals at 1.25x+.</t>
        </is>
      </c>
    </row>
    <row r="16">
      <c r="A16" s="24" t="inlineStr">
        <is>
          <t>Q: Walk me through construction financing.</t>
        </is>
      </c>
    </row>
    <row r="17">
      <c r="A17" s="23" t="inlineStr">
        <is>
          <t>A: Y0-Y1: Equity funds development ($35mm). Y2: Construction loan (85% × $550mm = $467.5mm) + equity funds construction. Y3 (COD): Refi into term debt (60% × RAB) + equity to repay construction loan.</t>
        </is>
      </c>
    </row>
    <row r="18">
      <c r="A18" s="24" t="inlineStr">
        <is>
          <t>Q: What if construction is delayed?</t>
        </is>
      </c>
    </row>
    <row r="19">
      <c r="A19" s="23" t="inlineStr">
        <is>
          <t>A: Higher capitalized interest, later revenue start. 6-month delay = ~80bps IRR reduction. Mitigated by fixed-price EPC with liquidated damages.</t>
        </is>
      </c>
    </row>
    <row r="20">
      <c r="A20" s="24" t="inlineStr">
        <is>
          <t>Q: What's the regulatory risk?</t>
        </is>
      </c>
    </row>
    <row r="21">
      <c r="A21" s="23" t="inlineStr">
        <is>
          <t>A: FERC could reduce allowed ROE. Historically stable at 10-11%. Even at 9%, returns still exceed cost of capital due to 60% leverage.</t>
        </is>
      </c>
    </row>
    <row r="22">
      <c r="A22" s="23" t="inlineStr"/>
    </row>
    <row r="23">
      <c r="A23" s="26" t="inlineStr">
        <is>
          <t>Metric | Base Case | Downside | Upside</t>
        </is>
      </c>
    </row>
    <row r="24">
      <c r="A24" s="26" t="inlineStr">
        <is>
          <t>RAB at COD | $608mm | - | -</t>
        </is>
      </c>
    </row>
    <row r="25">
      <c r="A25" s="26" t="inlineStr">
        <is>
          <t>Total Equity | $265mm | - | -</t>
        </is>
      </c>
    </row>
    <row r="26">
      <c r="A26" s="26" t="inlineStr">
        <is>
          <t>Term Debt % RAB | 60% | - | -</t>
        </is>
      </c>
    </row>
    <row r="27">
      <c r="A27" s="26" t="inlineStr">
        <is>
          <t>Levered IRR | 14.5% | 12.2% | 16.8%</t>
        </is>
      </c>
    </row>
    <row r="28">
      <c r="A28" s="26" t="inlineStr">
        <is>
          <t>MOIC | 2.05x | 1.85x | 2.25x</t>
        </is>
      </c>
    </row>
    <row r="29">
      <c r="A29" s="26" t="inlineStr">
        <is>
          <t>Min DSCR (Y3-Y10) | 1.40x | 1.32x | 1.48x</t>
        </is>
      </c>
    </row>
    <row r="30">
      <c r="A30" s="23" t="inlineStr"/>
    </row>
    <row r="31">
      <c r="A31" s="26" t="inlineStr">
        <is>
          <t>Risk | Probability | Mitigant</t>
        </is>
      </c>
    </row>
    <row r="32">
      <c r="A32" s="26" t="inlineStr">
        <is>
          <t>Construction delay/overrun | Medium | Fixed-price EPC; liquidated damages; contingency budget</t>
        </is>
      </c>
    </row>
    <row r="33">
      <c r="A33" s="26" t="inlineStr">
        <is>
          <t>Regulatory ROE reduction | Low | FERC historically stable; bipartisan transmission support</t>
        </is>
      </c>
    </row>
    <row r="34">
      <c r="A34" s="26" t="inlineStr">
        <is>
          <t>Permitting challenges | Medium | Pre-approved route; tribal and environmental clearances secured</t>
        </is>
      </c>
    </row>
    <row r="35">
      <c r="A35" s="26" t="inlineStr">
        <is>
          <t>Counterparty default | Low | Utility offtakers are investment-grade; regulatory backstop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Transmission Model - Lotus Infrastructure Partners</t>
        </is>
      </c>
      <c r="D1" s="2" t="n">
        <v>0</v>
      </c>
      <c r="E1" s="2" t="n">
        <v>1</v>
      </c>
      <c r="F1" s="2" t="n">
        <v>2</v>
      </c>
      <c r="G1" s="2" t="n">
        <v>3</v>
      </c>
      <c r="H1" s="2" t="n">
        <v>4</v>
      </c>
      <c r="I1" s="2" t="n">
        <v>5</v>
      </c>
      <c r="J1" s="2" t="n">
        <v>6</v>
      </c>
      <c r="K1" s="2" t="n">
        <v>7</v>
      </c>
      <c r="L1" s="2" t="n">
        <v>8</v>
      </c>
      <c r="M1" s="2" t="n">
        <v>9</v>
      </c>
      <c r="N1" s="2" t="n">
        <v>10</v>
      </c>
    </row>
    <row r="2">
      <c r="A2" s="3" t="inlineStr">
        <is>
          <t>═══ AUDIT STRIP ═══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inlineStr">
        <is>
          <t>RAB at COD</t>
        </is>
      </c>
      <c r="B3" s="6" t="inlineStr">
        <is>
          <t>$mm</t>
        </is>
      </c>
      <c r="C3" s="6" t="inlineStr"/>
      <c r="D3" s="7">
        <f>$D$53</f>
        <v/>
      </c>
    </row>
    <row r="4">
      <c r="A4" s="5" t="inlineStr">
        <is>
          <t>Y3 EBITDA (First Op Year)</t>
        </is>
      </c>
      <c r="B4" s="6" t="inlineStr">
        <is>
          <t>$mm</t>
        </is>
      </c>
      <c r="C4" s="6" t="inlineStr">
        <is>
          <t>Revenue minus OpEx</t>
        </is>
      </c>
      <c r="D4" s="7">
        <f>G70</f>
        <v/>
      </c>
    </row>
    <row r="5">
      <c r="A5" s="5" t="inlineStr">
        <is>
          <t>Avg CFADS (Y3-Y10)</t>
        </is>
      </c>
      <c r="B5" s="6" t="inlineStr">
        <is>
          <t>$mm</t>
        </is>
      </c>
      <c r="C5" s="6" t="inlineStr">
        <is>
          <t>EBITDA minus Taxes</t>
        </is>
      </c>
      <c r="D5" s="7">
        <f>AVERAGE(G76:N76)</f>
        <v/>
      </c>
    </row>
    <row r="6">
      <c r="A6" s="5" t="inlineStr">
        <is>
          <t>Min DSCR (Y3-Y10)</t>
        </is>
      </c>
      <c r="B6" s="6" t="inlineStr">
        <is>
          <t>x</t>
        </is>
      </c>
      <c r="C6" s="6" t="inlineStr">
        <is>
          <t>CFADS / Debt Service</t>
        </is>
      </c>
      <c r="D6" s="19">
        <f>IF(COUNTIF(G85:N85,"&gt;0")&gt;0,MINIFS(G85:N85,G85:N85,"&gt;0"),0)</f>
        <v/>
      </c>
    </row>
    <row r="7">
      <c r="A7" s="5" t="inlineStr">
        <is>
          <t>Levered IRR</t>
        </is>
      </c>
      <c r="B7" s="6" t="inlineStr">
        <is>
          <t>%</t>
        </is>
      </c>
      <c r="C7" s="6" t="inlineStr">
        <is>
          <t>IRR of Equity CFs</t>
        </is>
      </c>
      <c r="D7" s="20">
        <f>D124</f>
        <v/>
      </c>
    </row>
    <row r="8">
      <c r="A8" s="5" t="inlineStr">
        <is>
          <t>MOIC</t>
        </is>
      </c>
      <c r="B8" s="6" t="inlineStr">
        <is>
          <t>x</t>
        </is>
      </c>
      <c r="C8" s="6" t="inlineStr">
        <is>
          <t>Total In / Total Out</t>
        </is>
      </c>
      <c r="D8" s="19">
        <f>D125</f>
        <v/>
      </c>
    </row>
    <row r="9">
      <c r="A9" s="5" t="inlineStr">
        <is>
          <t>Unlevered IRR</t>
        </is>
      </c>
      <c r="B9" s="6" t="inlineStr">
        <is>
          <t>%</t>
        </is>
      </c>
      <c r="C9" s="6" t="inlineStr">
        <is>
          <t>IRR of Equity CFs</t>
        </is>
      </c>
      <c r="D9" s="20">
        <f>D129</f>
        <v/>
      </c>
    </row>
    <row r="10">
      <c r="A10" s="3" t="inlineStr">
        <is>
          <t>═══ QA CHECKS ═══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5" t="inlineStr">
        <is>
          <t>S&amp;U Balance</t>
        </is>
      </c>
      <c r="B11" s="6" t="inlineStr"/>
      <c r="C11" s="6" t="inlineStr"/>
      <c r="D11" s="10">
        <f>D112</f>
        <v/>
      </c>
    </row>
    <row r="12">
      <c r="A12" s="5" t="inlineStr">
        <is>
          <t>Debt Payoff Y10</t>
        </is>
      </c>
      <c r="B12" s="6" t="inlineStr"/>
      <c r="C12" s="6" t="inlineStr"/>
      <c r="D12" s="10">
        <f>IF(N84&lt;1,"PASS","FAIL")</f>
        <v/>
      </c>
    </row>
    <row r="13">
      <c r="A13" s="5" t="inlineStr">
        <is>
          <t>Min DSCR ≥ 1.35x</t>
        </is>
      </c>
      <c r="B13" s="6" t="inlineStr"/>
      <c r="C13" s="6" t="inlineStr">
        <is>
          <t>CFADS / Debt Service</t>
        </is>
      </c>
      <c r="D13" s="10">
        <f>IF(D6&gt;=1.35,"PASS","FAIL")</f>
        <v/>
      </c>
    </row>
    <row r="16">
      <c r="A16" s="3" t="inlineStr">
        <is>
          <t>CONSTRUCTION INPUTS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5" t="inlineStr">
        <is>
          <t>Development Cost Y0</t>
        </is>
      </c>
      <c r="B17" s="6" t="inlineStr">
        <is>
          <t>$mm</t>
        </is>
      </c>
      <c r="C17" s="6" t="inlineStr">
        <is>
          <t>Pre-construction dev</t>
        </is>
      </c>
      <c r="D17" s="11" t="n">
        <v>15</v>
      </c>
    </row>
    <row r="18">
      <c r="A18" s="5" t="inlineStr">
        <is>
          <t>Development Cost Y1</t>
        </is>
      </c>
      <c r="B18" s="6" t="inlineStr">
        <is>
          <t>$mm</t>
        </is>
      </c>
      <c r="C18" s="6" t="inlineStr">
        <is>
          <t>Continued development</t>
        </is>
      </c>
      <c r="D18" s="11" t="n">
        <v>20</v>
      </c>
    </row>
    <row r="19">
      <c r="A19" s="5" t="inlineStr">
        <is>
          <t>Construction Cost Y2</t>
        </is>
      </c>
      <c r="B19" s="6" t="inlineStr">
        <is>
          <t>$mm</t>
        </is>
      </c>
      <c r="C19" s="6" t="inlineStr">
        <is>
          <t>Main construction</t>
        </is>
      </c>
      <c r="D19" s="11" t="n">
        <v>550</v>
      </c>
    </row>
    <row r="20">
      <c r="A20" s="5" t="inlineStr">
        <is>
          <t>COD Year</t>
        </is>
      </c>
      <c r="B20" s="6" t="inlineStr">
        <is>
          <t>#</t>
        </is>
      </c>
      <c r="C20" s="6" t="inlineStr">
        <is>
          <t>Commercial operation date</t>
        </is>
      </c>
      <c r="D20" s="12" t="n">
        <v>3</v>
      </c>
    </row>
    <row r="22">
      <c r="A22" s="3" t="inlineStr">
        <is>
          <t>ASSET INPUTS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5" t="inlineStr">
        <is>
          <t>Transfer Capacity</t>
        </is>
      </c>
      <c r="B23" s="6" t="inlineStr">
        <is>
          <t>MW</t>
        </is>
      </c>
      <c r="C23" s="6" t="inlineStr">
        <is>
          <t>Line rating</t>
        </is>
      </c>
      <c r="D23" s="12" t="n">
        <v>3200</v>
      </c>
    </row>
    <row r="24">
      <c r="A24" s="5" t="inlineStr">
        <is>
          <t>Availability</t>
        </is>
      </c>
      <c r="B24" s="6" t="inlineStr">
        <is>
          <t>%</t>
        </is>
      </c>
      <c r="C24" s="6" t="inlineStr">
        <is>
          <t>Expected uptime</t>
        </is>
      </c>
      <c r="D24" s="21" t="n">
        <v>0.98</v>
      </c>
    </row>
    <row r="25">
      <c r="A25" s="5" t="inlineStr">
        <is>
          <t>Asset Life</t>
        </is>
      </c>
      <c r="B25" s="6" t="inlineStr">
        <is>
          <t>years</t>
        </is>
      </c>
      <c r="C25" s="6" t="inlineStr">
        <is>
          <t>For depreciation</t>
        </is>
      </c>
      <c r="D25" s="12" t="n">
        <v>40</v>
      </c>
    </row>
    <row r="27">
      <c r="A27" s="3" t="inlineStr">
        <is>
          <t>PRICING INPUTS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5" t="inlineStr">
        <is>
          <t>Tariff Rate</t>
        </is>
      </c>
      <c r="B28" s="6" t="inlineStr">
        <is>
          <t>$/kW-yr</t>
        </is>
      </c>
      <c r="C28" s="6" t="inlineStr">
        <is>
          <t>FERC-approved</t>
        </is>
      </c>
      <c r="D28" s="11" t="n">
        <v>32</v>
      </c>
    </row>
    <row r="29">
      <c r="A29" s="5" t="inlineStr">
        <is>
          <t>Tariff Escalation</t>
        </is>
      </c>
      <c r="B29" s="6" t="inlineStr">
        <is>
          <t>%/yr</t>
        </is>
      </c>
      <c r="C29" s="6" t="inlineStr">
        <is>
          <t>Rate increase</t>
        </is>
      </c>
      <c r="D29" s="21" t="n">
        <v>0.02</v>
      </c>
    </row>
    <row r="31">
      <c r="A31" s="3" t="inlineStr">
        <is>
          <t>COST INPUTS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5" t="inlineStr">
        <is>
          <t>O&amp;M Y3</t>
        </is>
      </c>
      <c r="B32" s="6" t="inlineStr">
        <is>
          <t>$mm</t>
        </is>
      </c>
      <c r="C32" s="6" t="inlineStr">
        <is>
          <t>Post-COD O&amp;M</t>
        </is>
      </c>
      <c r="D32" s="11" t="n">
        <v>3</v>
      </c>
    </row>
    <row r="33">
      <c r="A33" s="5" t="inlineStr">
        <is>
          <t>O&amp;M Escalation</t>
        </is>
      </c>
      <c r="B33" s="6" t="inlineStr">
        <is>
          <t>%/yr</t>
        </is>
      </c>
      <c r="C33" s="6" t="inlineStr">
        <is>
          <t>Cost escalation</t>
        </is>
      </c>
      <c r="D33" s="21" t="n">
        <v>0.025</v>
      </c>
    </row>
    <row r="35">
      <c r="A35" s="3" t="inlineStr">
        <is>
          <t>FINANCING INPUTS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5" t="inlineStr">
        <is>
          <t>Construction Debt %</t>
        </is>
      </c>
      <c r="B36" s="6" t="inlineStr">
        <is>
          <t>%</t>
        </is>
      </c>
      <c r="C36" s="6" t="inlineStr">
        <is>
          <t>Const loan leverage</t>
        </is>
      </c>
      <c r="D36" s="21" t="n">
        <v>0.85</v>
      </c>
    </row>
    <row r="37">
      <c r="A37" s="5" t="inlineStr">
        <is>
          <t>Term Debt % of RAB</t>
        </is>
      </c>
      <c r="B37" s="6" t="inlineStr">
        <is>
          <t>%</t>
        </is>
      </c>
      <c r="C37" s="6" t="inlineStr">
        <is>
          <t>Refi at COD</t>
        </is>
      </c>
      <c r="D37" s="21" t="n">
        <v>0.6</v>
      </c>
    </row>
    <row r="38">
      <c r="A38" s="5" t="inlineStr">
        <is>
          <t>Interest Rate</t>
        </is>
      </c>
      <c r="B38" s="6" t="inlineStr">
        <is>
          <t>%</t>
        </is>
      </c>
      <c r="C38" s="6" t="inlineStr">
        <is>
          <t>All-in rate</t>
        </is>
      </c>
      <c r="D38" s="21" t="n">
        <v>0.05</v>
      </c>
    </row>
    <row r="39">
      <c r="A39" s="5" t="inlineStr">
        <is>
          <t>DSRA Months</t>
        </is>
      </c>
      <c r="B39" s="6" t="inlineStr">
        <is>
          <t>months</t>
        </is>
      </c>
      <c r="C39" s="6" t="inlineStr">
        <is>
          <t>Debt service reserve</t>
        </is>
      </c>
      <c r="D39" s="12" t="n">
        <v>6</v>
      </c>
    </row>
    <row r="40">
      <c r="A40" s="5" t="inlineStr">
        <is>
          <t>Target DSCR</t>
        </is>
      </c>
      <c r="B40" s="6" t="inlineStr">
        <is>
          <t>x</t>
        </is>
      </c>
      <c r="C40" s="6" t="inlineStr">
        <is>
          <t>For sculpting</t>
        </is>
      </c>
      <c r="D40" s="22" t="n">
        <v>1.4</v>
      </c>
    </row>
    <row r="41">
      <c r="A41" s="5" t="inlineStr">
        <is>
          <t>Lock-up DSCR</t>
        </is>
      </c>
      <c r="B41" s="6" t="inlineStr">
        <is>
          <t>x</t>
        </is>
      </c>
      <c r="C41" s="6" t="inlineStr">
        <is>
          <t>Distribution threshold</t>
        </is>
      </c>
      <c r="D41" s="22" t="n">
        <v>1.15</v>
      </c>
    </row>
    <row r="43">
      <c r="A43" s="3" t="inlineStr">
        <is>
          <t>EXIT INPUTS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5" t="inlineStr">
        <is>
          <t>Exit xRAB Multiple</t>
        </is>
      </c>
      <c r="B44" s="6" t="inlineStr">
        <is>
          <t>x</t>
        </is>
      </c>
      <c r="C44" s="6" t="inlineStr">
        <is>
          <t>Exit at RAB multiple</t>
        </is>
      </c>
      <c r="D44" s="22" t="n">
        <v>1.15</v>
      </c>
    </row>
    <row r="45">
      <c r="A45" s="5" t="inlineStr">
        <is>
          <t>Exit Year</t>
        </is>
      </c>
      <c r="B45" s="6" t="inlineStr">
        <is>
          <t>#</t>
        </is>
      </c>
      <c r="C45" s="6" t="inlineStr">
        <is>
          <t>Hold period</t>
        </is>
      </c>
      <c r="D45" s="12" t="n">
        <v>10</v>
      </c>
    </row>
    <row r="47">
      <c r="A47" s="3" t="inlineStr">
        <is>
          <t>TAX INPUTS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5" t="inlineStr">
        <is>
          <t>Tax Rate</t>
        </is>
      </c>
      <c r="B48" s="6" t="inlineStr">
        <is>
          <t>%</t>
        </is>
      </c>
      <c r="C48" s="6" t="inlineStr">
        <is>
          <t>Blended federal + state</t>
        </is>
      </c>
      <c r="D48" s="21" t="n">
        <v>0.25</v>
      </c>
    </row>
    <row r="50">
      <c r="A50" s="3" t="inlineStr">
        <is>
          <t>CALCULATED ITEMS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5" t="inlineStr">
        <is>
          <t>Construction Loan</t>
        </is>
      </c>
      <c r="B51" s="6" t="inlineStr">
        <is>
          <t>$mm</t>
        </is>
      </c>
      <c r="C51" s="6" t="inlineStr">
        <is>
          <t>Const Cost × Const Debt %</t>
        </is>
      </c>
      <c r="D51" s="15">
        <f>$D$19*$D$36</f>
        <v/>
      </c>
    </row>
    <row r="52">
      <c r="A52" s="5" t="inlineStr">
        <is>
          <t>Construction Interest</t>
        </is>
      </c>
      <c r="B52" s="6" t="inlineStr">
        <is>
          <t>$mm</t>
        </is>
      </c>
      <c r="C52" s="6" t="inlineStr">
        <is>
          <t>Capitalized into RAB</t>
        </is>
      </c>
      <c r="D52" s="15">
        <f>$D$51*$D$38</f>
        <v/>
      </c>
    </row>
    <row r="53">
      <c r="A53" s="5" t="inlineStr">
        <is>
          <t>RAB at COD</t>
        </is>
      </c>
      <c r="B53" s="6" t="inlineStr">
        <is>
          <t>$mm</t>
        </is>
      </c>
      <c r="C53" s="6" t="inlineStr">
        <is>
          <t>Dev + Const + Int</t>
        </is>
      </c>
      <c r="D53" s="15">
        <f>$D$17+$D$18+$D$19+$D$52</f>
        <v/>
      </c>
    </row>
    <row r="54">
      <c r="A54" s="5" t="inlineStr">
        <is>
          <t>Term Debt</t>
        </is>
      </c>
      <c r="B54" s="6" t="inlineStr">
        <is>
          <t>$mm</t>
        </is>
      </c>
      <c r="C54" s="6" t="inlineStr">
        <is>
          <t>RAB × Term Debt %</t>
        </is>
      </c>
      <c r="D54" s="15">
        <f>$D$53*$D$37</f>
        <v/>
      </c>
    </row>
    <row r="55">
      <c r="A55" s="5" t="inlineStr">
        <is>
          <t>Annual Depreciation</t>
        </is>
      </c>
      <c r="B55" s="6" t="inlineStr">
        <is>
          <t>$mm</t>
        </is>
      </c>
      <c r="C55" s="6" t="inlineStr">
        <is>
          <t>RAB / Asset Life</t>
        </is>
      </c>
      <c r="D55" s="15">
        <f>$D$53/$D$25</f>
        <v/>
      </c>
    </row>
    <row r="57">
      <c r="A57" s="3" t="inlineStr">
        <is>
          <t>CONSTRUCTION PHASE (Y0-Y2)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5" t="inlineStr">
        <is>
          <t>Development Equity Y0</t>
        </is>
      </c>
      <c r="B58" s="6" t="inlineStr">
        <is>
          <t>$mm</t>
        </is>
      </c>
      <c r="C58" s="6" t="inlineStr"/>
      <c r="D58" s="16">
        <f>$D$17</f>
        <v/>
      </c>
    </row>
    <row r="59">
      <c r="A59" s="5" t="inlineStr">
        <is>
          <t>Development Equity Y1</t>
        </is>
      </c>
      <c r="B59" s="6" t="inlineStr">
        <is>
          <t>$mm</t>
        </is>
      </c>
      <c r="C59" s="6" t="inlineStr"/>
      <c r="E59" s="16">
        <f>$D$18</f>
        <v/>
      </c>
    </row>
    <row r="60">
      <c r="A60" s="5" t="inlineStr">
        <is>
          <t>Construction Equity Y2</t>
        </is>
      </c>
      <c r="B60" s="6" t="inlineStr">
        <is>
          <t>$mm</t>
        </is>
      </c>
      <c r="C60" s="6" t="inlineStr">
        <is>
          <t>Const × (1-Debt%)</t>
        </is>
      </c>
      <c r="F60" s="16">
        <f>$D$19*(1-$D$36)</f>
        <v/>
      </c>
    </row>
    <row r="61">
      <c r="A61" s="5" t="inlineStr">
        <is>
          <t>Refinancing Equity Y3</t>
        </is>
      </c>
      <c r="B61" s="6" t="inlineStr">
        <is>
          <t>$mm</t>
        </is>
      </c>
      <c r="C61" s="6" t="inlineStr">
        <is>
          <t>Const Loan - Term Debt</t>
        </is>
      </c>
      <c r="G61" s="16">
        <f>($D$51+$D$52)-$D$54</f>
        <v/>
      </c>
    </row>
    <row r="62">
      <c r="A62" s="5" t="inlineStr">
        <is>
          <t>Total Equity Invested</t>
        </is>
      </c>
      <c r="B62" s="6" t="inlineStr">
        <is>
          <t>$mm</t>
        </is>
      </c>
      <c r="C62" s="6" t="inlineStr"/>
      <c r="D62" s="7">
        <f>D58+E59+F60+G61</f>
        <v/>
      </c>
    </row>
    <row r="64">
      <c r="A64" s="3" t="inlineStr">
        <is>
          <t>OPERATING MODEL (Y3+ Post-COD)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5" t="inlineStr">
        <is>
          <t>Tariff Rate</t>
        </is>
      </c>
      <c r="B65" s="6" t="inlineStr">
        <is>
          <t>$/kW-yr</t>
        </is>
      </c>
      <c r="C65" s="6" t="inlineStr">
        <is>
          <t>Escalated</t>
        </is>
      </c>
      <c r="E65" s="15">
        <f>0</f>
        <v/>
      </c>
      <c r="F65" s="15">
        <f>0</f>
        <v/>
      </c>
      <c r="G65" s="15">
        <f>$D$28*(1+$D$29)^(3-3)</f>
        <v/>
      </c>
      <c r="H65" s="15">
        <f>$D$28*(1+$D$29)^(4-3)</f>
        <v/>
      </c>
      <c r="I65" s="15">
        <f>$D$28*(1+$D$29)^(5-3)</f>
        <v/>
      </c>
      <c r="J65" s="15">
        <f>$D$28*(1+$D$29)^(6-3)</f>
        <v/>
      </c>
      <c r="K65" s="15">
        <f>$D$28*(1+$D$29)^(7-3)</f>
        <v/>
      </c>
      <c r="L65" s="15">
        <f>$D$28*(1+$D$29)^(8-3)</f>
        <v/>
      </c>
      <c r="M65" s="15">
        <f>$D$28*(1+$D$29)^(9-3)</f>
        <v/>
      </c>
      <c r="N65" s="15">
        <f>$D$28*(1+$D$29)^(10-3)</f>
        <v/>
      </c>
    </row>
    <row r="67">
      <c r="A67" s="5" t="inlineStr">
        <is>
          <t>Revenue</t>
        </is>
      </c>
      <c r="B67" s="6" t="inlineStr">
        <is>
          <t>$mm</t>
        </is>
      </c>
      <c r="C67" s="6" t="inlineStr">
        <is>
          <t>Cap × Tariff × Avail × 1000/1M</t>
        </is>
      </c>
      <c r="E67" s="15">
        <f>$D$23*E65*$D$24*1000/1000000</f>
        <v/>
      </c>
      <c r="F67" s="15">
        <f>$D$23*F65*$D$24*1000/1000000</f>
        <v/>
      </c>
      <c r="G67" s="15">
        <f>$D$23*G65*$D$24*1000/1000000</f>
        <v/>
      </c>
      <c r="H67" s="15">
        <f>$D$23*H65*$D$24*1000/1000000</f>
        <v/>
      </c>
      <c r="I67" s="15">
        <f>$D$23*I65*$D$24*1000/1000000</f>
        <v/>
      </c>
      <c r="J67" s="15">
        <f>$D$23*J65*$D$24*1000/1000000</f>
        <v/>
      </c>
      <c r="K67" s="15">
        <f>$D$23*K65*$D$24*1000/1000000</f>
        <v/>
      </c>
      <c r="L67" s="15">
        <f>$D$23*L65*$D$24*1000/1000000</f>
        <v/>
      </c>
      <c r="M67" s="15">
        <f>$D$23*M65*$D$24*1000/1000000</f>
        <v/>
      </c>
      <c r="N67" s="15">
        <f>$D$23*N65*$D$24*1000/1000000</f>
        <v/>
      </c>
    </row>
    <row r="68">
      <c r="A68" s="5" t="inlineStr">
        <is>
          <t>O&amp;M Cost</t>
        </is>
      </c>
      <c r="B68" s="6" t="inlineStr">
        <is>
          <t>$mm</t>
        </is>
      </c>
      <c r="C68" s="6" t="inlineStr">
        <is>
          <t>Post-COD only</t>
        </is>
      </c>
      <c r="E68" s="15">
        <f>0</f>
        <v/>
      </c>
      <c r="F68" s="15">
        <f>0</f>
        <v/>
      </c>
      <c r="G68" s="15">
        <f>$D$32*(1+$D$33)^(3-3)</f>
        <v/>
      </c>
      <c r="H68" s="15">
        <f>$D$32*(1+$D$33)^(4-3)</f>
        <v/>
      </c>
      <c r="I68" s="15">
        <f>$D$32*(1+$D$33)^(5-3)</f>
        <v/>
      </c>
      <c r="J68" s="15">
        <f>$D$32*(1+$D$33)^(6-3)</f>
        <v/>
      </c>
      <c r="K68" s="15">
        <f>$D$32*(1+$D$33)^(7-3)</f>
        <v/>
      </c>
      <c r="L68" s="15">
        <f>$D$32*(1+$D$33)^(8-3)</f>
        <v/>
      </c>
      <c r="M68" s="15">
        <f>$D$32*(1+$D$33)^(9-3)</f>
        <v/>
      </c>
      <c r="N68" s="15">
        <f>$D$32*(1+$D$33)^(10-3)</f>
        <v/>
      </c>
    </row>
    <row r="70">
      <c r="A70" s="5" t="inlineStr">
        <is>
          <t>EBITDA</t>
        </is>
      </c>
      <c r="B70" s="6" t="inlineStr">
        <is>
          <t>$mm</t>
        </is>
      </c>
      <c r="C70" s="6" t="inlineStr">
        <is>
          <t>Revenue minus OpEx</t>
        </is>
      </c>
      <c r="E70" s="7">
        <f>E67-E68</f>
        <v/>
      </c>
      <c r="F70" s="7">
        <f>F67-F68</f>
        <v/>
      </c>
      <c r="G70" s="7">
        <f>G67-G68</f>
        <v/>
      </c>
      <c r="H70" s="7">
        <f>H67-H68</f>
        <v/>
      </c>
      <c r="I70" s="7">
        <f>I67-I68</f>
        <v/>
      </c>
      <c r="J70" s="7">
        <f>J67-J68</f>
        <v/>
      </c>
      <c r="K70" s="7">
        <f>K67-K68</f>
        <v/>
      </c>
      <c r="L70" s="7">
        <f>L67-L68</f>
        <v/>
      </c>
      <c r="M70" s="7">
        <f>M67-M68</f>
        <v/>
      </c>
      <c r="N70" s="7">
        <f>N67-N68</f>
        <v/>
      </c>
    </row>
    <row r="72">
      <c r="A72" s="3" t="inlineStr">
        <is>
          <t>CASH FLOW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5" t="inlineStr">
        <is>
          <t>Depreciation</t>
        </is>
      </c>
      <c r="B73" s="6" t="inlineStr">
        <is>
          <t>$mm</t>
        </is>
      </c>
      <c r="C73" s="6" t="inlineStr">
        <is>
          <t>Post-COD only</t>
        </is>
      </c>
      <c r="E73" s="15">
        <f>0</f>
        <v/>
      </c>
      <c r="F73" s="15">
        <f>0</f>
        <v/>
      </c>
      <c r="G73" s="15">
        <f>$D$55</f>
        <v/>
      </c>
      <c r="H73" s="15">
        <f>$D$55</f>
        <v/>
      </c>
      <c r="I73" s="15">
        <f>$D$55</f>
        <v/>
      </c>
      <c r="J73" s="15">
        <f>$D$55</f>
        <v/>
      </c>
      <c r="K73" s="15">
        <f>$D$55</f>
        <v/>
      </c>
      <c r="L73" s="15">
        <f>$D$55</f>
        <v/>
      </c>
      <c r="M73" s="15">
        <f>$D$55</f>
        <v/>
      </c>
      <c r="N73" s="15">
        <f>$D$55</f>
        <v/>
      </c>
    </row>
    <row r="74">
      <c r="A74" s="5" t="inlineStr">
        <is>
          <t>EBIT</t>
        </is>
      </c>
      <c r="B74" s="6" t="inlineStr">
        <is>
          <t>$mm</t>
        </is>
      </c>
      <c r="C74" s="6" t="inlineStr">
        <is>
          <t>EBITDA - Depreciation</t>
        </is>
      </c>
      <c r="E74" s="15">
        <f>E70-E73</f>
        <v/>
      </c>
      <c r="F74" s="15">
        <f>F70-F73</f>
        <v/>
      </c>
      <c r="G74" s="15">
        <f>G70-G73</f>
        <v/>
      </c>
      <c r="H74" s="15">
        <f>H70-H73</f>
        <v/>
      </c>
      <c r="I74" s="15">
        <f>I70-I73</f>
        <v/>
      </c>
      <c r="J74" s="15">
        <f>J70-J73</f>
        <v/>
      </c>
      <c r="K74" s="15">
        <f>K70-K73</f>
        <v/>
      </c>
      <c r="L74" s="15">
        <f>L70-L73</f>
        <v/>
      </c>
      <c r="M74" s="15">
        <f>M70-M73</f>
        <v/>
      </c>
      <c r="N74" s="15">
        <f>N70-N73</f>
        <v/>
      </c>
    </row>
    <row r="75">
      <c r="A75" s="5" t="inlineStr">
        <is>
          <t>Taxes</t>
        </is>
      </c>
      <c r="B75" s="6" t="inlineStr">
        <is>
          <t>$mm</t>
        </is>
      </c>
      <c r="C75" s="6" t="inlineStr">
        <is>
          <t>MAX(0, EBIT) × Tax Rate</t>
        </is>
      </c>
      <c r="E75" s="15">
        <f>MAX(0,E74)*$D$48</f>
        <v/>
      </c>
      <c r="F75" s="15">
        <f>MAX(0,F74)*$D$48</f>
        <v/>
      </c>
      <c r="G75" s="15">
        <f>MAX(0,G74)*$D$48</f>
        <v/>
      </c>
      <c r="H75" s="15">
        <f>MAX(0,H74)*$D$48</f>
        <v/>
      </c>
      <c r="I75" s="15">
        <f>MAX(0,I74)*$D$48</f>
        <v/>
      </c>
      <c r="J75" s="15">
        <f>MAX(0,J74)*$D$48</f>
        <v/>
      </c>
      <c r="K75" s="15">
        <f>MAX(0,K74)*$D$48</f>
        <v/>
      </c>
      <c r="L75" s="15">
        <f>MAX(0,L74)*$D$48</f>
        <v/>
      </c>
      <c r="M75" s="15">
        <f>MAX(0,M74)*$D$48</f>
        <v/>
      </c>
      <c r="N75" s="15">
        <f>MAX(0,N74)*$D$48</f>
        <v/>
      </c>
    </row>
    <row r="76">
      <c r="A76" s="5" t="inlineStr">
        <is>
          <t>CFADS</t>
        </is>
      </c>
      <c r="B76" s="6" t="inlineStr">
        <is>
          <t>$mm</t>
        </is>
      </c>
      <c r="C76" s="6" t="inlineStr">
        <is>
          <t>EBITDA - Taxes</t>
        </is>
      </c>
      <c r="E76" s="7">
        <f>E70-E75</f>
        <v/>
      </c>
      <c r="F76" s="7">
        <f>F70-F75</f>
        <v/>
      </c>
      <c r="G76" s="7">
        <f>G70-G75</f>
        <v/>
      </c>
      <c r="H76" s="7">
        <f>H70-H75</f>
        <v/>
      </c>
      <c r="I76" s="7">
        <f>I70-I75</f>
        <v/>
      </c>
      <c r="J76" s="7">
        <f>J70-J75</f>
        <v/>
      </c>
      <c r="K76" s="7">
        <f>K70-K75</f>
        <v/>
      </c>
      <c r="L76" s="7">
        <f>L70-L75</f>
        <v/>
      </c>
      <c r="M76" s="7">
        <f>M70-M75</f>
        <v/>
      </c>
      <c r="N76" s="7">
        <f>N70-N75</f>
        <v/>
      </c>
    </row>
    <row r="78">
      <c r="A78" s="3" t="inlineStr">
        <is>
          <t>DEBT SCHEDULE (Sculpted 1.40x, Y3+ Only)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5" t="inlineStr">
        <is>
          <t>Beginning Balance</t>
        </is>
      </c>
      <c r="B79" s="6" t="inlineStr">
        <is>
          <t>$mm</t>
        </is>
      </c>
      <c r="C79" s="6" t="inlineStr"/>
      <c r="E79" s="15">
        <f>0</f>
        <v/>
      </c>
      <c r="F79" s="15">
        <f>0</f>
        <v/>
      </c>
      <c r="G79" s="15">
        <f>$D$54</f>
        <v/>
      </c>
      <c r="H79" s="15">
        <f>G84</f>
        <v/>
      </c>
      <c r="I79" s="15">
        <f>H84</f>
        <v/>
      </c>
      <c r="J79" s="15">
        <f>I84</f>
        <v/>
      </c>
      <c r="K79" s="15">
        <f>J84</f>
        <v/>
      </c>
      <c r="L79" s="15">
        <f>K84</f>
        <v/>
      </c>
      <c r="M79" s="15">
        <f>L84</f>
        <v/>
      </c>
      <c r="N79" s="15">
        <f>M84</f>
        <v/>
      </c>
    </row>
    <row r="80">
      <c r="A80" s="5" t="inlineStr">
        <is>
          <t>Interest</t>
        </is>
      </c>
      <c r="B80" s="6" t="inlineStr">
        <is>
          <t>$mm</t>
        </is>
      </c>
      <c r="C80" s="6" t="inlineStr">
        <is>
          <t>Beg Bal × Int Rate</t>
        </is>
      </c>
      <c r="E80" s="15">
        <f>E79*$D$38</f>
        <v/>
      </c>
      <c r="F80" s="15">
        <f>F79*$D$38</f>
        <v/>
      </c>
      <c r="G80" s="15">
        <f>G79*$D$38</f>
        <v/>
      </c>
      <c r="H80" s="15">
        <f>H79*$D$38</f>
        <v/>
      </c>
      <c r="I80" s="15">
        <f>I79*$D$38</f>
        <v/>
      </c>
      <c r="J80" s="15">
        <f>J79*$D$38</f>
        <v/>
      </c>
      <c r="K80" s="15">
        <f>K79*$D$38</f>
        <v/>
      </c>
      <c r="L80" s="15">
        <f>L79*$D$38</f>
        <v/>
      </c>
      <c r="M80" s="15">
        <f>M79*$D$38</f>
        <v/>
      </c>
      <c r="N80" s="15">
        <f>N79*$D$38</f>
        <v/>
      </c>
    </row>
    <row r="81">
      <c r="A81" s="5" t="inlineStr">
        <is>
          <t>Target Debt Service</t>
        </is>
      </c>
      <c r="B81" s="6" t="inlineStr">
        <is>
          <t>$mm</t>
        </is>
      </c>
      <c r="C81" s="6" t="inlineStr">
        <is>
          <t>CFADS / Target DSCR</t>
        </is>
      </c>
      <c r="E81" s="15">
        <f>IF(E76&gt;0,E76/$D$40,0)</f>
        <v/>
      </c>
      <c r="F81" s="15">
        <f>IF(F76&gt;0,F76/$D$40,0)</f>
        <v/>
      </c>
      <c r="G81" s="15">
        <f>IF(G76&gt;0,G76/$D$40,0)</f>
        <v/>
      </c>
      <c r="H81" s="15">
        <f>IF(H76&gt;0,H76/$D$40,0)</f>
        <v/>
      </c>
      <c r="I81" s="15">
        <f>IF(I76&gt;0,I76/$D$40,0)</f>
        <v/>
      </c>
      <c r="J81" s="15">
        <f>IF(J76&gt;0,J76/$D$40,0)</f>
        <v/>
      </c>
      <c r="K81" s="15">
        <f>IF(K76&gt;0,K76/$D$40,0)</f>
        <v/>
      </c>
      <c r="L81" s="15">
        <f>IF(L76&gt;0,L76/$D$40,0)</f>
        <v/>
      </c>
      <c r="M81" s="15">
        <f>IF(M76&gt;0,M76/$D$40,0)</f>
        <v/>
      </c>
      <c r="N81" s="15">
        <f>IF(N76&gt;0,N76/$D$40,0)</f>
        <v/>
      </c>
    </row>
    <row r="82">
      <c r="A82" s="5" t="inlineStr">
        <is>
          <t>Sculpted Principal</t>
        </is>
      </c>
      <c r="B82" s="6" t="inlineStr">
        <is>
          <t>$mm</t>
        </is>
      </c>
      <c r="C82" s="6" t="inlineStr">
        <is>
          <t>Target DS - Interest</t>
        </is>
      </c>
      <c r="E82" s="15">
        <f>MIN(MAX(0,E81-E80),E79)</f>
        <v/>
      </c>
      <c r="F82" s="15">
        <f>MIN(MAX(0,F81-F80),F79)</f>
        <v/>
      </c>
      <c r="G82" s="15">
        <f>MIN(MAX(0,G81-G80),G79)</f>
        <v/>
      </c>
      <c r="H82" s="15">
        <f>MIN(MAX(0,H81-H80),H79)</f>
        <v/>
      </c>
      <c r="I82" s="15">
        <f>MIN(MAX(0,I81-I80),I79)</f>
        <v/>
      </c>
      <c r="J82" s="15">
        <f>MIN(MAX(0,J81-J80),J79)</f>
        <v/>
      </c>
      <c r="K82" s="15">
        <f>MIN(MAX(0,K81-K80),K79)</f>
        <v/>
      </c>
      <c r="L82" s="15">
        <f>MIN(MAX(0,L81-L80),L79)</f>
        <v/>
      </c>
      <c r="M82" s="15">
        <f>MIN(MAX(0,M81-M80),M79)</f>
        <v/>
      </c>
      <c r="N82" s="15">
        <f>MIN(MAX(0,N81-N80),N79)</f>
        <v/>
      </c>
    </row>
    <row r="83">
      <c r="A83" s="5" t="inlineStr">
        <is>
          <t>Actual Debt Service</t>
        </is>
      </c>
      <c r="B83" s="6" t="inlineStr">
        <is>
          <t>$mm</t>
        </is>
      </c>
      <c r="C83" s="6" t="inlineStr">
        <is>
          <t>Interest + Principal</t>
        </is>
      </c>
      <c r="E83" s="15">
        <f>E80+E82</f>
        <v/>
      </c>
      <c r="F83" s="15">
        <f>F80+F82</f>
        <v/>
      </c>
      <c r="G83" s="15">
        <f>G80+G82</f>
        <v/>
      </c>
      <c r="H83" s="15">
        <f>H80+H82</f>
        <v/>
      </c>
      <c r="I83" s="15">
        <f>I80+I82</f>
        <v/>
      </c>
      <c r="J83" s="15">
        <f>J80+J82</f>
        <v/>
      </c>
      <c r="K83" s="15">
        <f>K80+K82</f>
        <v/>
      </c>
      <c r="L83" s="15">
        <f>L80+L82</f>
        <v/>
      </c>
      <c r="M83" s="15">
        <f>M80+M82</f>
        <v/>
      </c>
      <c r="N83" s="15">
        <f>N80+N82</f>
        <v/>
      </c>
    </row>
    <row r="84">
      <c r="A84" s="5" t="inlineStr">
        <is>
          <t>Ending Balance</t>
        </is>
      </c>
      <c r="B84" s="6" t="inlineStr">
        <is>
          <t>$mm</t>
        </is>
      </c>
      <c r="C84" s="6" t="inlineStr">
        <is>
          <t>Beg - Principal</t>
        </is>
      </c>
      <c r="E84" s="15">
        <f>MAX(0,E79-E82)</f>
        <v/>
      </c>
      <c r="F84" s="15">
        <f>MAX(0,F79-F82)</f>
        <v/>
      </c>
      <c r="G84" s="15">
        <f>MAX(0,G79-G82)</f>
        <v/>
      </c>
      <c r="H84" s="15">
        <f>MAX(0,H79-H82)</f>
        <v/>
      </c>
      <c r="I84" s="15">
        <f>MAX(0,I79-I82)</f>
        <v/>
      </c>
      <c r="J84" s="15">
        <f>MAX(0,J79-J82)</f>
        <v/>
      </c>
      <c r="K84" s="15">
        <f>MAX(0,K79-K82)</f>
        <v/>
      </c>
      <c r="L84" s="15">
        <f>MAX(0,L79-L82)</f>
        <v/>
      </c>
      <c r="M84" s="15">
        <f>MAX(0,M79-M82)</f>
        <v/>
      </c>
      <c r="N84" s="15">
        <f>MAX(0,N79-N82)</f>
        <v/>
      </c>
    </row>
    <row r="85">
      <c r="A85" s="5" t="inlineStr">
        <is>
          <t>Actual DSCR</t>
        </is>
      </c>
      <c r="B85" s="6" t="inlineStr">
        <is>
          <t>x</t>
        </is>
      </c>
      <c r="C85" s="6" t="inlineStr">
        <is>
          <t>CFADS / Actual DS</t>
        </is>
      </c>
      <c r="E85" s="19">
        <f>IF(E83&gt;0,E76/E83,0)</f>
        <v/>
      </c>
      <c r="F85" s="19">
        <f>IF(F83&gt;0,F76/F83,0)</f>
        <v/>
      </c>
      <c r="G85" s="19">
        <f>IF(G83&gt;0,G76/G83,0)</f>
        <v/>
      </c>
      <c r="H85" s="19">
        <f>IF(H83&gt;0,H76/H83,0)</f>
        <v/>
      </c>
      <c r="I85" s="19">
        <f>IF(I83&gt;0,I76/I83,0)</f>
        <v/>
      </c>
      <c r="J85" s="19">
        <f>IF(J83&gt;0,J76/J83,0)</f>
        <v/>
      </c>
      <c r="K85" s="19">
        <f>IF(K83&gt;0,K76/K83,0)</f>
        <v/>
      </c>
      <c r="L85" s="19">
        <f>IF(L83&gt;0,L76/L83,0)</f>
        <v/>
      </c>
      <c r="M85" s="19">
        <f>IF(M83&gt;0,M76/M83,0)</f>
        <v/>
      </c>
      <c r="N85" s="19">
        <f>IF(N83&gt;0,N76/N83,0)</f>
        <v/>
      </c>
    </row>
    <row r="87">
      <c r="A87" s="3" t="inlineStr">
        <is>
          <t>DSRA (Debt Service Reserve Account)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5" t="inlineStr">
        <is>
          <t>DSRA Target</t>
        </is>
      </c>
      <c r="B88" s="6" t="inlineStr">
        <is>
          <t>$mm</t>
        </is>
      </c>
      <c r="C88" s="6" t="inlineStr">
        <is>
          <t>Next Yr DS × DSRA Months / 12</t>
        </is>
      </c>
      <c r="D88" s="15">
        <f>G83*$D$39/12</f>
        <v/>
      </c>
      <c r="E88" s="15">
        <f>G83*$D$39/12</f>
        <v/>
      </c>
      <c r="F88" s="15">
        <f>G83*$D$39/12</f>
        <v/>
      </c>
      <c r="G88" s="15">
        <f>H83*$D$39/12</f>
        <v/>
      </c>
      <c r="H88" s="15">
        <f>I83*$D$39/12</f>
        <v/>
      </c>
      <c r="I88" s="15">
        <f>J83*$D$39/12</f>
        <v/>
      </c>
      <c r="J88" s="15">
        <f>K83*$D$39/12</f>
        <v/>
      </c>
      <c r="K88" s="15">
        <f>L83*$D$39/12</f>
        <v/>
      </c>
      <c r="L88" s="15">
        <f>M83*$D$39/12</f>
        <v/>
      </c>
      <c r="M88" s="15">
        <f>N83*$D$39/12</f>
        <v/>
      </c>
      <c r="N88" s="15">
        <f>0</f>
        <v/>
      </c>
    </row>
    <row r="89">
      <c r="A89" s="5" t="inlineStr">
        <is>
          <t>DSRA Beginning</t>
        </is>
      </c>
      <c r="B89" s="6" t="inlineStr">
        <is>
          <t>$mm</t>
        </is>
      </c>
      <c r="C89" s="6" t="inlineStr"/>
      <c r="D89" s="15">
        <f>0</f>
        <v/>
      </c>
      <c r="E89" s="15">
        <f>D91</f>
        <v/>
      </c>
      <c r="F89" s="15">
        <f>E91</f>
        <v/>
      </c>
      <c r="G89" s="15">
        <f>F91</f>
        <v/>
      </c>
      <c r="H89" s="15">
        <f>G91</f>
        <v/>
      </c>
      <c r="I89" s="15">
        <f>H91</f>
        <v/>
      </c>
      <c r="J89" s="15">
        <f>I91</f>
        <v/>
      </c>
      <c r="K89" s="15">
        <f>J91</f>
        <v/>
      </c>
      <c r="L89" s="15">
        <f>K91</f>
        <v/>
      </c>
      <c r="M89" s="15">
        <f>L91</f>
        <v/>
      </c>
      <c r="N89" s="15">
        <f>M91</f>
        <v/>
      </c>
    </row>
    <row r="90">
      <c r="A90" s="5" t="inlineStr">
        <is>
          <t>DSRA Funding/(Release)</t>
        </is>
      </c>
      <c r="B90" s="6" t="inlineStr">
        <is>
          <t>$mm</t>
        </is>
      </c>
      <c r="C90" s="6" t="inlineStr">
        <is>
          <t>Target - Beginning</t>
        </is>
      </c>
      <c r="D90" s="15">
        <f>D88-D89</f>
        <v/>
      </c>
      <c r="E90" s="15">
        <f>E88-E89</f>
        <v/>
      </c>
      <c r="F90" s="15">
        <f>F88-F89</f>
        <v/>
      </c>
      <c r="G90" s="15">
        <f>G88-G89</f>
        <v/>
      </c>
      <c r="H90" s="15">
        <f>H88-H89</f>
        <v/>
      </c>
      <c r="I90" s="15">
        <f>I88-I89</f>
        <v/>
      </c>
      <c r="J90" s="15">
        <f>J88-J89</f>
        <v/>
      </c>
      <c r="K90" s="15">
        <f>K88-K89</f>
        <v/>
      </c>
      <c r="L90" s="15">
        <f>L88-L89</f>
        <v/>
      </c>
      <c r="M90" s="15">
        <f>M88-M89</f>
        <v/>
      </c>
      <c r="N90" s="15">
        <f>N88-N89</f>
        <v/>
      </c>
    </row>
    <row r="91">
      <c r="A91" s="5" t="inlineStr">
        <is>
          <t>DSRA Ending</t>
        </is>
      </c>
      <c r="B91" s="6" t="inlineStr">
        <is>
          <t>$mm</t>
        </is>
      </c>
      <c r="C91" s="6" t="inlineStr">
        <is>
          <t>Beginning + Funding</t>
        </is>
      </c>
      <c r="D91" s="15">
        <f>D89+D90</f>
        <v/>
      </c>
      <c r="E91" s="15">
        <f>E89+E90</f>
        <v/>
      </c>
      <c r="F91" s="15">
        <f>F89+F90</f>
        <v/>
      </c>
      <c r="G91" s="15">
        <f>G89+G90</f>
        <v/>
      </c>
      <c r="H91" s="15">
        <f>H89+H90</f>
        <v/>
      </c>
      <c r="I91" s="15">
        <f>I89+I90</f>
        <v/>
      </c>
      <c r="J91" s="15">
        <f>J89+J90</f>
        <v/>
      </c>
      <c r="K91" s="15">
        <f>K89+K90</f>
        <v/>
      </c>
      <c r="L91" s="15">
        <f>L89+L90</f>
        <v/>
      </c>
      <c r="M91" s="15">
        <f>M89+M90</f>
        <v/>
      </c>
      <c r="N91" s="15">
        <f>N89+N90</f>
        <v/>
      </c>
    </row>
    <row r="93">
      <c r="A93" s="3" t="inlineStr">
        <is>
          <t>DISTRIBUTION WATERFALL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5" t="inlineStr">
        <is>
          <t>Cash Available for Distribution</t>
        </is>
      </c>
      <c r="B94" s="6" t="inlineStr">
        <is>
          <t>$mm</t>
        </is>
      </c>
      <c r="C94" s="6" t="inlineStr">
        <is>
          <t>CFADS - DS - DSRA Fund</t>
        </is>
      </c>
      <c r="E94" s="15">
        <f>E76-E83-E90</f>
        <v/>
      </c>
      <c r="F94" s="15">
        <f>F76-F83-F90</f>
        <v/>
      </c>
      <c r="G94" s="15">
        <f>G76-G83-G90</f>
        <v/>
      </c>
      <c r="H94" s="15">
        <f>H76-H83-H90</f>
        <v/>
      </c>
      <c r="I94" s="15">
        <f>I76-I83-I90</f>
        <v/>
      </c>
      <c r="J94" s="15">
        <f>J76-J83-J90</f>
        <v/>
      </c>
      <c r="K94" s="15">
        <f>K76-K83-K90</f>
        <v/>
      </c>
      <c r="L94" s="15">
        <f>L76-L83-L90</f>
        <v/>
      </c>
      <c r="M94" s="15">
        <f>M76-M83-M90</f>
        <v/>
      </c>
      <c r="N94" s="15">
        <f>N76-N83-N90</f>
        <v/>
      </c>
    </row>
    <row r="95">
      <c r="A95" s="5" t="inlineStr">
        <is>
          <t>Lock-up Test</t>
        </is>
      </c>
      <c r="B95" s="6" t="inlineStr"/>
      <c r="C95" s="6" t="inlineStr">
        <is>
          <t>PASS if DSCR ≥ Lock-up</t>
        </is>
      </c>
      <c r="E95" s="17">
        <f>IF(E85&gt;=$D$41,"PASS","LOCKED")</f>
        <v/>
      </c>
      <c r="F95" s="17">
        <f>IF(F85&gt;=$D$41,"PASS","LOCKED")</f>
        <v/>
      </c>
      <c r="G95" s="17">
        <f>IF(G85&gt;=$D$41,"PASS","LOCKED")</f>
        <v/>
      </c>
      <c r="H95" s="17">
        <f>IF(H85&gt;=$D$41,"PASS","LOCKED")</f>
        <v/>
      </c>
      <c r="I95" s="17">
        <f>IF(I85&gt;=$D$41,"PASS","LOCKED")</f>
        <v/>
      </c>
      <c r="J95" s="17">
        <f>IF(J85&gt;=$D$41,"PASS","LOCKED")</f>
        <v/>
      </c>
      <c r="K95" s="17">
        <f>IF(K85&gt;=$D$41,"PASS","LOCKED")</f>
        <v/>
      </c>
      <c r="L95" s="17">
        <f>IF(L85&gt;=$D$41,"PASS","LOCKED")</f>
        <v/>
      </c>
      <c r="M95" s="17">
        <f>IF(M85&gt;=$D$41,"PASS","LOCKED")</f>
        <v/>
      </c>
      <c r="N95" s="17">
        <f>IF(N85&gt;=$D$41,"PASS","LOCKED")</f>
        <v/>
      </c>
    </row>
    <row r="96">
      <c r="A96" s="5" t="inlineStr">
        <is>
          <t>Distributable Cash</t>
        </is>
      </c>
      <c r="B96" s="6" t="inlineStr">
        <is>
          <t>$mm</t>
        </is>
      </c>
      <c r="C96" s="6" t="inlineStr">
        <is>
          <t>If PASS, MAX(0, Cash Avail)</t>
        </is>
      </c>
      <c r="E96" s="7">
        <f>IF(E95="PASS",MAX(0,E94),0)</f>
        <v/>
      </c>
      <c r="F96" s="7">
        <f>IF(F95="PASS",MAX(0,F94),0)</f>
        <v/>
      </c>
      <c r="G96" s="7">
        <f>IF(G95="PASS",MAX(0,G94),0)</f>
        <v/>
      </c>
      <c r="H96" s="7">
        <f>IF(H95="PASS",MAX(0,H94),0)</f>
        <v/>
      </c>
      <c r="I96" s="7">
        <f>IF(I95="PASS",MAX(0,I94),0)</f>
        <v/>
      </c>
      <c r="J96" s="7">
        <f>IF(J95="PASS",MAX(0,J94),0)</f>
        <v/>
      </c>
      <c r="K96" s="7">
        <f>IF(K95="PASS",MAX(0,K94),0)</f>
        <v/>
      </c>
      <c r="L96" s="7">
        <f>IF(L95="PASS",MAX(0,L94),0)</f>
        <v/>
      </c>
      <c r="M96" s="7">
        <f>IF(M95="PASS",MAX(0,M94),0)</f>
        <v/>
      </c>
      <c r="N96" s="7">
        <f>IF(N95="PASS",MAX(0,N94),0)</f>
        <v/>
      </c>
    </row>
    <row r="97"/>
    <row r="98">
      <c r="A98" s="3" t="inlineStr">
        <is>
          <t>SOURCES &amp; USES (Total Construction)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18" t="inlineStr">
        <is>
          <t>USES</t>
        </is>
      </c>
      <c r="B99" s="6" t="inlineStr"/>
      <c r="C99" s="6" t="inlineStr"/>
    </row>
    <row r="100">
      <c r="A100" s="5" t="inlineStr">
        <is>
          <t xml:space="preserve">  Development Y0</t>
        </is>
      </c>
      <c r="B100" s="6" t="inlineStr">
        <is>
          <t>$mm</t>
        </is>
      </c>
      <c r="C100" s="6" t="inlineStr"/>
      <c r="D100" s="15">
        <f>$D$17</f>
        <v/>
      </c>
    </row>
    <row r="101">
      <c r="A101" s="5" t="inlineStr">
        <is>
          <t xml:space="preserve">  Development Y1</t>
        </is>
      </c>
      <c r="B101" s="6" t="inlineStr">
        <is>
          <t>$mm</t>
        </is>
      </c>
      <c r="C101" s="6" t="inlineStr"/>
      <c r="D101" s="15">
        <f>$D$18</f>
        <v/>
      </c>
    </row>
    <row r="102">
      <c r="A102" s="5" t="inlineStr">
        <is>
          <t xml:space="preserve">  Construction Y2</t>
        </is>
      </c>
      <c r="B102" s="6" t="inlineStr">
        <is>
          <t>$mm</t>
        </is>
      </c>
      <c r="C102" s="6" t="inlineStr"/>
      <c r="D102" s="15">
        <f>$D$19</f>
        <v/>
      </c>
    </row>
    <row r="103">
      <c r="A103" s="5" t="inlineStr">
        <is>
          <t xml:space="preserve">  Construction Interest</t>
        </is>
      </c>
      <c r="B103" s="6" t="inlineStr">
        <is>
          <t>$mm</t>
        </is>
      </c>
      <c r="C103" s="6" t="inlineStr"/>
      <c r="D103" s="15">
        <f>$D$52</f>
        <v/>
      </c>
    </row>
    <row r="104">
      <c r="A104" s="5" t="inlineStr">
        <is>
          <t xml:space="preserve">  DSRA Funding (at COD)</t>
        </is>
      </c>
      <c r="B104" s="6" t="inlineStr">
        <is>
          <t>$mm</t>
        </is>
      </c>
      <c r="C104" s="6" t="inlineStr"/>
      <c r="D104" s="15">
        <f>G88</f>
        <v/>
      </c>
    </row>
    <row r="105">
      <c r="A105" s="5" t="inlineStr">
        <is>
          <t>Total Uses</t>
        </is>
      </c>
      <c r="B105" s="6" t="inlineStr">
        <is>
          <t>$mm</t>
        </is>
      </c>
      <c r="C105" s="6" t="inlineStr"/>
      <c r="D105" s="7">
        <f>SUM(D100:D104)</f>
        <v/>
      </c>
    </row>
    <row r="106"/>
    <row r="107">
      <c r="A107" s="18" t="inlineStr">
        <is>
          <t>SOURCES</t>
        </is>
      </c>
      <c r="B107" s="6" t="inlineStr"/>
      <c r="C107" s="6" t="inlineStr"/>
    </row>
    <row r="108">
      <c r="A108" s="5" t="inlineStr">
        <is>
          <t xml:space="preserve">  Construction Loan</t>
        </is>
      </c>
      <c r="B108" s="6" t="inlineStr">
        <is>
          <t>$mm</t>
        </is>
      </c>
      <c r="C108" s="6" t="inlineStr"/>
      <c r="D108" s="15">
        <f>$D$51</f>
        <v/>
      </c>
    </row>
    <row r="109">
      <c r="A109" s="5" t="inlineStr">
        <is>
          <t xml:space="preserve">  Term Debt (at COD)</t>
        </is>
      </c>
      <c r="B109" s="6" t="inlineStr">
        <is>
          <t>$mm</t>
        </is>
      </c>
      <c r="C109" s="6" t="inlineStr"/>
      <c r="D109" s="15">
        <f>$D$54</f>
        <v/>
      </c>
    </row>
    <row r="110">
      <c r="A110" s="5" t="inlineStr">
        <is>
          <t xml:space="preserve">  Total Equity</t>
        </is>
      </c>
      <c r="B110" s="6" t="inlineStr">
        <is>
          <t>$mm</t>
        </is>
      </c>
      <c r="C110" s="6" t="inlineStr"/>
      <c r="D110" s="15">
        <f>D62</f>
        <v/>
      </c>
    </row>
    <row r="111">
      <c r="A111" s="5" t="inlineStr">
        <is>
          <t>Total Sources</t>
        </is>
      </c>
      <c r="B111" s="6" t="inlineStr">
        <is>
          <t>$mm</t>
        </is>
      </c>
      <c r="C111" s="6" t="inlineStr"/>
      <c r="D111" s="7">
        <f>D109+D110</f>
        <v/>
      </c>
    </row>
    <row r="112">
      <c r="A112" s="5" t="inlineStr">
        <is>
          <t>Balance Check</t>
        </is>
      </c>
      <c r="B112" s="6" t="inlineStr"/>
      <c r="C112" s="6" t="inlineStr"/>
      <c r="D112" s="10">
        <f>IF(ABS(D105-D111)&lt;0.01,"PASS","FAIL")</f>
        <v/>
      </c>
    </row>
    <row r="113"/>
    <row r="114">
      <c r="A114" s="3" t="inlineStr">
        <is>
          <t>EXIT CALCULATIONS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5" t="inlineStr">
        <is>
          <t>Cumulative Depreciation</t>
        </is>
      </c>
      <c r="B115" s="6" t="inlineStr">
        <is>
          <t>$mm</t>
        </is>
      </c>
      <c r="C115" s="6" t="inlineStr">
        <is>
          <t>Dep × Operating Years</t>
        </is>
      </c>
      <c r="N115" s="15">
        <f>$D$55*8</f>
        <v/>
      </c>
    </row>
    <row r="116">
      <c r="A116" s="5" t="inlineStr">
        <is>
          <t>Exit RAB</t>
        </is>
      </c>
      <c r="B116" s="6" t="inlineStr">
        <is>
          <t>$mm</t>
        </is>
      </c>
      <c r="C116" s="6" t="inlineStr">
        <is>
          <t>RAB at COD - Cum Dep</t>
        </is>
      </c>
      <c r="N116" s="15">
        <f>$D$53-N115</f>
        <v/>
      </c>
    </row>
    <row r="117">
      <c r="A117" s="5" t="inlineStr">
        <is>
          <t>Exit EV</t>
        </is>
      </c>
      <c r="B117" s="6" t="inlineStr">
        <is>
          <t>$mm</t>
        </is>
      </c>
      <c r="C117" s="6" t="inlineStr">
        <is>
          <t>Exit RAB × xRAB Multiple</t>
        </is>
      </c>
      <c r="N117" s="15">
        <f>N116*$D$44</f>
        <v/>
      </c>
    </row>
    <row r="118">
      <c r="A118" s="5" t="inlineStr">
        <is>
          <t>Exit Debt Payoff</t>
        </is>
      </c>
      <c r="B118" s="6" t="inlineStr">
        <is>
          <t>$mm</t>
        </is>
      </c>
      <c r="C118" s="6" t="inlineStr">
        <is>
          <t>Ending Bal at Exit</t>
        </is>
      </c>
      <c r="N118" s="15">
        <f>N84</f>
        <v/>
      </c>
    </row>
    <row r="119">
      <c r="A119" s="5" t="inlineStr">
        <is>
          <t>DSRA Release</t>
        </is>
      </c>
      <c r="B119" s="6" t="inlineStr">
        <is>
          <t>$mm</t>
        </is>
      </c>
      <c r="C119" s="6" t="inlineStr">
        <is>
          <t>DSRA Ending at Exit</t>
        </is>
      </c>
      <c r="N119" s="15">
        <f>N91</f>
        <v/>
      </c>
    </row>
    <row r="120">
      <c r="A120" s="5" t="inlineStr">
        <is>
          <t>Exit Equity Proceeds</t>
        </is>
      </c>
      <c r="B120" s="6" t="inlineStr">
        <is>
          <t>$mm</t>
        </is>
      </c>
      <c r="C120" s="6" t="inlineStr">
        <is>
          <t>Exit EV - Debt + DSRA</t>
        </is>
      </c>
      <c r="N120" s="7">
        <f>N117-N118+N119</f>
        <v/>
      </c>
    </row>
    <row r="121"/>
    <row r="122">
      <c r="A122" s="3" t="inlineStr">
        <is>
          <t>EQUITY RETURNS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5" t="inlineStr">
        <is>
          <t>Equity Cash Flow</t>
        </is>
      </c>
      <c r="B123" s="6" t="inlineStr">
        <is>
          <t>$mm</t>
        </is>
      </c>
      <c r="C123" s="6" t="inlineStr"/>
      <c r="D123" s="15">
        <f>-D58</f>
        <v/>
      </c>
      <c r="E123" s="15">
        <f>-E59</f>
        <v/>
      </c>
      <c r="F123" s="15">
        <f>-F60</f>
        <v/>
      </c>
      <c r="G123" s="15">
        <f>-G61-G90+G96</f>
        <v/>
      </c>
      <c r="H123" s="15">
        <f>H96</f>
        <v/>
      </c>
      <c r="I123" s="15">
        <f>I96</f>
        <v/>
      </c>
      <c r="J123" s="15">
        <f>J96</f>
        <v/>
      </c>
      <c r="K123" s="15">
        <f>K96</f>
        <v/>
      </c>
      <c r="L123" s="15">
        <f>L96</f>
        <v/>
      </c>
      <c r="M123" s="15">
        <f>M96</f>
        <v/>
      </c>
      <c r="N123" s="15">
        <f>N96+N120</f>
        <v/>
      </c>
    </row>
    <row r="124">
      <c r="A124" s="5" t="inlineStr">
        <is>
          <t>Levered IRR</t>
        </is>
      </c>
      <c r="B124" s="6" t="inlineStr">
        <is>
          <t>%</t>
        </is>
      </c>
      <c r="C124" s="6" t="inlineStr">
        <is>
          <t>IRR of Equity CFs</t>
        </is>
      </c>
      <c r="D124" s="20">
        <f>IRR(D123:N123)</f>
        <v/>
      </c>
    </row>
    <row r="125">
      <c r="A125" s="5" t="inlineStr">
        <is>
          <t>MOIC</t>
        </is>
      </c>
      <c r="B125" s="6" t="inlineStr">
        <is>
          <t>x</t>
        </is>
      </c>
      <c r="C125" s="6" t="inlineStr">
        <is>
          <t>Sum inflows / outflows</t>
        </is>
      </c>
      <c r="D125" s="19">
        <f>SUMIF(D123:N123,"&gt;0")/-SUMIF(D123:N123,"&lt;0")</f>
        <v/>
      </c>
    </row>
    <row r="126"/>
    <row r="127">
      <c r="A127" s="18" t="inlineStr">
        <is>
          <t>Unlevered Returns (for reference)</t>
        </is>
      </c>
      <c r="B127" s="6" t="inlineStr"/>
      <c r="C127" s="6" t="inlineStr"/>
    </row>
    <row r="128">
      <c r="A128" s="5" t="inlineStr">
        <is>
          <t>Unlevered Cash Flow</t>
        </is>
      </c>
      <c r="B128" s="6" t="inlineStr">
        <is>
          <t>$mm</t>
        </is>
      </c>
      <c r="C128" s="6" t="inlineStr"/>
      <c r="D128" s="15">
        <f>-$D$17</f>
        <v/>
      </c>
      <c r="E128" s="15">
        <f>-$D$18</f>
        <v/>
      </c>
      <c r="F128" s="15">
        <f>-$D$19</f>
        <v/>
      </c>
      <c r="G128" s="15">
        <f>G76</f>
        <v/>
      </c>
      <c r="H128" s="15">
        <f>H76</f>
        <v/>
      </c>
      <c r="I128" s="15">
        <f>I76</f>
        <v/>
      </c>
      <c r="J128" s="15">
        <f>J76</f>
        <v/>
      </c>
      <c r="K128" s="15">
        <f>K76</f>
        <v/>
      </c>
      <c r="L128" s="15">
        <f>L76</f>
        <v/>
      </c>
      <c r="M128" s="15">
        <f>M76</f>
        <v/>
      </c>
      <c r="N128" s="15">
        <f>N76+N117</f>
        <v/>
      </c>
    </row>
    <row r="129">
      <c r="A129" s="5" t="inlineStr">
        <is>
          <t>Unlevered IRR</t>
        </is>
      </c>
      <c r="B129" s="6" t="inlineStr">
        <is>
          <t>%</t>
        </is>
      </c>
      <c r="C129" s="6" t="inlineStr">
        <is>
          <t>IRR of Equity CFs</t>
        </is>
      </c>
      <c r="D129" s="20">
        <f>IRR(D128:N128)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2026-01-20T03:00:03Z</dcterms:created>
  <dcterms:modified xmlns:dcterms="http://purl.org/dc/terms/" xmlns:xsi="http://www.w3.org/2001/XMLSchema-instance" xsi:type="dcterms:W3CDTF">2026-01-20T05:25:43Z</dcterms:modified>
</cp:coreProperties>
</file>