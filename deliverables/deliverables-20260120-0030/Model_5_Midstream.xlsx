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IC Me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1" authorId="0" shapeId="0">
      <text>
        <t>Mandatory prepayment from excess cash. Lenders require this for merchant assets.</t>
      </text>
    </comment>
    <comment ref="C42" authorId="0" shapeId="0">
      <text>
        <t>Debt Service Coverage Ratio. Key lender metric. Target: 1.25-1.40x.</t>
      </text>
    </comment>
    <comment ref="C62" authorId="0" shapeId="0">
      <text>
        <t>Cash earnings before financing. What is available to service debt and pay equity.</t>
      </text>
    </comment>
    <comment ref="C68" authorId="0" shapeId="0">
      <text>
        <t>Cash Flow Available for Debt Service. What remains after taxes to pay interest and principal.</t>
      </text>
    </comment>
    <comment ref="C76" authorId="0" shapeId="0">
      <text>
        <t>Mandatory prepayment from excess cash. Lenders require this for merchant assets.</t>
      </text>
    </comment>
    <comment ref="C79" authorId="0" shapeId="0">
      <text>
        <t>Debt Service Coverage Ratio. Key lender metric. Target: 1.25-1.40x.</t>
      </text>
    </comment>
    <comment ref="C80" authorId="0" shapeId="0">
      <text>
        <t>Debt service using straight-line principal only. Used for DSRA to avoid circularity.</t>
      </text>
    </comment>
    <comment ref="C83" authorId="0" shapeId="0">
      <text>
        <t>Reserve sized to cover NEXT years debt service. Uses SCHEDULED DS to avoid circular reference.</t>
      </text>
    </comment>
    <comment ref="C113" authorId="0" shapeId="0">
      <text>
        <t>Return to equity after debt service. Should exceed cost of equity (12-15% for infra).</t>
      </text>
    </comment>
    <comment ref="C114" authorId="0" shapeId="0">
      <text>
        <t>Multiple on Invested Capital. Cash-on-cash return. 2.0x = doubled money.</t>
      </text>
    </comment>
    <comment ref="C118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>
        <is>
          <t>CFADS / Debt Service</t>
        </is>
      </c>
      <c r="D6" s="22">
        <f>MIN(E79:I79)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3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2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3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>
        <is>
          <t>CFADS / Debt Service</t>
        </is>
      </c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4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25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24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24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24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4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24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24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24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25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24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24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E56*E57*1000</f>
        <v/>
      </c>
      <c r="F59" s="16">
        <f>F56*F57*1000</f>
        <v/>
      </c>
      <c r="G59" s="16">
        <f>G56*G57*1000</f>
        <v/>
      </c>
      <c r="H59" s="16">
        <f>H56*H57*1000</f>
        <v/>
      </c>
      <c r="I59" s="16">
        <f>I56*I57*1000</f>
        <v/>
      </c>
      <c r="J59" s="16">
        <f>J56*J57*1000</f>
        <v/>
      </c>
      <c r="K59" s="16">
        <f>K56*K57*1000</f>
        <v/>
      </c>
      <c r="L59" s="16">
        <f>L56*L57*1000</f>
        <v/>
      </c>
      <c r="M59" s="16">
        <f>M56*M57*1000</f>
        <v/>
      </c>
      <c r="N59" s="16">
        <f>N56*N57*1000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>
        <is>
          <t>Revenue minus OpEx</t>
        </is>
      </c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MAX(0,E68-E74-E85)</f>
        <v/>
      </c>
      <c r="F75" s="16">
        <f>MAX(0,F68-F74-F85)</f>
        <v/>
      </c>
      <c r="G75" s="16">
        <f>MAX(0,G68-G74-G85)</f>
        <v/>
      </c>
      <c r="H75" s="16">
        <f>MAX(0,H68-H74-H85)</f>
        <v/>
      </c>
      <c r="I75" s="16">
        <f>MAX(0,I68-I74-I85)</f>
        <v/>
      </c>
      <c r="J75" s="16">
        <f>MAX(0,J68-J74-J85)</f>
        <v/>
      </c>
      <c r="K75" s="16">
        <f>MAX(0,K68-K74-K85)</f>
        <v/>
      </c>
      <c r="L75" s="16">
        <f>MAX(0,L68-L74-L85)</f>
        <v/>
      </c>
      <c r="M75" s="16">
        <f>MAX(0,M68-M74-M85)</f>
        <v/>
      </c>
      <c r="N75" s="16">
        <f>MAX(0,N68-N74-N85)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22">
        <f>IF(E74&gt;0,E68/E74,0)</f>
        <v/>
      </c>
      <c r="F79" s="22">
        <f>IF(F74&gt;0,F68/F74,0)</f>
        <v/>
      </c>
      <c r="G79" s="22">
        <f>IF(G74&gt;0,G68/G74,0)</f>
        <v/>
      </c>
      <c r="H79" s="22">
        <f>IF(H74&gt;0,H68/H74,0)</f>
        <v/>
      </c>
      <c r="I79" s="22">
        <f>IF(I74&gt;0,I68/I74,0)</f>
        <v/>
      </c>
      <c r="J79" s="22">
        <f>IF(J74&gt;0,J68/J74,0)</f>
        <v/>
      </c>
      <c r="K79" s="22">
        <f>IF(K74&gt;0,K68/K74,0)</f>
        <v/>
      </c>
      <c r="L79" s="22">
        <f>IF(L74&gt;0,L68/L74,0)</f>
        <v/>
      </c>
      <c r="M79" s="22">
        <f>IF(M74&gt;0,M68/M74,0)</f>
        <v/>
      </c>
      <c r="N79" s="22">
        <f>IF(N74&gt;0,N68/N74,0)</f>
        <v/>
      </c>
    </row>
    <row r="80">
      <c r="A80" s="5" t="inlineStr">
        <is>
          <t>Scheduled DS (for DSRA)</t>
        </is>
      </c>
      <c r="B80" s="6" t="inlineStr">
        <is>
          <t>$mm</t>
        </is>
      </c>
      <c r="C80" s="6" t="inlineStr">
        <is>
          <t>Based on straight-line amort, no sweep</t>
        </is>
      </c>
      <c r="E80" s="16">
        <f>MAX(0,$D$50-(1-1)*$D$52)*$D$38+$D$52</f>
        <v/>
      </c>
      <c r="F80" s="16">
        <f>MAX(0,$D$50-(2-1)*$D$52)*$D$38+$D$52</f>
        <v/>
      </c>
      <c r="G80" s="16">
        <f>MAX(0,$D$50-(3-1)*$D$52)*$D$38+$D$52</f>
        <v/>
      </c>
      <c r="H80" s="16">
        <f>MAX(0,$D$50-(4-1)*$D$52)*$D$38+$D$52</f>
        <v/>
      </c>
      <c r="I80" s="16">
        <f>MAX(0,$D$50-(5-1)*$D$52)*$D$38+$D$52</f>
        <v/>
      </c>
      <c r="J80" s="16">
        <f>MAX(0,$D$50-(6-1)*$D$52)*$D$38+$D$52</f>
        <v/>
      </c>
      <c r="K80" s="16">
        <f>MAX(0,$D$50-(7-1)*$D$52)*$D$38+$D$52</f>
        <v/>
      </c>
      <c r="L80" s="16">
        <f>MAX(0,$D$50-(8-1)*$D$52)*$D$38+$D$52</f>
        <v/>
      </c>
      <c r="M80" s="16">
        <f>MAX(0,$D$50-(9-1)*$D$52)*$D$38+$D$52</f>
        <v/>
      </c>
      <c r="N80" s="16">
        <f>MAX(0,$D$50-(10-1)*$D$52)*$D$38+$D$52</f>
        <v/>
      </c>
    </row>
    <row r="82">
      <c r="A82" s="3" t="inlineStr">
        <is>
          <t>DSRA (Debt Service Reserve Account)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DSRA Target</t>
        </is>
      </c>
      <c r="B83" s="6" t="inlineStr">
        <is>
          <t>$mm</t>
        </is>
      </c>
      <c r="C83" s="6" t="inlineStr">
        <is>
          <t>Next Yr Scheduled DS × DSRA Months / 12</t>
        </is>
      </c>
      <c r="D83" s="16">
        <f>E80*$D$40/12</f>
        <v/>
      </c>
      <c r="E83" s="16">
        <f>F80*$D$40/12</f>
        <v/>
      </c>
      <c r="F83" s="16">
        <f>G80*$D$40/12</f>
        <v/>
      </c>
      <c r="G83" s="16">
        <f>H80*$D$40/12</f>
        <v/>
      </c>
      <c r="H83" s="16">
        <f>I80*$D$40/12</f>
        <v/>
      </c>
      <c r="I83" s="16">
        <f>J80*$D$40/12</f>
        <v/>
      </c>
      <c r="J83" s="16">
        <f>K80*$D$40/12</f>
        <v/>
      </c>
      <c r="K83" s="16">
        <f>L80*$D$40/12</f>
        <v/>
      </c>
      <c r="L83" s="16">
        <f>M80*$D$40/12</f>
        <v/>
      </c>
      <c r="M83" s="16">
        <f>N80*$D$40/12</f>
        <v/>
      </c>
      <c r="N83" s="16">
        <f>0</f>
        <v/>
      </c>
    </row>
    <row r="84">
      <c r="A84" s="5" t="inlineStr">
        <is>
          <t>DSRA Beginning</t>
        </is>
      </c>
      <c r="B84" s="6" t="inlineStr">
        <is>
          <t>$mm</t>
        </is>
      </c>
      <c r="C84" s="6" t="inlineStr"/>
      <c r="D84" s="16">
        <f>0</f>
        <v/>
      </c>
      <c r="E84" s="16">
        <f>D86</f>
        <v/>
      </c>
      <c r="F84" s="16">
        <f>E86</f>
        <v/>
      </c>
      <c r="G84" s="16">
        <f>F86</f>
        <v/>
      </c>
      <c r="H84" s="16">
        <f>G86</f>
        <v/>
      </c>
      <c r="I84" s="16">
        <f>H86</f>
        <v/>
      </c>
      <c r="J84" s="16">
        <f>I86</f>
        <v/>
      </c>
      <c r="K84" s="16">
        <f>J86</f>
        <v/>
      </c>
      <c r="L84" s="16">
        <f>K86</f>
        <v/>
      </c>
      <c r="M84" s="16">
        <f>L86</f>
        <v/>
      </c>
      <c r="N84" s="16">
        <f>M86</f>
        <v/>
      </c>
    </row>
    <row r="85">
      <c r="A85" s="5" t="inlineStr">
        <is>
          <t>DSRA Funding/(Release)</t>
        </is>
      </c>
      <c r="B85" s="6" t="inlineStr">
        <is>
          <t>$mm</t>
        </is>
      </c>
      <c r="C85" s="6" t="inlineStr">
        <is>
          <t>Target - Beginning</t>
        </is>
      </c>
      <c r="D85" s="16">
        <f>D83-D84</f>
        <v/>
      </c>
      <c r="E85" s="16">
        <f>E83-E84</f>
        <v/>
      </c>
      <c r="F85" s="16">
        <f>F83-F84</f>
        <v/>
      </c>
      <c r="G85" s="16">
        <f>G83-G84</f>
        <v/>
      </c>
      <c r="H85" s="16">
        <f>H83-H84</f>
        <v/>
      </c>
      <c r="I85" s="16">
        <f>I83-I84</f>
        <v/>
      </c>
      <c r="J85" s="16">
        <f>J83-J84</f>
        <v/>
      </c>
      <c r="K85" s="16">
        <f>K83-K84</f>
        <v/>
      </c>
      <c r="L85" s="16">
        <f>L83-L84</f>
        <v/>
      </c>
      <c r="M85" s="16">
        <f>M83-M84</f>
        <v/>
      </c>
      <c r="N85" s="16">
        <f>N83-N84</f>
        <v/>
      </c>
    </row>
    <row r="86">
      <c r="A86" s="5" t="inlineStr">
        <is>
          <t>DSRA Ending</t>
        </is>
      </c>
      <c r="B86" s="6" t="inlineStr">
        <is>
          <t>$mm</t>
        </is>
      </c>
      <c r="C86" s="6" t="inlineStr">
        <is>
          <t>Beginning + Funding</t>
        </is>
      </c>
      <c r="D86" s="16">
        <f>D84+D85</f>
        <v/>
      </c>
      <c r="E86" s="16">
        <f>E84+E85</f>
        <v/>
      </c>
      <c r="F86" s="16">
        <f>F84+F85</f>
        <v/>
      </c>
      <c r="G86" s="16">
        <f>G84+G85</f>
        <v/>
      </c>
      <c r="H86" s="16">
        <f>H84+H85</f>
        <v/>
      </c>
      <c r="I86" s="16">
        <f>I84+I85</f>
        <v/>
      </c>
      <c r="J86" s="16">
        <f>J84+J85</f>
        <v/>
      </c>
      <c r="K86" s="16">
        <f>K84+K85</f>
        <v/>
      </c>
      <c r="L86" s="16">
        <f>L84+L85</f>
        <v/>
      </c>
      <c r="M86" s="16">
        <f>M84+M85</f>
        <v/>
      </c>
      <c r="N86" s="16">
        <f>N84+N85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E68-(E72+E77)-E85</f>
        <v/>
      </c>
      <c r="F88" s="16">
        <f>F68-(F72+F77)-F85</f>
        <v/>
      </c>
      <c r="G88" s="16">
        <f>G68-(G72+G77)-G85</f>
        <v/>
      </c>
      <c r="H88" s="16">
        <f>H68-(H72+H77)-H85</f>
        <v/>
      </c>
      <c r="I88" s="16">
        <f>I68-(I72+I77)-I85</f>
        <v/>
      </c>
      <c r="J88" s="16">
        <f>J68-(J72+J77)-J85</f>
        <v/>
      </c>
      <c r="K88" s="16">
        <f>K68-(K72+K77)-K85</f>
        <v/>
      </c>
      <c r="L88" s="16">
        <f>L68-(L72+L77)-L85</f>
        <v/>
      </c>
      <c r="M88" s="16">
        <f>M68-(M72+M77)-M85</f>
        <v/>
      </c>
      <c r="N88" s="16">
        <f>N68-(N72+N77)-N85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D83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K86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>
        <is>
          <t>IRR of Equity CFs</t>
        </is>
      </c>
      <c r="D113" s="23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22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>
        <is>
          <t>IRR of Equity CFs</t>
        </is>
      </c>
      <c r="D118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PROJECT PERMIAN GATHERING</t>
        </is>
      </c>
    </row>
    <row r="2">
      <c r="A2" s="27" t="inlineStr">
        <is>
          <t>INVESTMENT COMMITTEE MEMORANDUM</t>
        </is>
      </c>
    </row>
    <row r="3">
      <c r="A3" s="26" t="inlineStr">
        <is>
          <t>80 MMcf/d Gas Gathering System – Permian Basin</t>
        </is>
      </c>
    </row>
    <row r="4">
      <c r="A4" s="27" t="inlineStr">
        <is>
          <t>RECOMMENDATION: Proceed to final bid at $85mm</t>
        </is>
      </c>
    </row>
    <row r="5">
      <c r="A5" s="26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7" t="inlineStr">
        <is>
          <t>KEY METRICS</t>
        </is>
      </c>
    </row>
    <row r="7">
      <c r="A7" s="27" t="inlineStr">
        <is>
          <t>INVESTMENT THESIS</t>
        </is>
      </c>
    </row>
    <row r="8">
      <c r="A8" s="26" t="inlineStr">
        <is>
          <t>• Fee-for-service model eliminates commodity price exposure – paid to move gas, not sell it</t>
        </is>
      </c>
    </row>
    <row r="9">
      <c r="A9" s="26" t="inlineStr">
        <is>
          <t>• Active drilling program supports 3%/year volume growth through Y5</t>
        </is>
      </c>
    </row>
    <row r="10">
      <c r="A10" s="26" t="inlineStr">
        <is>
          <t>• Aggressive 75% sweep with 5-year tenor ensures debt payoff before decline phase</t>
        </is>
      </c>
    </row>
    <row r="11">
      <c r="A11" s="26" t="inlineStr">
        <is>
          <t>• Exit to producer seeking vertical integration or larger midstream for basin consolidation</t>
        </is>
      </c>
    </row>
    <row r="12">
      <c r="A12" s="27" t="inlineStr">
        <is>
          <t>KEY RISKS &amp; MITIGANTS</t>
        </is>
      </c>
    </row>
    <row r="13">
      <c r="A13" s="27" t="inlineStr">
        <is>
          <t>ANTICIPATED IC Q&amp;A</t>
        </is>
      </c>
    </row>
    <row r="14">
      <c r="A14" s="27" t="inlineStr">
        <is>
          <t>Q: Why the growth-then-decline profile?</t>
        </is>
      </c>
    </row>
    <row r="15">
      <c r="A15" s="26" t="inlineStr">
        <is>
          <t>A: Y1-Y5: Active drilling connects new wells (3%/year growth). Y6+: Drilling slows, existing wells deplete naturally (5%/year decline). Must structure debt to pay off before decline.</t>
        </is>
      </c>
    </row>
    <row r="16">
      <c r="A16" s="27" t="inlineStr">
        <is>
          <t>Q: Why 5-year tenor vs 7 years?</t>
        </is>
      </c>
    </row>
    <row r="17">
      <c r="A17" s="26" t="inlineStr">
        <is>
          <t>A: Debt must be repaid during growth phase when CFADS is strong. Cannot service debt with declining cash flows. Short tenor + aggressive sweep = de-risked debt.</t>
        </is>
      </c>
    </row>
    <row r="18">
      <c r="A18" s="27" t="inlineStr">
        <is>
          <t>Q: What's the commodity exposure?</t>
        </is>
      </c>
    </row>
    <row r="19">
      <c r="A19" s="26" t="inlineStr">
        <is>
          <t>A: Direct: None – fee-for-service. Indirect: Low gas prices → less drilling → lower volumes. Mitigated by acreage dedication and producer economics (breakeven $2.50/mmBtu).</t>
        </is>
      </c>
    </row>
    <row r="20">
      <c r="A20" s="27" t="inlineStr">
        <is>
          <t>Q: Why compressed 6.5x exit multiple?</t>
        </is>
      </c>
    </row>
    <row r="21">
      <c r="A21" s="26" t="inlineStr">
        <is>
          <t>A: Declining asset commands lower multiple than stable/growing. At exit (Y7), asset has 3-4 years of decline remaining. Buyer pricing reflects PDP-like valuation.</t>
        </is>
      </c>
    </row>
    <row r="22">
      <c r="A22" s="26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$85mm | - | -</t>
        </is>
      </c>
    </row>
    <row r="25">
      <c r="A25" s="28" t="inlineStr">
        <is>
          <t>Entry Multiple | 5.8x Y1 EBITDA | - | -</t>
        </is>
      </c>
    </row>
    <row r="26">
      <c r="A26" s="28" t="inlineStr">
        <is>
          <t>Leverage | 30% | - | -</t>
        </is>
      </c>
    </row>
    <row r="27">
      <c r="A27" s="28" t="inlineStr">
        <is>
          <t>Levered IRR | 19.2% | 15.5% | 23.0%</t>
        </is>
      </c>
    </row>
    <row r="28">
      <c r="A28" s="28" t="inlineStr">
        <is>
          <t>MOIC | 2.05x | 1.75x | 2.35x</t>
        </is>
      </c>
    </row>
    <row r="29">
      <c r="A29" s="28" t="inlineStr">
        <is>
          <t>Min DSCR (Y1-Y5) | 1.65x | 1.45x | 1.85x</t>
        </is>
      </c>
    </row>
    <row r="30">
      <c r="A30" s="26" t="inlineStr"/>
    </row>
    <row r="31">
      <c r="A31" s="28" t="inlineStr">
        <is>
          <t>Risk | Probability | Mitigant</t>
        </is>
      </c>
    </row>
    <row r="32">
      <c r="A32" s="28" t="inlineStr">
        <is>
          <t>Producer curtails drilling | Medium | Acreage dedication provides volume floor; producer needs gatherer to monetize</t>
        </is>
      </c>
    </row>
    <row r="33">
      <c r="A33" s="28" t="inlineStr">
        <is>
          <t>Volume decline steeper than forecast | Medium | 5%/year decline is conservative for Permian; exit at Y7 before steep decline</t>
        </is>
      </c>
    </row>
    <row r="34">
      <c r="A34" s="28" t="inlineStr">
        <is>
          <t>Single counterparty concentration | Medium | Producer is well-capitalized; consider credit support</t>
        </is>
      </c>
    </row>
    <row r="35">
      <c r="A35" s="28" t="inlineStr">
        <is>
          <t>Basin differentials widen | Low | Fee-based, not commodity-based; producer bears basis risk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2026-01-20T03:11:22Z</dcterms:modified>
</cp:coreProperties>
</file>