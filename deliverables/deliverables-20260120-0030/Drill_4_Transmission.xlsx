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4" t="inlineStr">
        <is>
          <t>Intuition Guide - 4_Transmission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9" t="inlineStr">
        <is>
          <t>--- SITUATION ---</t>
        </is>
      </c>
    </row>
    <row r="16">
      <c r="A16" s="32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32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32" t="inlineStr">
        <is>
          <t>Upon COD, revenue comes from FERC-approved tariff based on rate base and
allowed ROE. The line has 40+ years expected useful life.</t>
        </is>
      </c>
    </row>
    <row r="22">
      <c r="A22" s="32" t="inlineStr">
        <is>
          <t>Lotus is offered $180mm equity during construction. Commitment needed by
March 15, 2026.</t>
        </is>
      </c>
    </row>
    <row r="24">
      <c r="A24" s="29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9" t="inlineStr">
        <is>
          <t>--- STEP-BY-STEP MODEL BUILDING GUIDE ---</t>
        </is>
      </c>
    </row>
    <row r="31">
      <c r="A31" s="32" t="inlineStr">
        <is>
          <t>STEP-BY-STEP MODEL BUILDING GUIDE FOR TRANSMISSION</t>
        </is>
      </c>
    </row>
    <row r="32">
      <c r="A32" s="32" t="inlineStr"/>
    </row>
    <row r="33">
      <c r="A33" s="32" t="inlineStr">
        <is>
          <t>KEY DIFFERENCES:</t>
        </is>
      </c>
    </row>
    <row r="34">
      <c r="A34" s="32" t="inlineStr">
        <is>
          <t>- CONSTRUCTION PERIOD before operations</t>
        </is>
      </c>
    </row>
    <row r="35">
      <c r="A35" s="32" t="inlineStr">
        <is>
          <t>- AFUDC (capitalized interest) accrues to rate base</t>
        </is>
      </c>
    </row>
    <row r="36">
      <c r="A36" s="32" t="inlineStr">
        <is>
          <t>- Revenue is REGULATED formula, not market prices</t>
        </is>
      </c>
    </row>
    <row r="37">
      <c r="A37" s="32" t="inlineStr">
        <is>
          <t>- Two financing events: Construction loan -&gt; Term debt takeout</t>
        </is>
      </c>
    </row>
    <row r="38">
      <c r="A38" s="32" t="inlineStr"/>
    </row>
    <row r="39">
      <c r="A39" s="32" t="inlineStr">
        <is>
          <t>1. CONSTRUCTION PERIOD (Years 0-2)</t>
        </is>
      </c>
    </row>
    <row r="40">
      <c r="A40" s="32" t="inlineStr">
        <is>
          <t xml:space="preserve">   Development Costs: $35mm</t>
        </is>
      </c>
    </row>
    <row r="41">
      <c r="A41" s="32" t="inlineStr">
        <is>
          <t xml:space="preserve">   Construction Costs: $550mm</t>
        </is>
      </c>
    </row>
    <row r="42">
      <c r="A42" s="32" t="inlineStr">
        <is>
          <t xml:space="preserve">   Construction Loan: 85% of construction</t>
        </is>
      </c>
    </row>
    <row r="43">
      <c r="A43" s="32" t="inlineStr">
        <is>
          <t xml:space="preserve">   AFUDC = Const Loan x Interest x Avg Period = ~$35mm</t>
        </is>
      </c>
    </row>
    <row r="44">
      <c r="A44" s="32" t="inlineStr">
        <is>
          <t xml:space="preserve">   AFUDC accrues to Rate Base (non-cash during construction)</t>
        </is>
      </c>
    </row>
    <row r="45">
      <c r="A45" s="32" t="inlineStr"/>
    </row>
    <row r="46">
      <c r="A46" s="32" t="inlineStr">
        <is>
          <t>2. RATE BASE AT COD (Year 3)</t>
        </is>
      </c>
    </row>
    <row r="47">
      <c r="A47" s="32" t="inlineStr">
        <is>
          <t xml:space="preserve">   Rate Base = Development + Construction + AFUDC</t>
        </is>
      </c>
    </row>
    <row r="48">
      <c r="A48" s="32" t="inlineStr">
        <is>
          <t xml:space="preserve">   = $35mm + $550mm + ~$35mm = ~$620mm</t>
        </is>
      </c>
    </row>
    <row r="49">
      <c r="A49" s="32" t="inlineStr"/>
    </row>
    <row r="50">
      <c r="A50" s="32" t="inlineStr">
        <is>
          <t>3. TERM DEBT TAKEOUT AT COD</t>
        </is>
      </c>
    </row>
    <row r="51">
      <c r="A51" s="32" t="inlineStr">
        <is>
          <t xml:space="preserve">   At COD, Construction Loan repaid by Term Debt</t>
        </is>
      </c>
    </row>
    <row r="52">
      <c r="A52" s="32" t="inlineStr">
        <is>
          <t xml:space="preserve">   Term Debt = Rate Base x Regulatory Debt % = $620mm x 50% = $310mm</t>
        </is>
      </c>
    </row>
    <row r="53">
      <c r="A53" s="32" t="inlineStr">
        <is>
          <t xml:space="preserve">   Use RATE BASE (not construction cost) for debt sizing</t>
        </is>
      </c>
    </row>
    <row r="54">
      <c r="A54" s="32" t="inlineStr"/>
    </row>
    <row r="55">
      <c r="A55" s="32" t="inlineStr">
        <is>
          <t>4. REVENUE CALCULATION (Years 3+)</t>
        </is>
      </c>
    </row>
    <row r="56">
      <c r="A56" s="32" t="inlineStr">
        <is>
          <t xml:space="preserve">   Revenue = Rate Base x (ROE + Depreciation/Life + O&amp;M/RB)</t>
        </is>
      </c>
    </row>
    <row r="57">
      <c r="A57" s="32" t="inlineStr"/>
    </row>
    <row r="58">
      <c r="A58" s="32" t="inlineStr">
        <is>
          <t>5. S&amp;U - TWO EVENTS</t>
        </is>
      </c>
    </row>
    <row r="59">
      <c r="A59" s="32" t="inlineStr">
        <is>
          <t xml:space="preserve">   At Close (Y0): Development costs, fees -&gt; Const loan, equity</t>
        </is>
      </c>
    </row>
    <row r="60">
      <c r="A60" s="32" t="inlineStr">
        <is>
          <t xml:space="preserve">   At COD (Y3): Const loan payoff -&gt; Term debt, permanent equity</t>
        </is>
      </c>
    </row>
    <row r="61">
      <c r="A61" s="32" t="inlineStr">
        <is>
          <t xml:space="preserve">   DSRA is a USE (funded by debt/equity), NOT a Source</t>
        </is>
      </c>
    </row>
    <row r="62">
      <c r="A62" s="32" t="inlineStr"/>
    </row>
    <row r="63">
      <c r="A63" s="32" t="inlineStr">
        <is>
          <t>6. SCULPTED DEBT</t>
        </is>
      </c>
    </row>
    <row r="64">
      <c r="A64" s="32" t="inlineStr">
        <is>
          <t xml:space="preserve">   Regulated cash flows support sculpted debt at 1.40x DSCR</t>
        </is>
      </c>
    </row>
    <row r="66">
      <c r="A66" s="29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9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9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9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150-mile 345kV line, $180mm equity.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29" t="inlineStr">
        <is>
          <t>1. EXECUTIVE SUMMARY</t>
        </is>
      </c>
    </row>
    <row r="4">
      <c r="A4" s="30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29" t="inlineStr">
        <is>
          <t>2. TRANSACTION OVERVIEW</t>
        </is>
      </c>
    </row>
    <row r="7">
      <c r="A7" s="30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29" t="inlineStr">
        <is>
          <t>3. INVESTMENT THESIS</t>
        </is>
      </c>
    </row>
    <row r="10">
      <c r="A10" s="30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29" t="inlineStr">
        <is>
          <t>4. KEY RISKS</t>
        </is>
      </c>
    </row>
    <row r="13">
      <c r="A13" s="30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29" t="inlineStr">
        <is>
          <t>5. MITIGANTS</t>
        </is>
      </c>
    </row>
    <row r="16">
      <c r="A16" s="30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29" t="inlineStr">
        <is>
          <t>6. SENSITIVITIES</t>
        </is>
      </c>
    </row>
    <row r="19">
      <c r="A19" s="30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29" t="inlineStr">
        <is>
          <t>7. RECOMMENDATION</t>
        </is>
      </c>
    </row>
    <row r="22">
      <c r="A22" s="30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Transmission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9</v>
      </c>
    </row>
    <row r="15">
      <c r="A15" t="inlineStr">
        <is>
          <t>Exit Year</t>
        </is>
      </c>
      <c r="B15" t="inlineStr">
        <is>
          <t>yr</t>
        </is>
      </c>
      <c r="D15" s="42" t="n">
        <v>20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</v>
      </c>
    </row>
    <row r="26">
      <c r="A26" t="inlineStr">
        <is>
          <t>Debt Tenor</t>
        </is>
      </c>
      <c r="B26" t="inlineStr">
        <is>
          <t>yrs</t>
        </is>
      </c>
      <c r="D26" s="42" t="n">
        <v>20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50" t="inlineStr">
        <is>
          <t>═══ DRILL MODE: Key formulas blanked. Rebuild using Formula Logic hints in Column C. ═══</t>
        </is>
      </c>
    </row>
    <row r="3">
      <c r="A3" s="3" t="inlineStr">
        <is>
          <t>═══ AUDIT STRIP ═══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5" t="inlineStr">
        <is>
          <t>RAB at COD</t>
        </is>
      </c>
      <c r="B4" s="6" t="inlineStr">
        <is>
          <t>$mm</t>
        </is>
      </c>
      <c r="C4" s="6" t="inlineStr"/>
      <c r="D4" s="7">
        <f>$D$53</f>
        <v/>
      </c>
    </row>
    <row r="5">
      <c r="A5" s="5" t="inlineStr">
        <is>
          <t>Y3 EBITDA (First Op Year)</t>
        </is>
      </c>
      <c r="B5" s="6" t="inlineStr">
        <is>
          <t>$mm</t>
        </is>
      </c>
      <c r="C5" s="6" t="inlineStr"/>
      <c r="D5" s="7" t="inlineStr"/>
    </row>
    <row r="6">
      <c r="A6" s="33" t="inlineStr">
        <is>
          <t>═══════════ CONTROL PANEL ═══════════</t>
        </is>
      </c>
      <c r="B6" s="44" t="n"/>
      <c r="C6" s="44" t="n"/>
      <c r="D6" s="44" t="n"/>
    </row>
    <row r="7">
      <c r="A7" s="44" t="n"/>
      <c r="B7" s="44" t="n"/>
      <c r="C7" s="44" t="n"/>
      <c r="D7" s="44" t="n"/>
    </row>
    <row r="8">
      <c r="A8" s="45" t="inlineStr">
        <is>
          <t>REVENUE</t>
        </is>
      </c>
      <c r="B8" s="44" t="n"/>
      <c r="C8" s="44" t="n"/>
      <c r="D8" s="44" t="n"/>
    </row>
    <row r="9">
      <c r="A9" s="29" t="inlineStr">
        <is>
          <t>Revenue Mode</t>
        </is>
      </c>
      <c r="B9" s="44" t="n"/>
      <c r="C9" s="6" t="inlineStr">
        <is>
          <t>Merchant / Contracted / Hybrid</t>
        </is>
      </c>
      <c r="D9" s="42" t="inlineStr">
        <is>
          <t>Merchant</t>
        </is>
      </c>
    </row>
    <row r="10">
      <c r="A10" s="29" t="inlineStr">
        <is>
          <t>Contract End Year</t>
        </is>
      </c>
      <c r="B10" s="44" t="n"/>
      <c r="C10" s="6" t="inlineStr">
        <is>
          <t>0 = pure merchant; else year PPA ends</t>
        </is>
      </c>
      <c r="D10" s="42" t="n">
        <v>0</v>
      </c>
    </row>
    <row r="11">
      <c r="A11" s="44" t="n"/>
      <c r="B11" s="44" t="n"/>
      <c r="C11" s="44" t="n"/>
      <c r="D11" s="44" t="n"/>
    </row>
    <row r="12">
      <c r="A12" s="45" t="inlineStr">
        <is>
          <t>TIMING</t>
        </is>
      </c>
      <c r="B12" s="44" t="n"/>
      <c r="C12" s="44" t="n"/>
      <c r="D12" s="44" t="n"/>
    </row>
    <row r="13">
      <c r="A13" s="29" t="inlineStr">
        <is>
          <t>Exit Year</t>
        </is>
      </c>
      <c r="B13" s="44" t="n"/>
      <c r="C13" s="6" t="inlineStr">
        <is>
          <t>5 / 7 / 10</t>
        </is>
      </c>
      <c r="D13" s="42" t="n">
        <v>7</v>
      </c>
    </row>
    <row r="14">
      <c r="A14" s="29" t="inlineStr">
        <is>
          <t>Tax Credit End Year</t>
        </is>
      </c>
      <c r="B14" s="44" t="n"/>
      <c r="C14" s="6" t="inlineStr">
        <is>
          <t>0 = N/A; else last year of PTC/ITC</t>
        </is>
      </c>
      <c r="D14" s="42" t="n">
        <v>0</v>
      </c>
    </row>
    <row r="15">
      <c r="A15" s="44" t="n"/>
      <c r="B15" s="44" t="n"/>
      <c r="C15" s="44" t="n"/>
      <c r="D15" s="44" t="n"/>
    </row>
    <row r="16">
      <c r="A16" s="45" t="inlineStr">
        <is>
          <t>DEBT</t>
        </is>
      </c>
      <c r="B16" s="44" t="n"/>
      <c r="C16" s="44" t="n"/>
      <c r="D16" s="46" t="n"/>
    </row>
    <row r="17">
      <c r="A17" s="29" t="inlineStr">
        <is>
          <t>Debt Sweep</t>
        </is>
      </c>
      <c r="B17" s="44" t="n"/>
      <c r="C17" s="6" t="inlineStr">
        <is>
          <t>ON / OFF (for sweep assets)</t>
        </is>
      </c>
      <c r="D17" s="28" t="inlineStr">
        <is>
          <t>ON</t>
        </is>
      </c>
    </row>
    <row r="18">
      <c r="A18" s="29" t="inlineStr">
        <is>
          <t>Sweep %</t>
        </is>
      </c>
      <c r="B18" s="44" t="n"/>
      <c r="C18" s="6" t="inlineStr">
        <is>
          <t>Active when Sweep = ON</t>
        </is>
      </c>
      <c r="D18" s="27" t="inlineStr">
        <is>
          <t>75%</t>
        </is>
      </c>
    </row>
    <row r="19">
      <c r="A19" s="44" t="n"/>
      <c r="B19" s="44" t="n"/>
      <c r="C19" s="44" t="n"/>
      <c r="D19" s="47" t="n"/>
    </row>
    <row r="20">
      <c r="A20" s="45" t="inlineStr">
        <is>
          <t>OTHER</t>
        </is>
      </c>
      <c r="B20" s="44" t="n"/>
      <c r="C20" s="44" t="n"/>
      <c r="D20" s="48" t="n"/>
    </row>
    <row r="21">
      <c r="A21" s="49" t="inlineStr">
        <is>
          <t>Exit Method</t>
        </is>
      </c>
      <c r="B21" s="44" t="n"/>
      <c r="C21" s="6" t="inlineStr">
        <is>
          <t>Multiple / DCF</t>
        </is>
      </c>
      <c r="D21" s="42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3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D112</f>
        <v/>
      </c>
    </row>
    <row r="23">
      <c r="A23" s="5" t="inlineStr">
        <is>
          <t>Debt Payoff Y10</t>
        </is>
      </c>
      <c r="B23" s="6" t="inlineStr"/>
      <c r="C23" s="6" t="inlineStr"/>
      <c r="D23" s="10">
        <f>IF(N84&lt;1,"PASS","FAIL")</f>
        <v/>
      </c>
    </row>
    <row r="24">
      <c r="A24" s="5" t="inlineStr">
        <is>
          <t>Min DSCR ≥ 1.35x</t>
        </is>
      </c>
      <c r="B24" s="6" t="inlineStr"/>
      <c r="C24" s="6" t="inlineStr"/>
      <c r="D24" s="10" t="inlineStr"/>
    </row>
    <row r="25"/>
    <row r="26"/>
    <row r="27">
      <c r="A27" s="3" t="inlineStr">
        <is>
          <t>CONSTRUCTION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Development Cost Y0</t>
        </is>
      </c>
      <c r="B28" s="6" t="inlineStr">
        <is>
          <t>$mm</t>
        </is>
      </c>
      <c r="C28" s="6" t="inlineStr">
        <is>
          <t>Pre-construction dev</t>
        </is>
      </c>
      <c r="D28" s="11" t="n">
        <v>15</v>
      </c>
    </row>
    <row r="29">
      <c r="A29" s="5" t="inlineStr">
        <is>
          <t>Development Cost Y1</t>
        </is>
      </c>
      <c r="B29" s="6" t="inlineStr">
        <is>
          <t>$mm</t>
        </is>
      </c>
      <c r="C29" s="6" t="inlineStr">
        <is>
          <t>Continued development</t>
        </is>
      </c>
      <c r="D29" s="11" t="n">
        <v>20</v>
      </c>
    </row>
    <row r="30">
      <c r="A30" s="5" t="inlineStr">
        <is>
          <t>Construction Cost Y2</t>
        </is>
      </c>
      <c r="B30" s="6" t="inlineStr">
        <is>
          <t>$mm</t>
        </is>
      </c>
      <c r="C30" s="6" t="inlineStr">
        <is>
          <t>Main construction</t>
        </is>
      </c>
      <c r="D30" s="11" t="n">
        <v>550</v>
      </c>
    </row>
    <row r="31">
      <c r="A31" s="5" t="inlineStr">
        <is>
          <t>COD Year</t>
        </is>
      </c>
      <c r="B31" s="6" t="inlineStr">
        <is>
          <t>#</t>
        </is>
      </c>
      <c r="C31" s="6" t="inlineStr">
        <is>
          <t>Commercial operation date</t>
        </is>
      </c>
      <c r="D31" s="12" t="n">
        <v>3</v>
      </c>
    </row>
    <row r="32"/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Transfer Capacity</t>
        </is>
      </c>
      <c r="B34" s="6" t="inlineStr">
        <is>
          <t>MW</t>
        </is>
      </c>
      <c r="C34" s="6" t="inlineStr">
        <is>
          <t>Line rating</t>
        </is>
      </c>
      <c r="D34" s="12" t="n">
        <v>3200</v>
      </c>
    </row>
    <row r="35">
      <c r="A35" s="5" t="inlineStr">
        <is>
          <t>Availability</t>
        </is>
      </c>
      <c r="B35" s="6" t="inlineStr">
        <is>
          <t>%</t>
        </is>
      </c>
      <c r="C35" s="6" t="inlineStr">
        <is>
          <t>Expected uptime</t>
        </is>
      </c>
      <c r="D35" s="27" t="n">
        <v>0.98</v>
      </c>
    </row>
    <row r="36">
      <c r="A36" s="5" t="inlineStr">
        <is>
          <t>Asset Life</t>
        </is>
      </c>
      <c r="B36" s="6" t="inlineStr">
        <is>
          <t>years</t>
        </is>
      </c>
      <c r="C36" s="6" t="inlineStr">
        <is>
          <t>For depreciation</t>
        </is>
      </c>
      <c r="D36" s="12" t="n">
        <v>40</v>
      </c>
    </row>
    <row r="37"/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Tariff Rate</t>
        </is>
      </c>
      <c r="B39" s="6" t="inlineStr">
        <is>
          <t>$/kW-yr</t>
        </is>
      </c>
      <c r="C39" s="6" t="inlineStr">
        <is>
          <t>FERC-approved</t>
        </is>
      </c>
      <c r="D39" s="11" t="n">
        <v>32</v>
      </c>
    </row>
    <row r="40">
      <c r="A40" s="5" t="inlineStr">
        <is>
          <t>Tariff Escalation</t>
        </is>
      </c>
      <c r="B40" s="6" t="inlineStr">
        <is>
          <t>%/yr</t>
        </is>
      </c>
      <c r="C40" s="6" t="inlineStr">
        <is>
          <t>Rate increase</t>
        </is>
      </c>
      <c r="D40" s="27" t="n">
        <v>0.02</v>
      </c>
    </row>
    <row r="41"/>
    <row r="42">
      <c r="A42" s="3" t="inlineStr">
        <is>
          <t>COST INPUTS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Y3</t>
        </is>
      </c>
      <c r="B43" s="6" t="inlineStr">
        <is>
          <t>$mm</t>
        </is>
      </c>
      <c r="C43" s="6" t="inlineStr">
        <is>
          <t>Post-COD O&amp;M</t>
        </is>
      </c>
      <c r="D43" s="11" t="n">
        <v>3</v>
      </c>
    </row>
    <row r="44">
      <c r="A44" s="5" t="inlineStr">
        <is>
          <t>O&amp;M Escalation</t>
        </is>
      </c>
      <c r="B44" s="6" t="inlineStr">
        <is>
          <t>%/yr</t>
        </is>
      </c>
      <c r="C44" s="6" t="inlineStr">
        <is>
          <t>Cost escalation</t>
        </is>
      </c>
      <c r="D44" s="27" t="n">
        <v>0.025</v>
      </c>
    </row>
    <row r="45"/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Construction Debt %</t>
        </is>
      </c>
      <c r="B47" s="6" t="inlineStr">
        <is>
          <t>%</t>
        </is>
      </c>
      <c r="C47" s="6" t="inlineStr">
        <is>
          <t>Const loan leverage</t>
        </is>
      </c>
      <c r="D47" s="27" t="n">
        <v>0.85</v>
      </c>
    </row>
    <row r="48">
      <c r="A48" s="5" t="inlineStr">
        <is>
          <t>Term Debt % of RAB</t>
        </is>
      </c>
      <c r="B48" s="6" t="inlineStr">
        <is>
          <t>%</t>
        </is>
      </c>
      <c r="C48" s="6" t="inlineStr">
        <is>
          <t>Refi at COD</t>
        </is>
      </c>
      <c r="D48" s="27" t="n">
        <v>0.6</v>
      </c>
    </row>
    <row r="49">
      <c r="A49" s="5" t="inlineStr">
        <is>
          <t>Interest Rate</t>
        </is>
      </c>
      <c r="B49" s="6" t="inlineStr">
        <is>
          <t>%</t>
        </is>
      </c>
      <c r="C49" s="6" t="inlineStr">
        <is>
          <t>All-in rate</t>
        </is>
      </c>
      <c r="D49" s="27" t="n">
        <v>0.05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2" t="n">
        <v>6</v>
      </c>
    </row>
    <row r="51">
      <c r="A51" s="5" t="inlineStr">
        <is>
          <t>Target DSCR</t>
        </is>
      </c>
      <c r="B51" s="6" t="inlineStr">
        <is>
          <t>x</t>
        </is>
      </c>
      <c r="C51" s="6" t="inlineStr">
        <is>
          <t>For sculpting</t>
        </is>
      </c>
      <c r="D51" s="28" t="n">
        <v>1.4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8" t="n">
        <v>1.15</v>
      </c>
    </row>
    <row r="53"/>
    <row r="54">
      <c r="A54" s="3" t="inlineStr">
        <is>
          <t>EXIT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Exit xRAB Multiple</t>
        </is>
      </c>
      <c r="B55" s="6" t="inlineStr">
        <is>
          <t>x</t>
        </is>
      </c>
      <c r="C55" s="6" t="inlineStr">
        <is>
          <t>Exit at RAB multiple</t>
        </is>
      </c>
      <c r="D55" s="28" t="n">
        <v>1.15</v>
      </c>
    </row>
    <row r="56">
      <c r="A56" s="5" t="inlineStr">
        <is>
          <t>Exit Year</t>
        </is>
      </c>
      <c r="B56" s="6" t="inlineStr">
        <is>
          <t>#</t>
        </is>
      </c>
      <c r="C56" s="6" t="inlineStr">
        <is>
          <t>Hold period</t>
        </is>
      </c>
      <c r="D56" s="12" t="n">
        <v>10</v>
      </c>
    </row>
    <row r="57"/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7" t="n">
        <v>0.25</v>
      </c>
    </row>
    <row r="60"/>
    <row r="61">
      <c r="A61" s="3" t="inlineStr">
        <is>
          <t>CALCULATED ITEMS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Construction Loan</t>
        </is>
      </c>
      <c r="B62" s="6" t="inlineStr">
        <is>
          <t>$mm</t>
        </is>
      </c>
      <c r="C62" s="6" t="inlineStr">
        <is>
          <t>Const Cost × Const Debt %</t>
        </is>
      </c>
      <c r="D62" s="15">
        <f>$D$19*$D$36</f>
        <v/>
      </c>
    </row>
    <row r="63">
      <c r="A63" s="5" t="inlineStr">
        <is>
          <t>Construction Interest</t>
        </is>
      </c>
      <c r="B63" s="6" t="inlineStr">
        <is>
          <t>$mm</t>
        </is>
      </c>
      <c r="C63" s="6" t="inlineStr">
        <is>
          <t>Capitalized into RAB</t>
        </is>
      </c>
      <c r="D63" s="15" t="inlineStr"/>
    </row>
    <row r="64">
      <c r="A64" s="5" t="inlineStr">
        <is>
          <t>RAB at COD</t>
        </is>
      </c>
      <c r="B64" s="6" t="inlineStr">
        <is>
          <t>$mm</t>
        </is>
      </c>
      <c r="C64" s="6" t="inlineStr">
        <is>
          <t>Dev + Const + Int</t>
        </is>
      </c>
      <c r="D64" s="15">
        <f>$D$17+$D$18+$D$19+$D$52</f>
        <v/>
      </c>
    </row>
    <row r="65">
      <c r="A65" s="5" t="inlineStr">
        <is>
          <t>Term Debt</t>
        </is>
      </c>
      <c r="B65" s="6" t="inlineStr">
        <is>
          <t>$mm</t>
        </is>
      </c>
      <c r="C65" s="6" t="inlineStr">
        <is>
          <t>RAB × Term Debt %</t>
        </is>
      </c>
      <c r="D65" s="15">
        <f>$D$53*$D$37</f>
        <v/>
      </c>
    </row>
    <row r="66">
      <c r="A66" s="5" t="inlineStr">
        <is>
          <t>Annual Depreciation</t>
        </is>
      </c>
      <c r="B66" s="6" t="inlineStr">
        <is>
          <t>$mm</t>
        </is>
      </c>
      <c r="C66" s="6" t="inlineStr">
        <is>
          <t>RAB / Asset Life</t>
        </is>
      </c>
      <c r="D66" s="15">
        <f>$D$53/$D$25</f>
        <v/>
      </c>
    </row>
    <row r="67"/>
    <row r="68">
      <c r="A68" s="3" t="inlineStr">
        <is>
          <t>CONSTRUCTION PHASE (Y0-Y2)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Development Equity Y0</t>
        </is>
      </c>
      <c r="B69" s="6" t="inlineStr">
        <is>
          <t>$mm</t>
        </is>
      </c>
      <c r="C69" s="6" t="inlineStr"/>
      <c r="D69" s="16">
        <f>$D$17</f>
        <v/>
      </c>
    </row>
    <row r="70">
      <c r="A70" s="5" t="inlineStr">
        <is>
          <t>Development Equity Y1</t>
        </is>
      </c>
      <c r="B70" s="6" t="inlineStr">
        <is>
          <t>$mm</t>
        </is>
      </c>
      <c r="C70" s="6" t="inlineStr"/>
      <c r="E70" s="16">
        <f>$D$18</f>
        <v/>
      </c>
    </row>
    <row r="71">
      <c r="A71" s="5" t="inlineStr">
        <is>
          <t>Construction Equity Y2</t>
        </is>
      </c>
      <c r="B71" s="6" t="inlineStr">
        <is>
          <t>$mm</t>
        </is>
      </c>
      <c r="C71" s="6" t="inlineStr">
        <is>
          <t>Const × (1-Debt%)</t>
        </is>
      </c>
      <c r="F71" s="16">
        <f>$D$19*(1-$D$36)</f>
        <v/>
      </c>
    </row>
    <row r="72">
      <c r="A72" s="5" t="inlineStr">
        <is>
          <t>Refinancing Equity Y3</t>
        </is>
      </c>
      <c r="B72" s="6" t="inlineStr">
        <is>
          <t>$mm</t>
        </is>
      </c>
      <c r="C72" s="6" t="inlineStr">
        <is>
          <t>Const Loan - Term Debt</t>
        </is>
      </c>
      <c r="G72" s="16">
        <f>($D$51+$D$52)-$D$54</f>
        <v/>
      </c>
    </row>
    <row r="73">
      <c r="A73" s="5" t="inlineStr">
        <is>
          <t>Total Equity Invested</t>
        </is>
      </c>
      <c r="B73" s="6" t="inlineStr">
        <is>
          <t>$mm</t>
        </is>
      </c>
      <c r="C73" s="6" t="inlineStr"/>
      <c r="D73" s="7">
        <f>D58+E59+F60+G61</f>
        <v/>
      </c>
    </row>
    <row r="74"/>
    <row r="75">
      <c r="A75" s="3" t="inlineStr">
        <is>
          <t>OPERATING MODEL (Y3+ Post-COD)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Tariff Rate</t>
        </is>
      </c>
      <c r="B76" s="6" t="inlineStr">
        <is>
          <t>$/kW-yr</t>
        </is>
      </c>
      <c r="C76" s="6" t="inlineStr">
        <is>
          <t>Escalated</t>
        </is>
      </c>
      <c r="E76" s="15">
        <f>0</f>
        <v/>
      </c>
      <c r="F76" s="15">
        <f>0</f>
        <v/>
      </c>
      <c r="G76" s="15">
        <f>$D$28*(1+$D$29)^(3-3)</f>
        <v/>
      </c>
      <c r="H76" s="15">
        <f>$D$28*(1+$D$29)^(4-3)</f>
        <v/>
      </c>
      <c r="I76" s="15">
        <f>$D$28*(1+$D$29)^(5-3)</f>
        <v/>
      </c>
      <c r="J76" s="15">
        <f>$D$28*(1+$D$29)^(6-3)</f>
        <v/>
      </c>
      <c r="K76" s="15">
        <f>$D$28*(1+$D$29)^(7-3)</f>
        <v/>
      </c>
      <c r="L76" s="15">
        <f>$D$28*(1+$D$29)^(8-3)</f>
        <v/>
      </c>
      <c r="M76" s="15">
        <f>$D$28*(1+$D$29)^(9-3)</f>
        <v/>
      </c>
      <c r="N76" s="15">
        <f>$D$28*(1+$D$29)^(10-3)</f>
        <v/>
      </c>
    </row>
    <row r="77"/>
    <row r="78">
      <c r="A78" s="5" t="inlineStr">
        <is>
          <t>Revenue</t>
        </is>
      </c>
      <c r="B78" s="6" t="inlineStr">
        <is>
          <t>$mm</t>
        </is>
      </c>
      <c r="C78" s="6" t="inlineStr">
        <is>
          <t>Cap × Tariff × Avail × 1000/1M</t>
        </is>
      </c>
      <c r="E78" s="15" t="inlineStr"/>
      <c r="F78" s="15" t="inlineStr"/>
      <c r="G78" s="15" t="inlineStr"/>
      <c r="H78" s="15" t="inlineStr"/>
      <c r="I78" s="15" t="inlineStr"/>
      <c r="J78" s="15" t="inlineStr"/>
      <c r="K78" s="15" t="inlineStr"/>
      <c r="L78" s="15" t="inlineStr"/>
      <c r="M78" s="15" t="inlineStr"/>
      <c r="N78" s="15" t="inlineStr"/>
    </row>
    <row r="79">
      <c r="A79" s="5" t="inlineStr">
        <is>
          <t>O&amp;M Cost</t>
        </is>
      </c>
      <c r="B79" s="6" t="inlineStr">
        <is>
          <t>$mm</t>
        </is>
      </c>
      <c r="C79" s="6" t="inlineStr">
        <is>
          <t>Post-COD only</t>
        </is>
      </c>
      <c r="E79" s="15">
        <f>0</f>
        <v/>
      </c>
      <c r="F79" s="15">
        <f>0</f>
        <v/>
      </c>
      <c r="G79" s="15">
        <f>$D$32*(1+$D$33)^(3-3)</f>
        <v/>
      </c>
      <c r="H79" s="15">
        <f>$D$32*(1+$D$33)^(4-3)</f>
        <v/>
      </c>
      <c r="I79" s="15">
        <f>$D$32*(1+$D$33)^(5-3)</f>
        <v/>
      </c>
      <c r="J79" s="15">
        <f>$D$32*(1+$D$33)^(6-3)</f>
        <v/>
      </c>
      <c r="K79" s="15">
        <f>$D$32*(1+$D$33)^(7-3)</f>
        <v/>
      </c>
      <c r="L79" s="15">
        <f>$D$32*(1+$D$33)^(8-3)</f>
        <v/>
      </c>
      <c r="M79" s="15">
        <f>$D$32*(1+$D$33)^(9-3)</f>
        <v/>
      </c>
      <c r="N79" s="15">
        <f>$D$32*(1+$D$33)^(10-3)</f>
        <v/>
      </c>
    </row>
    <row r="80"/>
    <row r="81">
      <c r="A81" s="5" t="inlineStr">
        <is>
          <t>EBITDA</t>
        </is>
      </c>
      <c r="B81" s="6" t="inlineStr">
        <is>
          <t>$mm</t>
        </is>
      </c>
      <c r="C81" s="6" t="inlineStr"/>
      <c r="E81" s="7" t="inlineStr"/>
      <c r="F81" s="7" t="inlineStr"/>
      <c r="G81" s="7" t="inlineStr"/>
      <c r="H81" s="7" t="inlineStr"/>
      <c r="I81" s="7" t="inlineStr"/>
      <c r="J81" s="7" t="inlineStr"/>
      <c r="K81" s="7" t="inlineStr"/>
      <c r="L81" s="7" t="inlineStr"/>
      <c r="M81" s="7" t="inlineStr"/>
      <c r="N81" s="7" t="inlineStr"/>
    </row>
    <row r="82"/>
    <row r="83">
      <c r="A83" s="3" t="inlineStr">
        <is>
          <t>CASH FLOW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Depreciation</t>
        </is>
      </c>
      <c r="B84" s="6" t="inlineStr">
        <is>
          <t>$mm</t>
        </is>
      </c>
      <c r="C84" s="6" t="inlineStr">
        <is>
          <t>Post-COD only</t>
        </is>
      </c>
      <c r="E84" s="15">
        <f>0</f>
        <v/>
      </c>
      <c r="F84" s="15">
        <f>0</f>
        <v/>
      </c>
      <c r="G84" s="15">
        <f>$D$55</f>
        <v/>
      </c>
      <c r="H84" s="15">
        <f>$D$55</f>
        <v/>
      </c>
      <c r="I84" s="15">
        <f>$D$55</f>
        <v/>
      </c>
      <c r="J84" s="15">
        <f>$D$55</f>
        <v/>
      </c>
      <c r="K84" s="15">
        <f>$D$55</f>
        <v/>
      </c>
      <c r="L84" s="15">
        <f>$D$55</f>
        <v/>
      </c>
      <c r="M84" s="15">
        <f>$D$55</f>
        <v/>
      </c>
      <c r="N84" s="15">
        <f>$D$55</f>
        <v/>
      </c>
    </row>
    <row r="85">
      <c r="A85" s="5" t="inlineStr">
        <is>
          <t>EBIT</t>
        </is>
      </c>
      <c r="B85" s="6" t="inlineStr">
        <is>
          <t>$mm</t>
        </is>
      </c>
      <c r="C85" s="6" t="inlineStr">
        <is>
          <t>EBITDA - Depreciation</t>
        </is>
      </c>
      <c r="E85" s="15" t="inlineStr"/>
      <c r="F85" s="15" t="inlineStr"/>
      <c r="G85" s="15" t="inlineStr"/>
      <c r="H85" s="15" t="inlineStr"/>
      <c r="I85" s="15" t="inlineStr"/>
      <c r="J85" s="15" t="inlineStr"/>
      <c r="K85" s="15" t="inlineStr"/>
      <c r="L85" s="15" t="inlineStr"/>
      <c r="M85" s="15" t="inlineStr"/>
      <c r="N85" s="15" t="inlineStr"/>
    </row>
    <row r="86">
      <c r="A86" s="5" t="inlineStr">
        <is>
          <t>Taxes</t>
        </is>
      </c>
      <c r="B86" s="6" t="inlineStr">
        <is>
          <t>$mm</t>
        </is>
      </c>
      <c r="C86" s="6" t="inlineStr">
        <is>
          <t>MAX(0, EBIT) × Tax Rate</t>
        </is>
      </c>
      <c r="E86" s="15" t="inlineStr"/>
      <c r="F86" s="15" t="inlineStr"/>
      <c r="G86" s="15" t="inlineStr"/>
      <c r="H86" s="15" t="inlineStr"/>
      <c r="I86" s="15" t="inlineStr"/>
      <c r="J86" s="15" t="inlineStr"/>
      <c r="K86" s="15" t="inlineStr"/>
      <c r="L86" s="15" t="inlineStr"/>
      <c r="M86" s="15" t="inlineStr"/>
      <c r="N86" s="15" t="inlineStr"/>
    </row>
    <row r="87">
      <c r="A87" s="5" t="inlineStr">
        <is>
          <t>CFADS</t>
        </is>
      </c>
      <c r="B87" s="6" t="inlineStr">
        <is>
          <t>$mm</t>
        </is>
      </c>
      <c r="C87" s="6" t="inlineStr">
        <is>
          <t>EBITDA - Taxes</t>
        </is>
      </c>
      <c r="E87" s="7" t="inlineStr"/>
      <c r="F87" s="7" t="inlineStr"/>
      <c r="G87" s="7" t="inlineStr"/>
      <c r="H87" s="7" t="inlineStr"/>
      <c r="I87" s="7" t="inlineStr"/>
      <c r="J87" s="7" t="inlineStr"/>
      <c r="K87" s="7" t="inlineStr"/>
      <c r="L87" s="7" t="inlineStr"/>
      <c r="M87" s="7" t="inlineStr"/>
      <c r="N87" s="7" t="inlineStr"/>
    </row>
    <row r="88"/>
    <row r="89">
      <c r="A89" s="3" t="inlineStr">
        <is>
          <t>DEBT SCHEDULE (Sculpted 1.40x, Y3+ Only)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Beginning Balance</t>
        </is>
      </c>
      <c r="B90" s="6" t="inlineStr">
        <is>
          <t>$mm</t>
        </is>
      </c>
      <c r="C90" s="6" t="inlineStr"/>
      <c r="E90" s="15">
        <f>0</f>
        <v/>
      </c>
      <c r="F90" s="15">
        <f>0</f>
        <v/>
      </c>
      <c r="G90" s="15">
        <f>$D$54</f>
        <v/>
      </c>
      <c r="H90" s="15">
        <f>G84</f>
        <v/>
      </c>
      <c r="I90" s="15">
        <f>H84</f>
        <v/>
      </c>
      <c r="J90" s="15">
        <f>I84</f>
        <v/>
      </c>
      <c r="K90" s="15">
        <f>J84</f>
        <v/>
      </c>
      <c r="L90" s="15">
        <f>K84</f>
        <v/>
      </c>
      <c r="M90" s="15">
        <f>L84</f>
        <v/>
      </c>
      <c r="N90" s="15">
        <f>M84</f>
        <v/>
      </c>
    </row>
    <row r="91">
      <c r="A91" s="5" t="inlineStr">
        <is>
          <t>Interest</t>
        </is>
      </c>
      <c r="B91" s="6" t="inlineStr">
        <is>
          <t>$mm</t>
        </is>
      </c>
      <c r="C91" s="6" t="inlineStr">
        <is>
          <t>Beg Bal × Int Rate</t>
        </is>
      </c>
      <c r="E91" s="15" t="inlineStr"/>
      <c r="F91" s="15" t="inlineStr"/>
      <c r="G91" s="15" t="inlineStr"/>
      <c r="H91" s="15" t="inlineStr"/>
      <c r="I91" s="15" t="inlineStr"/>
      <c r="J91" s="15" t="inlineStr"/>
      <c r="K91" s="15" t="inlineStr"/>
      <c r="L91" s="15" t="inlineStr"/>
      <c r="M91" s="15" t="inlineStr"/>
      <c r="N91" s="15" t="inlineStr"/>
    </row>
    <row r="92">
      <c r="A92" s="5" t="inlineStr">
        <is>
          <t>Target Debt Service</t>
        </is>
      </c>
      <c r="B92" s="6" t="inlineStr">
        <is>
          <t>$mm</t>
        </is>
      </c>
      <c r="C92" s="6" t="inlineStr">
        <is>
          <t>CFADS / Target DSCR</t>
        </is>
      </c>
      <c r="E92" s="15" t="inlineStr"/>
      <c r="F92" s="15" t="inlineStr"/>
      <c r="G92" s="15" t="inlineStr"/>
      <c r="H92" s="15" t="inlineStr"/>
      <c r="I92" s="15" t="inlineStr"/>
      <c r="J92" s="15" t="inlineStr"/>
      <c r="K92" s="15" t="inlineStr"/>
      <c r="L92" s="15" t="inlineStr"/>
      <c r="M92" s="15" t="inlineStr"/>
      <c r="N92" s="15" t="inlineStr"/>
    </row>
    <row r="93">
      <c r="A93" s="5" t="inlineStr">
        <is>
          <t>Sculpted Principal</t>
        </is>
      </c>
      <c r="B93" s="6" t="inlineStr">
        <is>
          <t>$mm</t>
        </is>
      </c>
      <c r="C93" s="6" t="inlineStr">
        <is>
          <t>Target DS - Interest</t>
        </is>
      </c>
      <c r="E93" s="15" t="inlineStr"/>
      <c r="F93" s="15" t="inlineStr"/>
      <c r="G93" s="15" t="inlineStr"/>
      <c r="H93" s="15" t="inlineStr"/>
      <c r="I93" s="15" t="inlineStr"/>
      <c r="J93" s="15" t="inlineStr"/>
      <c r="K93" s="15" t="inlineStr"/>
      <c r="L93" s="15" t="inlineStr"/>
      <c r="M93" s="15" t="inlineStr"/>
      <c r="N93" s="15" t="inlineStr"/>
    </row>
    <row r="94">
      <c r="A94" s="5" t="inlineStr">
        <is>
          <t>Actual Debt Service</t>
        </is>
      </c>
      <c r="B94" s="6" t="inlineStr">
        <is>
          <t>$mm</t>
        </is>
      </c>
      <c r="C94" s="6" t="inlineStr">
        <is>
          <t>Interest + Principal</t>
        </is>
      </c>
      <c r="E94" s="15">
        <f>E80+E82</f>
        <v/>
      </c>
      <c r="F94" s="15">
        <f>F80+F82</f>
        <v/>
      </c>
      <c r="G94" s="15">
        <f>G80+G82</f>
        <v/>
      </c>
      <c r="H94" s="15">
        <f>H80+H82</f>
        <v/>
      </c>
      <c r="I94" s="15">
        <f>I80+I82</f>
        <v/>
      </c>
      <c r="J94" s="15">
        <f>J80+J82</f>
        <v/>
      </c>
      <c r="K94" s="15">
        <f>K80+K82</f>
        <v/>
      </c>
      <c r="L94" s="15">
        <f>L80+L82</f>
        <v/>
      </c>
      <c r="M94" s="15">
        <f>M80+M82</f>
        <v/>
      </c>
      <c r="N94" s="15">
        <f>N80+N82</f>
        <v/>
      </c>
    </row>
    <row r="95">
      <c r="A95" s="5" t="inlineStr">
        <is>
          <t>Ending Balance</t>
        </is>
      </c>
      <c r="B95" s="6" t="inlineStr">
        <is>
          <t>$mm</t>
        </is>
      </c>
      <c r="C95" s="6" t="inlineStr">
        <is>
          <t>Beg - Principal</t>
        </is>
      </c>
      <c r="E95" s="15" t="inlineStr"/>
      <c r="F95" s="15" t="inlineStr"/>
      <c r="G95" s="15" t="inlineStr"/>
      <c r="H95" s="15" t="inlineStr"/>
      <c r="I95" s="15" t="inlineStr"/>
      <c r="J95" s="15" t="inlineStr"/>
      <c r="K95" s="15" t="inlineStr"/>
      <c r="L95" s="15" t="inlineStr"/>
      <c r="M95" s="15" t="inlineStr"/>
      <c r="N95" s="15" t="inlineStr"/>
    </row>
    <row r="96">
      <c r="A96" s="5" t="inlineStr">
        <is>
          <t>Actual DSCR</t>
        </is>
      </c>
      <c r="B96" s="6" t="inlineStr">
        <is>
          <t>x</t>
        </is>
      </c>
      <c r="C96" s="6" t="inlineStr">
        <is>
          <t>CFADS / Actual DS</t>
        </is>
      </c>
      <c r="E96" s="25" t="inlineStr"/>
      <c r="F96" s="25" t="inlineStr"/>
      <c r="G96" s="25" t="inlineStr"/>
      <c r="H96" s="25" t="inlineStr"/>
      <c r="I96" s="25" t="inlineStr"/>
      <c r="J96" s="25" t="inlineStr"/>
      <c r="K96" s="25" t="inlineStr"/>
      <c r="L96" s="25" t="inlineStr"/>
      <c r="M96" s="25" t="inlineStr"/>
      <c r="N96" s="25" t="inlineStr"/>
    </row>
    <row r="97"/>
    <row r="98">
      <c r="A98" s="3" t="inlineStr">
        <is>
          <t>DSRA (Debt Service Reserve Account)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5" t="inlineStr">
        <is>
          <t>DSRA Target</t>
        </is>
      </c>
      <c r="B99" s="6" t="inlineStr">
        <is>
          <t>$mm</t>
        </is>
      </c>
      <c r="C99" s="6" t="inlineStr">
        <is>
          <t>Next Yr DS × DSRA Months / 12</t>
        </is>
      </c>
      <c r="D99" s="15">
        <f>G83*$D$39/12</f>
        <v/>
      </c>
      <c r="E99" s="15">
        <f>G83*$D$39/12</f>
        <v/>
      </c>
      <c r="F99" s="15">
        <f>G83*$D$39/12</f>
        <v/>
      </c>
      <c r="G99" s="15">
        <f>H83*$D$39/12</f>
        <v/>
      </c>
      <c r="H99" s="15">
        <f>I83*$D$39/12</f>
        <v/>
      </c>
      <c r="I99" s="15">
        <f>J83*$D$39/12</f>
        <v/>
      </c>
      <c r="J99" s="15">
        <f>K83*$D$39/12</f>
        <v/>
      </c>
      <c r="K99" s="15">
        <f>L83*$D$39/12</f>
        <v/>
      </c>
      <c r="L99" s="15">
        <f>M83*$D$39/12</f>
        <v/>
      </c>
      <c r="M99" s="15">
        <f>N83*$D$39/12</f>
        <v/>
      </c>
      <c r="N99" s="15">
        <f>0</f>
        <v/>
      </c>
    </row>
    <row r="100">
      <c r="A100" s="5" t="inlineStr">
        <is>
          <t>DSRA Beginning</t>
        </is>
      </c>
      <c r="B100" s="6" t="inlineStr">
        <is>
          <t>$mm</t>
        </is>
      </c>
      <c r="C100" s="6" t="inlineStr"/>
      <c r="D100" s="15">
        <f>0</f>
        <v/>
      </c>
      <c r="E100" s="15">
        <f>D91</f>
        <v/>
      </c>
      <c r="F100" s="15">
        <f>E91</f>
        <v/>
      </c>
      <c r="G100" s="15">
        <f>F91</f>
        <v/>
      </c>
      <c r="H100" s="15">
        <f>G91</f>
        <v/>
      </c>
      <c r="I100" s="15">
        <f>H91</f>
        <v/>
      </c>
      <c r="J100" s="15">
        <f>I91</f>
        <v/>
      </c>
      <c r="K100" s="15">
        <f>J91</f>
        <v/>
      </c>
      <c r="L100" s="15">
        <f>K91</f>
        <v/>
      </c>
      <c r="M100" s="15">
        <f>L91</f>
        <v/>
      </c>
      <c r="N100" s="15">
        <f>M91</f>
        <v/>
      </c>
    </row>
    <row r="101">
      <c r="A101" s="5" t="inlineStr">
        <is>
          <t>DSRA Funding/(Release)</t>
        </is>
      </c>
      <c r="B101" s="6" t="inlineStr">
        <is>
          <t>$mm</t>
        </is>
      </c>
      <c r="C101" s="6" t="inlineStr">
        <is>
          <t>Target - Beginning</t>
        </is>
      </c>
      <c r="D101" s="15">
        <f>D88-D89</f>
        <v/>
      </c>
      <c r="E101" s="15">
        <f>E88-E89</f>
        <v/>
      </c>
      <c r="F101" s="15">
        <f>F88-F89</f>
        <v/>
      </c>
      <c r="G101" s="15">
        <f>G88-G89</f>
        <v/>
      </c>
      <c r="H101" s="15">
        <f>H88-H89</f>
        <v/>
      </c>
      <c r="I101" s="15">
        <f>I88-I89</f>
        <v/>
      </c>
      <c r="J101" s="15">
        <f>J88-J89</f>
        <v/>
      </c>
      <c r="K101" s="15">
        <f>K88-K89</f>
        <v/>
      </c>
      <c r="L101" s="15">
        <f>L88-L89</f>
        <v/>
      </c>
      <c r="M101" s="15">
        <f>M88-M89</f>
        <v/>
      </c>
      <c r="N101" s="15">
        <f>N88-N89</f>
        <v/>
      </c>
    </row>
    <row r="102">
      <c r="A102" s="5" t="inlineStr">
        <is>
          <t>DSRA Ending</t>
        </is>
      </c>
      <c r="B102" s="6" t="inlineStr">
        <is>
          <t>$mm</t>
        </is>
      </c>
      <c r="C102" s="6" t="inlineStr">
        <is>
          <t>Beginning + Funding</t>
        </is>
      </c>
      <c r="D102" s="15">
        <f>D89+D90</f>
        <v/>
      </c>
      <c r="E102" s="15">
        <f>E89+E90</f>
        <v/>
      </c>
      <c r="F102" s="15">
        <f>F89+F90</f>
        <v/>
      </c>
      <c r="G102" s="15">
        <f>G89+G90</f>
        <v/>
      </c>
      <c r="H102" s="15">
        <f>H89+H90</f>
        <v/>
      </c>
      <c r="I102" s="15">
        <f>I89+I90</f>
        <v/>
      </c>
      <c r="J102" s="15">
        <f>J89+J90</f>
        <v/>
      </c>
      <c r="K102" s="15">
        <f>K89+K90</f>
        <v/>
      </c>
      <c r="L102" s="15">
        <f>L89+L90</f>
        <v/>
      </c>
      <c r="M102" s="15">
        <f>M89+M90</f>
        <v/>
      </c>
      <c r="N102" s="15">
        <f>N89+N90</f>
        <v/>
      </c>
    </row>
    <row r="103"/>
    <row r="104">
      <c r="A104" s="3" t="inlineStr">
        <is>
          <t>DISTRIBUTION WATERFALL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</row>
    <row r="105">
      <c r="A105" s="5" t="inlineStr">
        <is>
          <t>Cash Available for Distribution</t>
        </is>
      </c>
      <c r="B105" s="6" t="inlineStr">
        <is>
          <t>$mm</t>
        </is>
      </c>
      <c r="C105" s="6" t="inlineStr">
        <is>
          <t>CFADS - DS - DSRA Fund</t>
        </is>
      </c>
      <c r="E105" s="15">
        <f>E76-E83-E90</f>
        <v/>
      </c>
      <c r="F105" s="15">
        <f>F76-F83-F90</f>
        <v/>
      </c>
      <c r="G105" s="15">
        <f>G76-G83-G90</f>
        <v/>
      </c>
      <c r="H105" s="15">
        <f>H76-H83-H90</f>
        <v/>
      </c>
      <c r="I105" s="15">
        <f>I76-I83-I90</f>
        <v/>
      </c>
      <c r="J105" s="15">
        <f>J76-J83-J90</f>
        <v/>
      </c>
      <c r="K105" s="15">
        <f>K76-K83-K90</f>
        <v/>
      </c>
      <c r="L105" s="15">
        <f>L76-L83-L90</f>
        <v/>
      </c>
      <c r="M105" s="15">
        <f>M76-M83-M90</f>
        <v/>
      </c>
      <c r="N105" s="15">
        <f>N76-N83-N90</f>
        <v/>
      </c>
    </row>
    <row r="106">
      <c r="A106" s="5" t="inlineStr">
        <is>
          <t>Lock-up Test</t>
        </is>
      </c>
      <c r="B106" s="6" t="inlineStr"/>
      <c r="C106" s="6" t="inlineStr">
        <is>
          <t>PASS if DSCR ≥ Lock-up</t>
        </is>
      </c>
      <c r="E106" s="17">
        <f>IF(E85&gt;=$D$41,"PASS","LOCKED")</f>
        <v/>
      </c>
      <c r="F106" s="17">
        <f>IF(F85&gt;=$D$41,"PASS","LOCKED")</f>
        <v/>
      </c>
      <c r="G106" s="17">
        <f>IF(G85&gt;=$D$41,"PASS","LOCKED")</f>
        <v/>
      </c>
      <c r="H106" s="17">
        <f>IF(H85&gt;=$D$41,"PASS","LOCKED")</f>
        <v/>
      </c>
      <c r="I106" s="17">
        <f>IF(I85&gt;=$D$41,"PASS","LOCKED")</f>
        <v/>
      </c>
      <c r="J106" s="17">
        <f>IF(J85&gt;=$D$41,"PASS","LOCKED")</f>
        <v/>
      </c>
      <c r="K106" s="17">
        <f>IF(K85&gt;=$D$41,"PASS","LOCKED")</f>
        <v/>
      </c>
      <c r="L106" s="17">
        <f>IF(L85&gt;=$D$41,"PASS","LOCKED")</f>
        <v/>
      </c>
      <c r="M106" s="17">
        <f>IF(M85&gt;=$D$41,"PASS","LOCKED")</f>
        <v/>
      </c>
      <c r="N106" s="17">
        <f>IF(N85&gt;=$D$41,"PASS","LOCKED")</f>
        <v/>
      </c>
    </row>
    <row r="107">
      <c r="A107" s="5" t="inlineStr">
        <is>
          <t>Distributable Cash</t>
        </is>
      </c>
      <c r="B107" s="6" t="inlineStr">
        <is>
          <t>$mm</t>
        </is>
      </c>
      <c r="C107" s="6" t="inlineStr">
        <is>
          <t>If PASS, MAX(0, Cash Avail)</t>
        </is>
      </c>
      <c r="E107" s="7" t="inlineStr"/>
      <c r="F107" s="7" t="inlineStr"/>
      <c r="G107" s="7" t="inlineStr"/>
      <c r="H107" s="7" t="inlineStr"/>
      <c r="I107" s="7" t="inlineStr"/>
      <c r="J107" s="7" t="inlineStr"/>
      <c r="K107" s="7" t="inlineStr"/>
      <c r="L107" s="7" t="inlineStr"/>
      <c r="M107" s="7" t="inlineStr"/>
      <c r="N107" s="7" t="inlineStr"/>
    </row>
    <row r="108"/>
    <row r="109">
      <c r="A109" s="3" t="inlineStr">
        <is>
          <t>SOURCES &amp; USES (Total Construction)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</row>
    <row r="110">
      <c r="A110" s="18" t="inlineStr">
        <is>
          <t>USES</t>
        </is>
      </c>
      <c r="B110" s="6" t="inlineStr"/>
      <c r="C110" s="6" t="inlineStr"/>
    </row>
    <row r="111">
      <c r="A111" s="5" t="inlineStr">
        <is>
          <t xml:space="preserve">  Development Y0</t>
        </is>
      </c>
      <c r="B111" s="6" t="inlineStr">
        <is>
          <t>$mm</t>
        </is>
      </c>
      <c r="C111" s="6" t="inlineStr"/>
      <c r="D111" s="15">
        <f>$D$17</f>
        <v/>
      </c>
    </row>
    <row r="112">
      <c r="A112" s="5" t="inlineStr">
        <is>
          <t xml:space="preserve">  Development Y1</t>
        </is>
      </c>
      <c r="B112" s="6" t="inlineStr">
        <is>
          <t>$mm</t>
        </is>
      </c>
      <c r="C112" s="6" t="inlineStr"/>
      <c r="D112" s="15">
        <f>$D$18</f>
        <v/>
      </c>
    </row>
    <row r="113">
      <c r="A113" s="5" t="inlineStr">
        <is>
          <t xml:space="preserve">  Construction Y2</t>
        </is>
      </c>
      <c r="B113" s="6" t="inlineStr">
        <is>
          <t>$mm</t>
        </is>
      </c>
      <c r="C113" s="6" t="inlineStr"/>
      <c r="D113" s="15">
        <f>$D$19</f>
        <v/>
      </c>
    </row>
    <row r="114">
      <c r="A114" s="5" t="inlineStr">
        <is>
          <t xml:space="preserve">  Construction Interest</t>
        </is>
      </c>
      <c r="B114" s="6" t="inlineStr">
        <is>
          <t>$mm</t>
        </is>
      </c>
      <c r="C114" s="6" t="inlineStr"/>
      <c r="D114" s="15" t="inlineStr"/>
    </row>
    <row r="115">
      <c r="A115" s="5" t="inlineStr">
        <is>
          <t xml:space="preserve">  DSRA Funding (at COD)</t>
        </is>
      </c>
      <c r="B115" s="6" t="inlineStr">
        <is>
          <t>$mm</t>
        </is>
      </c>
      <c r="C115" s="6" t="inlineStr"/>
      <c r="D115" s="15">
        <f>G88</f>
        <v/>
      </c>
    </row>
    <row r="116">
      <c r="A116" s="5" t="inlineStr">
        <is>
          <t>Total Uses</t>
        </is>
      </c>
      <c r="B116" s="6" t="inlineStr">
        <is>
          <t>$mm</t>
        </is>
      </c>
      <c r="C116" s="6" t="inlineStr"/>
      <c r="D116" s="7">
        <f>SUM(D100:D104)</f>
        <v/>
      </c>
    </row>
    <row r="117"/>
    <row r="118">
      <c r="A118" s="18" t="inlineStr">
        <is>
          <t>SOURCES</t>
        </is>
      </c>
      <c r="B118" s="6" t="inlineStr"/>
      <c r="C118" s="6" t="inlineStr"/>
    </row>
    <row r="119">
      <c r="A119" s="5" t="inlineStr">
        <is>
          <t xml:space="preserve">  Construction Loan</t>
        </is>
      </c>
      <c r="B119" s="6" t="inlineStr">
        <is>
          <t>$mm</t>
        </is>
      </c>
      <c r="C119" s="6" t="inlineStr"/>
      <c r="D119" s="15">
        <f>$D$51</f>
        <v/>
      </c>
    </row>
    <row r="120">
      <c r="A120" s="5" t="inlineStr">
        <is>
          <t xml:space="preserve">  Term Debt (at COD)</t>
        </is>
      </c>
      <c r="B120" s="6" t="inlineStr">
        <is>
          <t>$mm</t>
        </is>
      </c>
      <c r="C120" s="6" t="inlineStr"/>
      <c r="D120" s="15">
        <f>$D$54</f>
        <v/>
      </c>
    </row>
    <row r="121">
      <c r="A121" s="5" t="inlineStr">
        <is>
          <t xml:space="preserve">  Total Equity</t>
        </is>
      </c>
      <c r="B121" s="6" t="inlineStr">
        <is>
          <t>$mm</t>
        </is>
      </c>
      <c r="C121" s="6" t="inlineStr"/>
      <c r="D121" s="15">
        <f>D62</f>
        <v/>
      </c>
    </row>
    <row r="122">
      <c r="A122" s="5" t="inlineStr">
        <is>
          <t>Total Sources</t>
        </is>
      </c>
      <c r="B122" s="6" t="inlineStr">
        <is>
          <t>$mm</t>
        </is>
      </c>
      <c r="C122" s="6" t="inlineStr"/>
      <c r="D122" s="7">
        <f>D109+D110</f>
        <v/>
      </c>
    </row>
    <row r="123">
      <c r="A123" s="5" t="inlineStr">
        <is>
          <t>Balance Check</t>
        </is>
      </c>
      <c r="B123" s="6" t="inlineStr"/>
      <c r="C123" s="6" t="inlineStr"/>
      <c r="D123" s="10">
        <f>IF(ABS(D105-D111)&lt;0.01,"PASS","FAIL")</f>
        <v/>
      </c>
    </row>
    <row r="124"/>
    <row r="125">
      <c r="A125" s="3" t="inlineStr">
        <is>
          <t>EXIT CALCULATIONS</t>
        </is>
      </c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</row>
    <row r="126">
      <c r="A126" s="5" t="inlineStr">
        <is>
          <t>Cumulative Depreciation</t>
        </is>
      </c>
      <c r="B126" s="6" t="inlineStr">
        <is>
          <t>$mm</t>
        </is>
      </c>
      <c r="C126" s="6" t="inlineStr">
        <is>
          <t>Dep × Operating Years</t>
        </is>
      </c>
      <c r="N126" s="15">
        <f>$D$55*8</f>
        <v/>
      </c>
    </row>
    <row r="127">
      <c r="A127" s="5" t="inlineStr">
        <is>
          <t>Exit RAB</t>
        </is>
      </c>
      <c r="B127" s="6" t="inlineStr">
        <is>
          <t>$mm</t>
        </is>
      </c>
      <c r="C127" s="6" t="inlineStr">
        <is>
          <t>RAB at COD - Cum Dep</t>
        </is>
      </c>
      <c r="N127" s="15">
        <f>$D$53-N115</f>
        <v/>
      </c>
    </row>
    <row r="128">
      <c r="A128" s="5" t="inlineStr">
        <is>
          <t>Exit EV</t>
        </is>
      </c>
      <c r="B128" s="6" t="inlineStr">
        <is>
          <t>$mm</t>
        </is>
      </c>
      <c r="C128" s="6" t="inlineStr">
        <is>
          <t>Exit RAB × xRAB Multiple</t>
        </is>
      </c>
      <c r="N128" s="15" t="inlineStr"/>
    </row>
    <row r="129">
      <c r="A129" s="5" t="inlineStr">
        <is>
          <t>Exit Debt Payoff</t>
        </is>
      </c>
      <c r="B129" s="6" t="inlineStr">
        <is>
          <t>$mm</t>
        </is>
      </c>
      <c r="C129" s="6" t="inlineStr">
        <is>
          <t>Ending Bal at Exit</t>
        </is>
      </c>
      <c r="N129" s="15">
        <f>N84</f>
        <v/>
      </c>
    </row>
    <row r="130">
      <c r="A130" s="5" t="inlineStr">
        <is>
          <t>DSRA Release</t>
        </is>
      </c>
      <c r="B130" s="6" t="inlineStr">
        <is>
          <t>$mm</t>
        </is>
      </c>
      <c r="C130" s="6" t="inlineStr">
        <is>
          <t>DSRA Ending at Exit</t>
        </is>
      </c>
      <c r="N130" s="15">
        <f>N91</f>
        <v/>
      </c>
    </row>
    <row r="131">
      <c r="A131" s="5" t="inlineStr">
        <is>
          <t>Exit Equity Proceeds</t>
        </is>
      </c>
      <c r="B131" s="6" t="inlineStr">
        <is>
          <t>$mm</t>
        </is>
      </c>
      <c r="C131" s="6" t="inlineStr">
        <is>
          <t>Exit EV - Debt + DSRA</t>
        </is>
      </c>
      <c r="N131" s="7" t="inlineStr"/>
    </row>
    <row r="132"/>
    <row r="133">
      <c r="A133" s="3" t="inlineStr">
        <is>
          <t>EQUITY RETURNS</t>
        </is>
      </c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</row>
    <row r="134">
      <c r="A134" s="5" t="inlineStr">
        <is>
          <t>Equity Cash Flow</t>
        </is>
      </c>
      <c r="B134" s="6" t="inlineStr">
        <is>
          <t>$mm</t>
        </is>
      </c>
      <c r="C134" s="6" t="inlineStr"/>
      <c r="D134" s="15" t="inlineStr"/>
      <c r="E134" s="15" t="inlineStr"/>
      <c r="F134" s="15" t="inlineStr"/>
      <c r="G134" s="15" t="inlineStr"/>
      <c r="H134" s="15" t="inlineStr"/>
      <c r="I134" s="15" t="inlineStr"/>
      <c r="J134" s="15" t="inlineStr"/>
      <c r="K134" s="15" t="inlineStr"/>
      <c r="L134" s="15" t="inlineStr"/>
      <c r="M134" s="15" t="inlineStr"/>
      <c r="N134" s="15" t="inlineStr"/>
    </row>
    <row r="135">
      <c r="A135" s="5" t="inlineStr">
        <is>
          <t>Levered IRR</t>
        </is>
      </c>
      <c r="B135" s="6" t="inlineStr">
        <is>
          <t>%</t>
        </is>
      </c>
      <c r="C135" s="6" t="inlineStr"/>
      <c r="D135" s="26" t="inlineStr"/>
    </row>
    <row r="136">
      <c r="A136" s="5" t="inlineStr">
        <is>
          <t>MOIC</t>
        </is>
      </c>
      <c r="B136" s="6" t="inlineStr">
        <is>
          <t>x</t>
        </is>
      </c>
      <c r="C136" s="6" t="inlineStr">
        <is>
          <t>Sum inflows / outflows</t>
        </is>
      </c>
      <c r="D136" s="25" t="inlineStr"/>
    </row>
    <row r="137"/>
    <row r="138">
      <c r="A138" s="18" t="inlineStr">
        <is>
          <t>Unlevered Returns (for reference)</t>
        </is>
      </c>
      <c r="B138" s="6" t="inlineStr"/>
      <c r="C138" s="6" t="inlineStr"/>
    </row>
    <row r="139">
      <c r="A139" s="5" t="inlineStr">
        <is>
          <t>Unlevered Cash Flow</t>
        </is>
      </c>
      <c r="B139" s="6" t="inlineStr">
        <is>
          <t>$mm</t>
        </is>
      </c>
      <c r="C139" s="6" t="inlineStr"/>
      <c r="D139" s="15">
        <f>-$D$17</f>
        <v/>
      </c>
      <c r="E139" s="15">
        <f>-$D$18</f>
        <v/>
      </c>
      <c r="F139" s="15">
        <f>-$D$19</f>
        <v/>
      </c>
      <c r="G139" s="15">
        <f>G76</f>
        <v/>
      </c>
      <c r="H139" s="15">
        <f>H76</f>
        <v/>
      </c>
      <c r="I139" s="15">
        <f>I76</f>
        <v/>
      </c>
      <c r="J139" s="15">
        <f>J76</f>
        <v/>
      </c>
      <c r="K139" s="15">
        <f>K76</f>
        <v/>
      </c>
      <c r="L139" s="15">
        <f>L76</f>
        <v/>
      </c>
      <c r="M139" s="15">
        <f>M76</f>
        <v/>
      </c>
      <c r="N139" s="15">
        <f>N76+N117</f>
        <v/>
      </c>
    </row>
    <row r="140">
      <c r="A140" s="5" t="inlineStr">
        <is>
          <t>Unlevered IRR</t>
        </is>
      </c>
      <c r="B140" s="6" t="inlineStr">
        <is>
          <t>%</t>
        </is>
      </c>
      <c r="C140" s="6" t="inlineStr"/>
      <c r="D140" s="26" t="inlineStr"/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/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/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>
        <f>IF(E83&gt;0,E76/E83,0)</f>
        <v/>
      </c>
      <c r="F95" s="25">
        <f>IF(F83&gt;0,F76/F83,0)</f>
        <v/>
      </c>
      <c r="G95" s="25">
        <f>IF(G83&gt;0,G76/G83,0)</f>
        <v/>
      </c>
      <c r="H95" s="25">
        <f>IF(H83&gt;0,H76/H83,0)</f>
        <v/>
      </c>
      <c r="I95" s="25">
        <f>IF(I83&gt;0,I76/I83,0)</f>
        <v/>
      </c>
      <c r="J95" s="25">
        <f>IF(J83&gt;0,J76/J83,0)</f>
        <v/>
      </c>
      <c r="K95" s="25">
        <f>IF(K83&gt;0,K76/K83,0)</f>
        <v/>
      </c>
      <c r="L95" s="25">
        <f>IF(L83&gt;0,L76/L83,0)</f>
        <v/>
      </c>
      <c r="M95" s="25">
        <f>IF(M83&gt;0,M76/M83,0)</f>
        <v/>
      </c>
      <c r="N95" s="25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/>
      <c r="D140" s="26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25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/>
      <c r="D145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2026-01-20T23:35:37Z</dcterms:modified>
</cp:coreProperties>
</file>