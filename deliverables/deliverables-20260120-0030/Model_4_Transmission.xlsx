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  <c r="M3" s="48" t="inlineStr">
        <is>
          <t>IRR Sensitivity:</t>
        </is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  <c r="M4" s="49" t="inlineStr">
        <is>
          <t>+/- 5% Entry → ~+/- 1% IRR</t>
        </is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  <c r="M5" s="49" t="inlineStr">
        <is>
          <t>+/- 0.5x Exit → ~+/- 1.5% IRR</t>
        </is>
      </c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4"/>
    <row r="25"/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/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4"/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2"/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59"/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6"/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3"/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6"/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79"/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1"/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7"/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6"/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2"/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7"/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6"/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D62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D109+D110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IF(ABS(D105-D111)&lt;0.01,"PASS","FAIL")</f>
        <v/>
      </c>
    </row>
    <row r="123"/>
    <row r="124">
      <c r="A124" s="3" t="inlineStr">
        <is>
          <t>EXIT CALCULATIONS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N127" s="15">
        <f>N116*$D$44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N117-N118+N119</f>
        <v/>
      </c>
    </row>
    <row r="131"/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-D58</f>
        <v/>
      </c>
      <c r="E133" s="15">
        <f>-E59</f>
        <v/>
      </c>
      <c r="F133" s="15">
        <f>-F60</f>
        <v/>
      </c>
      <c r="G133" s="15">
        <f>-G61-G90+G96</f>
        <v/>
      </c>
      <c r="H133" s="15">
        <f>H96</f>
        <v/>
      </c>
      <c r="I133" s="15">
        <f>I96</f>
        <v/>
      </c>
      <c r="J133" s="15">
        <f>J96</f>
        <v/>
      </c>
      <c r="K133" s="15">
        <f>K96</f>
        <v/>
      </c>
      <c r="L133" s="15">
        <f>L96</f>
        <v/>
      </c>
      <c r="M133" s="15">
        <f>M96</f>
        <v/>
      </c>
      <c r="N133" s="15">
        <f>N96+N120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IRR(D123:N123)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SUMIF(D123:N123,"&gt;0")/-SUMIF(D123:N123,"&lt;0")</f>
        <v/>
      </c>
    </row>
    <row r="136"/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-$D$17</f>
        <v/>
      </c>
      <c r="E138" s="15">
        <f>-$D$18</f>
        <v/>
      </c>
      <c r="F138" s="15">
        <f>-$D$19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5">
        <f>L76</f>
        <v/>
      </c>
      <c r="M138" s="15">
        <f>M76</f>
        <v/>
      </c>
      <c r="N138" s="15">
        <f>N76+N117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IRR(D128:N128)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2026-01-20T23:35:38Z</dcterms:modified>
</cp:coreProperties>
</file>