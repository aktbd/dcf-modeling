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8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4"/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0"/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5"/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79"/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3"/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0"/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  <c r="C165" t="inlineStr"/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═══════════════════ CONTROL PANEL ═══════════════════</t>
        </is>
      </c>
    </row>
    <row r="7">
      <c r="A7" s="29" t="inlineStr">
        <is>
          <t>Revenue Mode</t>
        </is>
      </c>
      <c r="C7" s="6" t="inlineStr">
        <is>
          <t>Merchant / Contracted / Hybrid</t>
        </is>
      </c>
      <c r="D7" s="42" t="inlineStr">
        <is>
          <t>Merchant</t>
        </is>
      </c>
    </row>
    <row r="8">
      <c r="A8" s="29" t="inlineStr">
        <is>
          <t>Contract Years</t>
        </is>
      </c>
      <c r="C8" s="6" t="inlineStr">
        <is>
          <t>If Hybrid: years of contracted revenue</t>
        </is>
      </c>
      <c r="D8" s="42" t="inlineStr">
        <is>
          <t>0</t>
        </is>
      </c>
    </row>
    <row r="9">
      <c r="A9" s="29" t="inlineStr">
        <is>
          <t>Debt Sweep</t>
        </is>
      </c>
      <c r="C9" s="6" t="inlineStr">
        <is>
          <t>ON / OFF</t>
        </is>
      </c>
      <c r="D9" s="42" t="inlineStr">
        <is>
          <t>ON</t>
        </is>
      </c>
    </row>
    <row r="10">
      <c r="A10" s="29" t="inlineStr">
        <is>
          <t>Sweep %</t>
        </is>
      </c>
      <c r="C10" s="6" t="inlineStr">
        <is>
          <t>Only active if Sweep = ON</t>
        </is>
      </c>
      <c r="D10" s="42" t="inlineStr">
        <is>
          <t>75%</t>
        </is>
      </c>
    </row>
    <row r="11">
      <c r="A11" s="29" t="inlineStr">
        <is>
          <t>Exit Method</t>
        </is>
      </c>
      <c r="C11" s="6" t="inlineStr">
        <is>
          <t>Multiple / DCF</t>
        </is>
      </c>
      <c r="D11" s="42" t="inlineStr">
        <is>
          <t>Multiple</t>
        </is>
      </c>
    </row>
    <row r="13">
      <c r="A13" s="33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(Y1-Y10)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AVERAGE(E73:N73)</f>
        <v/>
      </c>
    </row>
    <row r="16">
      <c r="A16" s="5" t="inlineStr">
        <is>
          <t>Min DSCR (Y1-Y10)</t>
        </is>
      </c>
      <c r="B16" s="6" t="inlineStr">
        <is>
          <t>x</t>
        </is>
      </c>
      <c r="C16" s="6" t="inlineStr">
        <is>
          <t>CFADS / Debt Service</t>
        </is>
      </c>
      <c r="D16" s="21">
        <f>IF(COUNTIF(E82:N82,"&gt;0")&gt;0,MINIFS(E82:N82,E82:N82,"&gt;0"),0)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2">
        <f>D118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21">
        <f>D119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2">
        <f>D123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4"/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7"/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3"/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49"/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7"/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7"/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1"/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5"/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7"/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79"/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4"/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3"/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99"/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4"/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1"/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19"/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N124" s="7">
        <f>N111-N112+N113</f>
        <v/>
      </c>
    </row>
    <row r="125"/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-D106</f>
        <v/>
      </c>
      <c r="E127" s="16">
        <f>E93</f>
        <v/>
      </c>
      <c r="F127" s="16">
        <f>F93</f>
        <v/>
      </c>
      <c r="G127" s="16">
        <f>G93</f>
        <v/>
      </c>
      <c r="H127" s="16">
        <f>H93</f>
        <v/>
      </c>
      <c r="I127" s="16">
        <f>I93</f>
        <v/>
      </c>
      <c r="J127" s="16">
        <f>J93</f>
        <v/>
      </c>
      <c r="K127" s="16">
        <f>K93</f>
        <v/>
      </c>
      <c r="L127" s="16">
        <f>L93</f>
        <v/>
      </c>
      <c r="M127" s="16">
        <f>M93</f>
        <v/>
      </c>
      <c r="N127" s="16">
        <f>N93+N114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IRR(D117:N117)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SUMIF(D117:N117,"&gt;0")/ABS(D117)</f>
        <v/>
      </c>
    </row>
    <row r="130"/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-$D$17-D98</f>
        <v/>
      </c>
      <c r="E132" s="16">
        <f>E73</f>
        <v/>
      </c>
      <c r="F132" s="16">
        <f>F73</f>
        <v/>
      </c>
      <c r="G132" s="16">
        <f>G73</f>
        <v/>
      </c>
      <c r="H132" s="16">
        <f>H73</f>
        <v/>
      </c>
      <c r="I132" s="16">
        <f>I73</f>
        <v/>
      </c>
      <c r="J132" s="16">
        <f>J73</f>
        <v/>
      </c>
      <c r="K132" s="16">
        <f>K73</f>
        <v/>
      </c>
      <c r="L132" s="16">
        <f>L73</f>
        <v/>
      </c>
      <c r="M132" s="16">
        <f>M73</f>
        <v/>
      </c>
      <c r="N132" s="16">
        <f>N73+N111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IRR(D122:N122)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═══════════════════ CONTROL PANEL ═══════════════════</t>
        </is>
      </c>
    </row>
    <row r="7">
      <c r="A7" s="29" t="inlineStr">
        <is>
          <t>Revenue Mode</t>
        </is>
      </c>
      <c r="C7" s="6" t="inlineStr">
        <is>
          <t>Merchant / Contracted / Hybrid</t>
        </is>
      </c>
      <c r="D7" s="42" t="inlineStr">
        <is>
          <t>Merchant</t>
        </is>
      </c>
    </row>
    <row r="8">
      <c r="A8" s="29" t="inlineStr">
        <is>
          <t>Contract Years</t>
        </is>
      </c>
      <c r="C8" s="6" t="inlineStr">
        <is>
          <t>If Hybrid: years of contracted revenue</t>
        </is>
      </c>
      <c r="D8" s="42" t="inlineStr">
        <is>
          <t>0</t>
        </is>
      </c>
    </row>
    <row r="9">
      <c r="A9" s="29" t="inlineStr">
        <is>
          <t>Debt Sweep</t>
        </is>
      </c>
      <c r="C9" s="6" t="inlineStr">
        <is>
          <t>ON / OFF</t>
        </is>
      </c>
      <c r="D9" s="42" t="inlineStr">
        <is>
          <t>ON</t>
        </is>
      </c>
    </row>
    <row r="10">
      <c r="A10" s="29" t="inlineStr">
        <is>
          <t>Sweep %</t>
        </is>
      </c>
      <c r="C10" s="6" t="inlineStr">
        <is>
          <t>Only active if Sweep = ON</t>
        </is>
      </c>
      <c r="D10" s="42" t="inlineStr">
        <is>
          <t>75%</t>
        </is>
      </c>
    </row>
    <row r="11">
      <c r="A11" s="29" t="inlineStr">
        <is>
          <t>Exit Method</t>
        </is>
      </c>
      <c r="C11" s="6" t="inlineStr">
        <is>
          <t>Multiple / DCF</t>
        </is>
      </c>
      <c r="D11" s="42" t="inlineStr">
        <is>
          <t>Multiple</t>
        </is>
      </c>
    </row>
    <row r="13">
      <c r="A13" s="33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(Y1-Y10)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AVERAGE(E73:N73)</f>
        <v/>
      </c>
    </row>
    <row r="16">
      <c r="A16" s="5" t="inlineStr">
        <is>
          <t>Min DSCR (Y1-Y10)</t>
        </is>
      </c>
      <c r="B16" s="6" t="inlineStr">
        <is>
          <t>x</t>
        </is>
      </c>
      <c r="C16" s="6" t="inlineStr">
        <is>
          <t>CFADS / Debt Service</t>
        </is>
      </c>
      <c r="D16" s="21">
        <f>IF(COUNTIF(E82:N82,"&gt;0")&gt;0,MINIFS(E82:N82,E82:N82,"&gt;0"),0)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2">
        <f>D118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21">
        <f>D119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2">
        <f>D123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4"/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7"/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3"/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49"/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7"/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7"/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1"/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5"/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7"/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79"/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4"/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3"/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99"/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4"/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1"/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19"/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1"/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6"/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2026-01-20T21:59:41Z</dcterms:modified>
</cp:coreProperties>
</file>