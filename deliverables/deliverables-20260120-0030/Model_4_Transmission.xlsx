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40" authorId="0" shapeId="0">
      <text>
        <t>Return to equity after debt service. Should exceed cost of equity (12-15% for infra).</t>
      </text>
    </comment>
    <comment ref="C141" authorId="0" shapeId="0">
      <text>
        <t>Multiple on Invested Capital. Cash-on-cash return. 2.0x = doubled money.</t>
      </text>
    </comment>
    <comment ref="C14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7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7" t="inlineStr">
        <is>
          <t>--- SITUATION ---</t>
        </is>
      </c>
    </row>
    <row r="16">
      <c r="A16" s="29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29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29" t="inlineStr">
        <is>
          <t>Upon COD, revenue comes from FERC-approved tariff based on rate base and
allowed ROE. The line has 40+ years expected useful life.</t>
        </is>
      </c>
    </row>
    <row r="22">
      <c r="A22" s="29" t="inlineStr">
        <is>
          <t>Lotus is offered $180mm equity during construction. Commitment needed by
March 15, 2026.</t>
        </is>
      </c>
    </row>
    <row r="24">
      <c r="A24" s="27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7" t="inlineStr">
        <is>
          <t>--- STEP-BY-STEP MODEL BUILDING GUIDE ---</t>
        </is>
      </c>
    </row>
    <row r="31">
      <c r="A31" s="29" t="inlineStr">
        <is>
          <t>STEP-BY-STEP MODEL BUILDING GUIDE FOR TRANSMISSION</t>
        </is>
      </c>
    </row>
    <row r="32">
      <c r="A32" s="29" t="inlineStr"/>
    </row>
    <row r="33">
      <c r="A33" s="29" t="inlineStr">
        <is>
          <t>KEY DIFFERENCES:</t>
        </is>
      </c>
    </row>
    <row r="34">
      <c r="A34" s="29" t="inlineStr">
        <is>
          <t>- CONSTRUCTION PERIOD before operations</t>
        </is>
      </c>
    </row>
    <row r="35">
      <c r="A35" s="29" t="inlineStr">
        <is>
          <t>- AFUDC (capitalized interest) accrues to rate base</t>
        </is>
      </c>
    </row>
    <row r="36">
      <c r="A36" s="29" t="inlineStr">
        <is>
          <t>- Revenue is REGULATED formula, not market prices</t>
        </is>
      </c>
    </row>
    <row r="37">
      <c r="A37" s="29" t="inlineStr">
        <is>
          <t>- Two financing events: Construction loan -&gt; Term debt takeout</t>
        </is>
      </c>
    </row>
    <row r="38">
      <c r="A38" s="29" t="inlineStr"/>
    </row>
    <row r="39">
      <c r="A39" s="29" t="inlineStr">
        <is>
          <t>1. CONSTRUCTION PERIOD (Years 0-2)</t>
        </is>
      </c>
    </row>
    <row r="40">
      <c r="A40" s="29" t="inlineStr">
        <is>
          <t xml:space="preserve">   Development Costs: $35mm</t>
        </is>
      </c>
    </row>
    <row r="41">
      <c r="A41" s="29" t="inlineStr">
        <is>
          <t xml:space="preserve">   Construction Costs: $550mm</t>
        </is>
      </c>
    </row>
    <row r="42">
      <c r="A42" s="29" t="inlineStr">
        <is>
          <t xml:space="preserve">   Construction Loan: 85% of construction</t>
        </is>
      </c>
    </row>
    <row r="43">
      <c r="A43" s="29" t="inlineStr">
        <is>
          <t xml:space="preserve">   AFUDC = Const Loan x Interest x Avg Period = ~$35mm</t>
        </is>
      </c>
    </row>
    <row r="44">
      <c r="A44" s="29" t="inlineStr">
        <is>
          <t xml:space="preserve">   AFUDC accrues to Rate Base (non-cash during construction)</t>
        </is>
      </c>
    </row>
    <row r="45">
      <c r="A45" s="29" t="inlineStr"/>
    </row>
    <row r="46">
      <c r="A46" s="29" t="inlineStr">
        <is>
          <t>2. RATE BASE AT COD (Year 3)</t>
        </is>
      </c>
    </row>
    <row r="47">
      <c r="A47" s="29" t="inlineStr">
        <is>
          <t xml:space="preserve">   Rate Base = Development + Construction + AFUDC</t>
        </is>
      </c>
    </row>
    <row r="48">
      <c r="A48" s="29" t="inlineStr">
        <is>
          <t xml:space="preserve">   = $35mm + $550mm + ~$35mm = ~$620mm</t>
        </is>
      </c>
    </row>
    <row r="49">
      <c r="A49" s="29" t="inlineStr"/>
    </row>
    <row r="50">
      <c r="A50" s="29" t="inlineStr">
        <is>
          <t>3. TERM DEBT TAKEOUT AT COD</t>
        </is>
      </c>
    </row>
    <row r="51">
      <c r="A51" s="29" t="inlineStr">
        <is>
          <t xml:space="preserve">   At COD, Construction Loan repaid by Term Debt</t>
        </is>
      </c>
    </row>
    <row r="52">
      <c r="A52" s="29" t="inlineStr">
        <is>
          <t xml:space="preserve">   Term Debt = Rate Base x Regulatory Debt % = $620mm x 50% = $310mm</t>
        </is>
      </c>
    </row>
    <row r="53">
      <c r="A53" s="29" t="inlineStr">
        <is>
          <t xml:space="preserve">   Use RATE BASE (not construction cost) for debt sizing</t>
        </is>
      </c>
    </row>
    <row r="54">
      <c r="A54" s="29" t="inlineStr"/>
    </row>
    <row r="55">
      <c r="A55" s="29" t="inlineStr">
        <is>
          <t>4. REVENUE CALCULATION (Years 3+)</t>
        </is>
      </c>
    </row>
    <row r="56">
      <c r="A56" s="29" t="inlineStr">
        <is>
          <t xml:space="preserve">   Revenue = Rate Base x (ROE + Depreciation/Life + O&amp;M/RB)</t>
        </is>
      </c>
    </row>
    <row r="57">
      <c r="A57" s="29" t="inlineStr"/>
    </row>
    <row r="58">
      <c r="A58" s="29" t="inlineStr">
        <is>
          <t>5. S&amp;U - TWO EVENTS</t>
        </is>
      </c>
    </row>
    <row r="59">
      <c r="A59" s="29" t="inlineStr">
        <is>
          <t xml:space="preserve">   At Close (Y0): Development costs, fees -&gt; Const loan, equity</t>
        </is>
      </c>
    </row>
    <row r="60">
      <c r="A60" s="29" t="inlineStr">
        <is>
          <t xml:space="preserve">   At COD (Y3): Const loan payoff -&gt; Term debt, permanent equity</t>
        </is>
      </c>
    </row>
    <row r="61">
      <c r="A61" s="29" t="inlineStr">
        <is>
          <t xml:space="preserve">   DSRA is a USE (funded by debt/equity), NOT a Source</t>
        </is>
      </c>
    </row>
    <row r="62">
      <c r="A62" s="29" t="inlineStr"/>
    </row>
    <row r="63">
      <c r="A63" s="29" t="inlineStr">
        <is>
          <t>6. SCULPTED DEBT</t>
        </is>
      </c>
    </row>
    <row r="64">
      <c r="A64" s="29" t="inlineStr">
        <is>
          <t xml:space="preserve">   Regulated cash flows support sculpted debt at 1.40x DSCR</t>
        </is>
      </c>
    </row>
    <row r="66">
      <c r="A66" s="27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7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7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7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7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2" t="inlineStr">
        <is>
          <t>COLD START WORKFLOW (4-Hour Test)</t>
        </is>
      </c>
    </row>
    <row r="116">
      <c r="A116" s="31" t="inlineStr">
        <is>
          <t>Phase 1: Setup (15 min)</t>
        </is>
      </c>
    </row>
    <row r="117">
      <c r="A117" s="33" t="inlineStr">
        <is>
          <t>→ Create workbook, freeze panes at E2</t>
        </is>
      </c>
    </row>
    <row r="118">
      <c r="A118" s="33" t="inlineStr">
        <is>
          <t>→ Set column widths: A=32, B=12, C=38, D-N=14</t>
        </is>
      </c>
    </row>
    <row r="119">
      <c r="A119" s="33" t="inlineStr">
        <is>
          <t>→ Build year headers: Y0 (2025), Y1 (2026), ... Y10 (2035)</t>
        </is>
      </c>
    </row>
    <row r="120">
      <c r="A120" s="33" t="inlineStr">
        <is>
          <t>→ Create section placeholders with ═══ dividers</t>
        </is>
      </c>
    </row>
    <row r="122">
      <c r="A122" s="31" t="inlineStr">
        <is>
          <t>Phase 2: Inputs &amp; S&amp;U (30 min)</t>
        </is>
      </c>
    </row>
    <row r="123">
      <c r="A123" s="33" t="inlineStr">
        <is>
          <t>→ Transaction: Entry EV, Fees %, Exit Multiple, Exit Year</t>
        </is>
      </c>
    </row>
    <row r="124">
      <c r="A124" s="33" t="inlineStr">
        <is>
          <t>→ Asset: Capacity, CF/Dispatch, Prices, Escalation</t>
        </is>
      </c>
    </row>
    <row r="125">
      <c r="A125" s="33" t="inlineStr">
        <is>
          <t>→ Financing: Leverage, Rate, Tenor, DSRA months, Sweep %</t>
        </is>
      </c>
    </row>
    <row r="126">
      <c r="A126" s="33" t="inlineStr">
        <is>
          <t>→ Build Uses first, then Sources (balancing item = equity)</t>
        </is>
      </c>
    </row>
    <row r="128">
      <c r="A128" s="31" t="inlineStr">
        <is>
          <t>Phase 3: Operating Model (45 min)</t>
        </is>
      </c>
    </row>
    <row r="129">
      <c r="A129" s="33" t="inlineStr">
        <is>
          <t>→ Generation = Capacity × CF × 8760 (baseload) OR Capacity × Dispatch × Avail (peaker)</t>
        </is>
      </c>
    </row>
    <row r="130">
      <c r="A130" s="33" t="inlineStr">
        <is>
          <t>→ Revenue = Generation × Price / 1E6  (careful: capacity $/kW needs ×1000)</t>
        </is>
      </c>
    </row>
    <row r="131">
      <c r="A131" s="33" t="inlineStr">
        <is>
          <t>→ Fuel = Gen × HR × Gas / 1E9  (CRITICAL: divide by BILLION)</t>
        </is>
      </c>
    </row>
    <row r="132">
      <c r="A132" s="33" t="inlineStr">
        <is>
          <t>→ EBITDA = Revenue - OpEx</t>
        </is>
      </c>
    </row>
    <row r="133">
      <c r="A133" s="33" t="inlineStr">
        <is>
          <t>→ Taxes = MAX(0, Taxable Income) × Rate  (no negative taxes!)</t>
        </is>
      </c>
    </row>
    <row r="135">
      <c r="A135" s="31" t="inlineStr">
        <is>
          <t>Phase 4: Debt Schedule (45 min)</t>
        </is>
      </c>
    </row>
    <row r="136">
      <c r="A136" s="33" t="inlineStr">
        <is>
          <t>→ Beginning Bal Y1 = Funded Debt; Yn = Prior Ending</t>
        </is>
      </c>
    </row>
    <row r="137">
      <c r="A137" s="33" t="inlineStr">
        <is>
          <t>→ Interest = Beg Bal × Rate</t>
        </is>
      </c>
    </row>
    <row r="138">
      <c r="A138" s="33" t="inlineStr">
        <is>
          <t>→ Principal: Straight-line OR Sculpted OR Sweep</t>
        </is>
      </c>
    </row>
    <row r="139">
      <c r="A139" s="33" t="inlineStr">
        <is>
          <t>→ DSCR = CFADS / Debt Service</t>
        </is>
      </c>
    </row>
    <row r="140">
      <c r="A140" s="33" t="inlineStr">
        <is>
          <t>→ DSRA Target = NEXT year's DS × (months/12)  [TRAP: not current year!]</t>
        </is>
      </c>
    </row>
    <row r="142">
      <c r="A142" s="31" t="inlineStr">
        <is>
          <t>Phase 5: Exit &amp; Returns (30 min)</t>
        </is>
      </c>
    </row>
    <row r="143">
      <c r="A143" s="33" t="inlineStr">
        <is>
          <t>→ Exit EV = Exit EBITDA × Multiple</t>
        </is>
      </c>
    </row>
    <row r="144">
      <c r="A144" s="33" t="inlineStr">
        <is>
          <t>→ Exit Equity = Exit EV - Debt Payoff + DSRA Release</t>
        </is>
      </c>
    </row>
    <row r="145">
      <c r="A145" s="33" t="inlineStr">
        <is>
          <t>→ Equity CF row: Y0 = -Entry Equity, Y1-n = Distributions, Exit Year += Exit Equity</t>
        </is>
      </c>
    </row>
    <row r="146">
      <c r="A146" s="33" t="inlineStr">
        <is>
          <t>→ IRR = IRR(Y0:Y10 equity CFs)</t>
        </is>
      </c>
    </row>
    <row r="147">
      <c r="A147" s="33" t="inlineStr">
        <is>
          <t>→ MOIC = (Distributions + Exit) / Entry Equity</t>
        </is>
      </c>
    </row>
    <row r="149">
      <c r="A149" s="31" t="inlineStr">
        <is>
          <t>Phase 6: QA &amp; Polish (15 min)</t>
        </is>
      </c>
    </row>
    <row r="150">
      <c r="A150" s="33" t="inlineStr">
        <is>
          <t>→ S&amp;U Balance Check = PASS</t>
        </is>
      </c>
    </row>
    <row r="151">
      <c r="A151" s="33" t="inlineStr">
        <is>
          <t>→ Debt Payoff Check = PASS (ending bal &lt; $1mm)</t>
        </is>
      </c>
    </row>
    <row r="152">
      <c r="A152" s="33" t="inlineStr">
        <is>
          <t>→ Min DSCR Check = PASS (≥1.25x merchant, ≥1.30x contracted)</t>
        </is>
      </c>
    </row>
    <row r="153">
      <c r="A153" s="33" t="inlineStr">
        <is>
          <t>→ Sanity: DSCR 1.2-2.5x, IRR 12-25%, Fuel $30-50mm (CCGT)</t>
        </is>
      </c>
    </row>
    <row r="156">
      <c r="A156" s="3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7" t="inlineStr">
        <is>
          <t>TOTAL</t>
        </is>
      </c>
      <c r="B169" s="27" t="inlineStr">
        <is>
          <t>4:00</t>
        </is>
      </c>
    </row>
    <row r="172">
      <c r="A172" s="34" t="inlineStr">
        <is>
          <t>DEBT SIZING APPROACHES</t>
        </is>
      </c>
    </row>
    <row r="174">
      <c r="A174" s="31" t="inlineStr">
        <is>
          <t>1. STRAIGHT-LINE (Simplest)</t>
        </is>
      </c>
    </row>
    <row r="175">
      <c r="A175" s="33" t="inlineStr">
        <is>
          <t xml:space="preserve">  Principal = Debt Amount / Tenor</t>
        </is>
      </c>
    </row>
    <row r="176">
      <c r="A176" s="33" t="inlineStr">
        <is>
          <t xml:space="preserve">  Best for: Quick models, Model_Quick, when told 'ignore sweep'</t>
        </is>
      </c>
    </row>
    <row r="177">
      <c r="A177" s="33" t="inlineStr">
        <is>
          <t xml:space="preserve">  Pros: No circularity, fast to build</t>
        </is>
      </c>
    </row>
    <row r="178">
      <c r="A178" s="33" t="inlineStr">
        <is>
          <t xml:space="preserve">  Cons: May not reflect economic reality</t>
        </is>
      </c>
    </row>
    <row r="180">
      <c r="A180" s="31" t="inlineStr">
        <is>
          <t>2. CASH SWEEP (Merchant)</t>
        </is>
      </c>
    </row>
    <row r="181">
      <c r="A181" s="33" t="inlineStr">
        <is>
          <t xml:space="preserve">  Sweep = Excess Cash × Sweep%  (Excess = CFADS - DS - DSRA)</t>
        </is>
      </c>
    </row>
    <row r="182">
      <c r="A182" s="33" t="inlineStr">
        <is>
          <t xml:space="preserve">  Best for: Merchant assets, volatile CFADS</t>
        </is>
      </c>
    </row>
    <row r="183">
      <c r="A183" s="33" t="inlineStr">
        <is>
          <t xml:space="preserve">  Pros: Realistic for bank debt, de-levers faster</t>
        </is>
      </c>
    </row>
    <row r="184">
      <c r="A184" s="33" t="inlineStr">
        <is>
          <t xml:space="preserve">  Cons: Requires DSRA logic, near-circular (use scheduled_ds trick)</t>
        </is>
      </c>
    </row>
    <row r="186">
      <c r="A186" s="31" t="inlineStr">
        <is>
          <t>3. SCULPTED (Contracted)</t>
        </is>
      </c>
    </row>
    <row r="187">
      <c r="A187" s="33" t="inlineStr">
        <is>
          <t xml:space="preserve">  Target DS = CFADS / Target DSCR; Principal = Target DS - Interest</t>
        </is>
      </c>
    </row>
    <row r="188">
      <c r="A188" s="33" t="inlineStr">
        <is>
          <t xml:space="preserve">  Best for: PPAs, regulated assets, predictable CFADS</t>
        </is>
      </c>
    </row>
    <row r="189">
      <c r="A189" s="33" t="inlineStr">
        <is>
          <t xml:space="preserve">  Pros: Maximizes debt capacity, matches CF profile</t>
        </is>
      </c>
    </row>
    <row r="190">
      <c r="A190" s="33" t="inlineStr">
        <is>
          <t xml:space="preserve">  Cons: More complex, requires CFADS forecast first</t>
        </is>
      </c>
    </row>
    <row r="193">
      <c r="A193" s="34" t="inlineStr">
        <is>
          <t>KEY FORMULA CONCEPTS</t>
        </is>
      </c>
    </row>
    <row r="195">
      <c r="A195" s="31" t="inlineStr">
        <is>
          <t>SPARK SPREAD (Thermal Plants)</t>
        </is>
      </c>
    </row>
    <row r="196">
      <c r="A196" s="33" t="inlineStr">
        <is>
          <t xml:space="preserve">  = Power Price ($/MWh) - Fuel Cost per MWh</t>
        </is>
      </c>
    </row>
    <row r="197">
      <c r="A197" s="33" t="inlineStr">
        <is>
          <t xml:space="preserve">  = Power Price - (Heat Rate × Gas Price / 1000)</t>
        </is>
      </c>
    </row>
    <row r="198">
      <c r="A198" s="33" t="inlineStr">
        <is>
          <t xml:space="preserve">  Example: $45/MWh - (7000 Btu/kWh × $3/mmBtu / 1000) = $45 - $21 = $24/MWh</t>
        </is>
      </c>
    </row>
    <row r="199">
      <c r="A199" s="33" t="inlineStr">
        <is>
          <t xml:space="preserve">  Core margin driver for CCGT/Peaker dispatch economics</t>
        </is>
      </c>
    </row>
    <row r="201">
      <c r="A201" s="31" t="inlineStr">
        <is>
          <t>UCAP (Unforced Capacity)</t>
        </is>
      </c>
    </row>
    <row r="202">
      <c r="A202" s="33" t="inlineStr">
        <is>
          <t xml:space="preserve">  = Nameplate Capacity × (1 - Forced Outage Rate)</t>
        </is>
      </c>
    </row>
    <row r="203">
      <c r="A203" s="33" t="inlineStr">
        <is>
          <t xml:space="preserve">  = 365 MW × (1 - 5%) = 346.75 MW</t>
        </is>
      </c>
    </row>
    <row r="204">
      <c r="A204" s="33" t="inlineStr">
        <is>
          <t xml:space="preserve">  Capacity revenue uses UCAP, not nameplate</t>
        </is>
      </c>
    </row>
    <row r="205">
      <c r="A205" s="33" t="inlineStr">
        <is>
          <t xml:space="preserve">  Capacity Price is $/kW-yr, so: UCAP × Price × 1000 / 1E6</t>
        </is>
      </c>
    </row>
    <row r="207">
      <c r="A207" s="31" t="inlineStr">
        <is>
          <t>LLCR / PLCR (Project Finance)</t>
        </is>
      </c>
    </row>
    <row r="208">
      <c r="A208" s="33" t="inlineStr">
        <is>
          <t xml:space="preserve">  LLCR = NPV(CFADS over loan life) / Debt Outstanding</t>
        </is>
      </c>
    </row>
    <row r="209">
      <c r="A209" s="33" t="inlineStr">
        <is>
          <t xml:space="preserve">  PLCR = NPV(CFADS over project life) / Debt Outstanding</t>
        </is>
      </c>
    </row>
    <row r="210">
      <c r="A210" s="33" t="inlineStr">
        <is>
          <t xml:space="preserve">  LLCR ~1.4x+ typical for investment grade</t>
        </is>
      </c>
    </row>
    <row r="211">
      <c r="A211" s="33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7" t="inlineStr">
        <is>
          <t>SITUATION</t>
        </is>
      </c>
    </row>
    <row r="6">
      <c r="A6" t="inlineStr">
        <is>
          <t>150-mile 345kV line, $180mm equity.</t>
        </is>
      </c>
    </row>
    <row r="8">
      <c r="A8" s="27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5" t="inlineStr">
        <is>
          <t>Model_Quick - Transmission (90-min build)</t>
        </is>
      </c>
    </row>
    <row r="2">
      <c r="D2" s="27" t="inlineStr">
        <is>
          <t>Y0 (2025)</t>
        </is>
      </c>
      <c r="E2" s="27" t="inlineStr">
        <is>
          <t>Y1 (2026)</t>
        </is>
      </c>
      <c r="F2" s="27" t="inlineStr">
        <is>
          <t>Y2 (2027)</t>
        </is>
      </c>
      <c r="G2" s="27" t="inlineStr">
        <is>
          <t>Y3 (2028)</t>
        </is>
      </c>
      <c r="H2" s="27" t="inlineStr">
        <is>
          <t>Y4 (2029)</t>
        </is>
      </c>
      <c r="I2" s="27" t="inlineStr">
        <is>
          <t>Y5 (2030)</t>
        </is>
      </c>
      <c r="J2" s="27" t="inlineStr">
        <is>
          <t>Y6 (2031)</t>
        </is>
      </c>
      <c r="K2" s="27" t="inlineStr">
        <is>
          <t>Y7 (2032)</t>
        </is>
      </c>
      <c r="L2" s="27" t="inlineStr">
        <is>
          <t>Y8 (2033)</t>
        </is>
      </c>
      <c r="M2" s="27" t="inlineStr">
        <is>
          <t>Y9 (2034)</t>
        </is>
      </c>
      <c r="N2" s="27" t="inlineStr">
        <is>
          <t>Y10 (2035)</t>
        </is>
      </c>
    </row>
    <row r="4">
      <c r="A4" s="31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6">
        <f>D12</f>
        <v/>
      </c>
    </row>
    <row r="6">
      <c r="A6" t="inlineStr">
        <is>
          <t>Debt %</t>
        </is>
      </c>
      <c r="B6" t="inlineStr">
        <is>
          <t>%</t>
        </is>
      </c>
      <c r="D6" s="37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7">
        <f>D57</f>
        <v/>
      </c>
    </row>
    <row r="9">
      <c r="A9" t="inlineStr">
        <is>
          <t>MOIC</t>
        </is>
      </c>
      <c r="B9" t="inlineStr">
        <is>
          <t>x</t>
        </is>
      </c>
      <c r="D9" s="39">
        <f>D58</f>
        <v/>
      </c>
    </row>
    <row r="11">
      <c r="A11" s="31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0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0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0" t="n">
        <v>9</v>
      </c>
    </row>
    <row r="15">
      <c r="A15" t="inlineStr">
        <is>
          <t>Exit Year</t>
        </is>
      </c>
      <c r="B15" t="inlineStr">
        <is>
          <t>yr</t>
        </is>
      </c>
      <c r="D15" s="40" t="n">
        <v>20</v>
      </c>
    </row>
    <row r="17">
      <c r="A17" s="31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0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0" t="n">
        <v>0.55</v>
      </c>
    </row>
    <row r="20">
      <c r="A20" t="inlineStr">
        <is>
          <t>Y1 EBITDA</t>
        </is>
      </c>
      <c r="B20" t="inlineStr">
        <is>
          <t>$mm</t>
        </is>
      </c>
      <c r="D20" s="40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0" t="n">
        <v>0.02</v>
      </c>
    </row>
    <row r="23">
      <c r="A23" s="31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0" t="n">
        <v>0.75</v>
      </c>
    </row>
    <row r="25">
      <c r="A25" t="inlineStr">
        <is>
          <t>Interest Rate</t>
        </is>
      </c>
      <c r="B25" t="inlineStr">
        <is>
          <t>%</t>
        </is>
      </c>
      <c r="D25" s="40" t="n">
        <v>0.05</v>
      </c>
    </row>
    <row r="26">
      <c r="A26" t="inlineStr">
        <is>
          <t>Debt Tenor</t>
        </is>
      </c>
      <c r="B26" t="inlineStr">
        <is>
          <t>yrs</t>
        </is>
      </c>
      <c r="D26" s="40" t="n">
        <v>20</v>
      </c>
    </row>
    <row r="28">
      <c r="A28" s="31" t="inlineStr">
        <is>
          <t>═══ SOURCES &amp; USES ═══</t>
        </is>
      </c>
    </row>
    <row r="29">
      <c r="A29" s="27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7" t="inlineStr">
        <is>
          <t>Total Uses</t>
        </is>
      </c>
      <c r="D32" s="36">
        <f>D30+D31</f>
        <v/>
      </c>
    </row>
    <row r="34">
      <c r="A34" s="27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7" t="inlineStr">
        <is>
          <t>Total Sources</t>
        </is>
      </c>
      <c r="D37" s="36">
        <f>D35+D36</f>
        <v/>
      </c>
    </row>
    <row r="38">
      <c r="A38" t="inlineStr">
        <is>
          <t>Balance Check</t>
        </is>
      </c>
      <c r="D38" s="36">
        <f>IF(ABS(D32-D37)&lt;0.01,"PASS","FAIL")</f>
        <v/>
      </c>
    </row>
    <row r="40">
      <c r="A40" s="31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1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1">
        <f>E44*$D$25</f>
        <v/>
      </c>
      <c r="F45" s="41">
        <f>F44*$D$25</f>
        <v/>
      </c>
      <c r="G45" s="41">
        <f>G44*$D$25</f>
        <v/>
      </c>
      <c r="H45" s="41">
        <f>H44*$D$25</f>
        <v/>
      </c>
      <c r="I45" s="41">
        <f>I44*$D$25</f>
        <v/>
      </c>
      <c r="J45" s="41">
        <f>J44*$D$25</f>
        <v/>
      </c>
      <c r="K45" s="41">
        <f>K44*$D$25</f>
        <v/>
      </c>
      <c r="L45" s="41">
        <f>L44*$D$25</f>
        <v/>
      </c>
      <c r="M45" s="41">
        <f>M44*$D$25</f>
        <v/>
      </c>
      <c r="N45" s="41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1">
        <f>MIN($D$35/$D$26,E44)</f>
        <v/>
      </c>
      <c r="F46" s="41">
        <f>MIN($D$35/$D$26,F44)</f>
        <v/>
      </c>
      <c r="G46" s="41">
        <f>MIN($D$35/$D$26,G44)</f>
        <v/>
      </c>
      <c r="H46" s="41">
        <f>MIN($D$35/$D$26,H44)</f>
        <v/>
      </c>
      <c r="I46" s="41">
        <f>MIN($D$35/$D$26,I44)</f>
        <v/>
      </c>
      <c r="J46" s="41">
        <f>MIN($D$35/$D$26,J44)</f>
        <v/>
      </c>
      <c r="K46" s="41">
        <f>MIN($D$35/$D$26,K44)</f>
        <v/>
      </c>
      <c r="L46" s="41">
        <f>MIN($D$35/$D$26,L44)</f>
        <v/>
      </c>
      <c r="M46" s="41">
        <f>MIN($D$35/$D$26,M44)</f>
        <v/>
      </c>
      <c r="N46" s="41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1">
        <f>MAX(0,E44-E46)</f>
        <v/>
      </c>
      <c r="F47" s="41">
        <f>MAX(0,F44-F46)</f>
        <v/>
      </c>
      <c r="G47" s="41">
        <f>MAX(0,G44-G46)</f>
        <v/>
      </c>
      <c r="H47" s="41">
        <f>MAX(0,H44-H46)</f>
        <v/>
      </c>
      <c r="I47" s="41">
        <f>MAX(0,I44-I46)</f>
        <v/>
      </c>
      <c r="J47" s="41">
        <f>MAX(0,J44-J46)</f>
        <v/>
      </c>
      <c r="K47" s="41">
        <f>MAX(0,K44-K46)</f>
        <v/>
      </c>
      <c r="L47" s="41">
        <f>MAX(0,L44-L46)</f>
        <v/>
      </c>
      <c r="M47" s="41">
        <f>MAX(0,M44-M46)</f>
        <v/>
      </c>
      <c r="N47" s="41">
        <f>MAX(0,N44-N46)</f>
        <v/>
      </c>
    </row>
    <row r="49">
      <c r="A49" s="31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1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38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1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1">
        <f>IF(1=$D$15,D53,0)</f>
        <v/>
      </c>
      <c r="F55" s="41">
        <f>IF(2=$D$15,D53,0)</f>
        <v/>
      </c>
      <c r="G55" s="41">
        <f>IF(3=$D$15,D53,0)</f>
        <v/>
      </c>
      <c r="H55" s="41">
        <f>IF(4=$D$15,D53,0)</f>
        <v/>
      </c>
      <c r="I55" s="41">
        <f>IF(5=$D$15,D53,0)</f>
        <v/>
      </c>
      <c r="J55" s="41">
        <f>IF(6=$D$15,D53,0)</f>
        <v/>
      </c>
      <c r="K55" s="41">
        <f>IF(7=$D$15,D53,0)</f>
        <v/>
      </c>
      <c r="L55" s="41">
        <f>IF(8=$D$15,D53,0)</f>
        <v/>
      </c>
      <c r="M55" s="41">
        <f>IF(9=$D$15,D53,0)</f>
        <v/>
      </c>
      <c r="N55" s="41">
        <f>IF(10=$D$15,D53,0)</f>
        <v/>
      </c>
    </row>
    <row r="57">
      <c r="A57" s="27" t="inlineStr">
        <is>
          <t>Levered IRR</t>
        </is>
      </c>
      <c r="B57" t="inlineStr">
        <is>
          <t>%</t>
        </is>
      </c>
      <c r="D57" s="37">
        <f>IRR(D55:N55)</f>
        <v/>
      </c>
    </row>
    <row r="58">
      <c r="A58" s="27" t="inlineStr">
        <is>
          <t>MOIC</t>
        </is>
      </c>
      <c r="B58" t="inlineStr">
        <is>
          <t>x</t>
        </is>
      </c>
      <c r="D58" s="39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inlineStr"/>
      <c r="D120" s="15">
        <f>D62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inlineStr"/>
      <c r="D121" s="7">
        <f>D109+D110</f>
        <v/>
      </c>
    </row>
    <row r="122">
      <c r="A122" s="5" t="inlineStr">
        <is>
          <t>Balance Check</t>
        </is>
      </c>
      <c r="B122" s="6" t="inlineStr"/>
      <c r="C122" s="6" t="inlineStr"/>
      <c r="D122" s="10">
        <f>IF(ABS(D105-D111)&lt;0.01,"PASS","FAIL")</f>
        <v/>
      </c>
    </row>
    <row r="124">
      <c r="A124" s="3" t="inlineStr">
        <is>
          <t>EXIT CALCULATIONS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N127" s="15">
        <f>N116*$D$44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N117-N118+N119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5">
        <f>-D58</f>
        <v/>
      </c>
      <c r="E133" s="15">
        <f>-E59</f>
        <v/>
      </c>
      <c r="F133" s="15">
        <f>-F60</f>
        <v/>
      </c>
      <c r="G133" s="15">
        <f>-G61-G90+G96</f>
        <v/>
      </c>
      <c r="H133" s="15">
        <f>H96</f>
        <v/>
      </c>
      <c r="I133" s="15">
        <f>I96</f>
        <v/>
      </c>
      <c r="J133" s="15">
        <f>J96</f>
        <v/>
      </c>
      <c r="K133" s="15">
        <f>K96</f>
        <v/>
      </c>
      <c r="L133" s="15">
        <f>L96</f>
        <v/>
      </c>
      <c r="M133" s="15">
        <f>M96</f>
        <v/>
      </c>
      <c r="N133" s="15">
        <f>N96+N120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0">
        <f>IRR(D123:N123)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19">
        <f>SUMIF(D123:N123,"&gt;0")/-SUMIF(D123:N123,"&lt;0")</f>
        <v/>
      </c>
    </row>
    <row r="137">
      <c r="A137" s="18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5">
        <f>-$D$17</f>
        <v/>
      </c>
      <c r="E138" s="15">
        <f>-$D$18</f>
        <v/>
      </c>
      <c r="F138" s="15">
        <f>-$D$19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5">
        <f>L76</f>
        <v/>
      </c>
      <c r="M138" s="15">
        <f>M76</f>
        <v/>
      </c>
      <c r="N138" s="15">
        <f>N76+N117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0">
        <f>IRR(D128:N128)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1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39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39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>
        <is>
          <t>IRR of Equity CFs</t>
        </is>
      </c>
      <c r="D140" s="20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19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>
        <is>
          <t>IRR of Equity CFs</t>
        </is>
      </c>
      <c r="D145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2026-01-20T22:45:39Z</dcterms:modified>
</cp:coreProperties>
</file>