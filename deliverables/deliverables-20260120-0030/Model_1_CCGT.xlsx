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20" fillId="0" borderId="0" pivotButton="0" quotePrefix="0" xfId="0"/>
    <xf numFmtId="0" fontId="21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M3" s="53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4" t="inlineStr">
        <is>
          <t>+/- 5% Entry → ~+/- 1% IRR</t>
        </is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  <c r="M5" s="54" t="inlineStr">
        <is>
          <t>+/- 0.5x Exit → ~+/- 1.5% IRR</t>
        </is>
      </c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 t="n"/>
    </row>
    <row r="23">
      <c r="A23" s="5" t="inlineStr">
        <is>
          <t>Debt Payoff Y7</t>
        </is>
      </c>
      <c r="B23" s="6" t="inlineStr"/>
      <c r="C23" s="6" t="inlineStr"/>
      <c r="D23" s="10">
        <f>IF(K103&lt;1,"PASS","FAIL")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IF(MIN(E104:K104)&gt;=1.25,"PASS","FAIL")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$D$65*E72/1000000</f>
        <v/>
      </c>
      <c r="F76" s="18">
        <f>$D$65*F72/1000000</f>
        <v/>
      </c>
      <c r="G76" s="18">
        <f>$D$65*G72/1000000</f>
        <v/>
      </c>
      <c r="H76" s="18">
        <f>$D$65*H72/1000000</f>
        <v/>
      </c>
      <c r="I76" s="18">
        <f>$D$65*I72/1000000</f>
        <v/>
      </c>
      <c r="J76" s="18">
        <f>$D$65*J72/1000000</f>
        <v/>
      </c>
      <c r="K76" s="18">
        <f>$D$65*K72/1000000</f>
        <v/>
      </c>
      <c r="L76" s="18">
        <f>$D$65*L72/1000000</f>
        <v/>
      </c>
      <c r="M76" s="18">
        <f>$D$65*M72/1000000</f>
        <v/>
      </c>
      <c r="N76" s="18">
        <f>$D$65*N72/1000000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$D$34*E73*1000/1000000</f>
        <v/>
      </c>
      <c r="F77" s="18">
        <f>$D$34*F73*1000/1000000</f>
        <v/>
      </c>
      <c r="G77" s="18">
        <f>$D$34*G73*1000/1000000</f>
        <v/>
      </c>
      <c r="H77" s="18">
        <f>$D$34*H73*1000/1000000</f>
        <v/>
      </c>
      <c r="I77" s="18">
        <f>$D$34*I73*1000/1000000</f>
        <v/>
      </c>
      <c r="J77" s="18">
        <f>$D$34*J73*1000/1000000</f>
        <v/>
      </c>
      <c r="K77" s="18">
        <f>$D$34*K73*1000/1000000</f>
        <v/>
      </c>
      <c r="L77" s="18">
        <f>$D$34*L73*1000/1000000</f>
        <v/>
      </c>
      <c r="M77" s="18">
        <f>$D$34*M73*1000/1000000</f>
        <v/>
      </c>
      <c r="N77" s="18">
        <f>$D$34*N73*1000/1000000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E76+E77</f>
        <v/>
      </c>
      <c r="F78" s="20">
        <f>F76+F77</f>
        <v/>
      </c>
      <c r="G78" s="20">
        <f>G76+G77</f>
        <v/>
      </c>
      <c r="H78" s="20">
        <f>H76+H77</f>
        <v/>
      </c>
      <c r="I78" s="20">
        <f>I76+I77</f>
        <v/>
      </c>
      <c r="J78" s="20">
        <f>J76+J77</f>
        <v/>
      </c>
      <c r="K78" s="20">
        <f>K76+K77</f>
        <v/>
      </c>
      <c r="L78" s="20">
        <f>L76+L77</f>
        <v/>
      </c>
      <c r="M78" s="20">
        <f>M76+M77</f>
        <v/>
      </c>
      <c r="N78" s="20">
        <f>N76+N77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$D$65*$D$35*E74/1000000000</f>
        <v/>
      </c>
      <c r="F80" s="18">
        <f>$D$65*$D$35*F74/1000000000</f>
        <v/>
      </c>
      <c r="G80" s="18">
        <f>$D$65*$D$35*G74/1000000000</f>
        <v/>
      </c>
      <c r="H80" s="18">
        <f>$D$65*$D$35*H74/1000000000</f>
        <v/>
      </c>
      <c r="I80" s="18">
        <f>$D$65*$D$35*I74/1000000000</f>
        <v/>
      </c>
      <c r="J80" s="18">
        <f>$D$65*$D$35*J74/1000000000</f>
        <v/>
      </c>
      <c r="K80" s="18">
        <f>$D$65*$D$35*K74/1000000000</f>
        <v/>
      </c>
      <c r="L80" s="18">
        <f>$D$65*$D$35*L74/1000000000</f>
        <v/>
      </c>
      <c r="M80" s="18">
        <f>$D$65*$D$35*M74/1000000000</f>
        <v/>
      </c>
      <c r="N80" s="18">
        <f>$D$65*$D$35*N74/1000000000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2">
        <f>E72-($D$35/1000)*E74</f>
        <v/>
      </c>
      <c r="F81" s="52">
        <f>F72-($D$35/1000)*F74</f>
        <v/>
      </c>
      <c r="G81" s="52">
        <f>G72-($D$35/1000)*G74</f>
        <v/>
      </c>
      <c r="H81" s="52">
        <f>H72-($D$35/1000)*H74</f>
        <v/>
      </c>
      <c r="I81" s="52">
        <f>I72-($D$35/1000)*I74</f>
        <v/>
      </c>
      <c r="J81" s="52">
        <f>J72-($D$35/1000)*J74</f>
        <v/>
      </c>
      <c r="K81" s="52">
        <f>K72-($D$35/1000)*K74</f>
        <v/>
      </c>
      <c r="L81" s="52">
        <f>L72-($D$35/1000)*L74</f>
        <v/>
      </c>
      <c r="M81" s="52">
        <f>M72-($D$35/1000)*M74</f>
        <v/>
      </c>
      <c r="N81" s="52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$D$65*$D$46/1000000</f>
        <v/>
      </c>
      <c r="F82" s="18">
        <f>$D$65*$D$46/1000000</f>
        <v/>
      </c>
      <c r="G82" s="18">
        <f>$D$65*$D$46/1000000</f>
        <v/>
      </c>
      <c r="H82" s="18">
        <f>$D$65*$D$46/1000000</f>
        <v/>
      </c>
      <c r="I82" s="18">
        <f>$D$65*$D$46/1000000</f>
        <v/>
      </c>
      <c r="J82" s="18">
        <f>$D$65*$D$46/1000000</f>
        <v/>
      </c>
      <c r="K82" s="18">
        <f>$D$65*$D$46/1000000</f>
        <v/>
      </c>
      <c r="L82" s="18">
        <f>$D$65*$D$46/1000000</f>
        <v/>
      </c>
      <c r="M82" s="18">
        <f>$D$65*$D$46/1000000</f>
        <v/>
      </c>
      <c r="N82" s="18">
        <f>$D$65*$D$46/1000000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$D$34*$D$47*1000/1000000</f>
        <v/>
      </c>
      <c r="F83" s="18">
        <f>$D$34*$D$47*1000/1000000</f>
        <v/>
      </c>
      <c r="G83" s="18">
        <f>$D$34*$D$47*1000/1000000</f>
        <v/>
      </c>
      <c r="H83" s="18">
        <f>$D$34*$D$47*1000/1000000</f>
        <v/>
      </c>
      <c r="I83" s="18">
        <f>$D$34*$D$47*1000/1000000</f>
        <v/>
      </c>
      <c r="J83" s="18">
        <f>$D$34*$D$47*1000/1000000</f>
        <v/>
      </c>
      <c r="K83" s="18">
        <f>$D$34*$D$47*1000/1000000</f>
        <v/>
      </c>
      <c r="L83" s="18">
        <f>$D$34*$D$47*1000/1000000</f>
        <v/>
      </c>
      <c r="M83" s="18">
        <f>$D$34*$D$47*1000/1000000</f>
        <v/>
      </c>
      <c r="N83" s="18">
        <f>$D$34*$D$47*1000/1000000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E80+E82+E83</f>
        <v/>
      </c>
      <c r="F84" s="18">
        <f>F80+F82+F83</f>
        <v/>
      </c>
      <c r="G84" s="18">
        <f>G80+G82+G83</f>
        <v/>
      </c>
      <c r="H84" s="18">
        <f>H80+H82+H83</f>
        <v/>
      </c>
      <c r="I84" s="18">
        <f>I80+I82+I83</f>
        <v/>
      </c>
      <c r="J84" s="18">
        <f>J80+J82+J83</f>
        <v/>
      </c>
      <c r="K84" s="18">
        <f>K80+K82+K83</f>
        <v/>
      </c>
      <c r="L84" s="18">
        <f>L80+L82+L83</f>
        <v/>
      </c>
      <c r="M84" s="18">
        <f>M80+M82+M83</f>
        <v/>
      </c>
      <c r="N84" s="18">
        <f>N80+N82+N83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E78-E84</f>
        <v/>
      </c>
      <c r="F86" s="7">
        <f>F78-F84</f>
        <v/>
      </c>
      <c r="G86" s="7">
        <f>G78-G84</f>
        <v/>
      </c>
      <c r="H86" s="7">
        <f>H78-H84</f>
        <v/>
      </c>
      <c r="I86" s="7">
        <f>I78-I84</f>
        <v/>
      </c>
      <c r="J86" s="7">
        <f>J78-J84</f>
        <v/>
      </c>
      <c r="K86" s="7">
        <f>K78-K84</f>
        <v/>
      </c>
      <c r="L86" s="7">
        <f>L78-L84</f>
        <v/>
      </c>
      <c r="M86" s="7">
        <f>M78-M84</f>
        <v/>
      </c>
      <c r="N86" s="7">
        <f>N78-N84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MAX(0,E90)*$D$58</f>
        <v/>
      </c>
      <c r="F91" s="18">
        <f>MAX(0,F90)*$D$58</f>
        <v/>
      </c>
      <c r="G91" s="18">
        <f>MAX(0,G90)*$D$58</f>
        <v/>
      </c>
      <c r="H91" s="18">
        <f>MAX(0,H90)*$D$58</f>
        <v/>
      </c>
      <c r="I91" s="18">
        <f>MAX(0,I90)*$D$58</f>
        <v/>
      </c>
      <c r="J91" s="18">
        <f>MAX(0,J90)*$D$58</f>
        <v/>
      </c>
      <c r="K91" s="18">
        <f>MAX(0,K90)*$D$58</f>
        <v/>
      </c>
      <c r="L91" s="18">
        <f>MAX(0,L90)*$D$58</f>
        <v/>
      </c>
      <c r="M91" s="18">
        <f>MAX(0,M90)*$D$58</f>
        <v/>
      </c>
      <c r="N91" s="18">
        <f>MAX(0,N90)*$D$58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E86-E91</f>
        <v/>
      </c>
      <c r="F92" s="7">
        <f>F86-F91</f>
        <v/>
      </c>
      <c r="G92" s="7">
        <f>G86-G91</f>
        <v/>
      </c>
      <c r="H92" s="7">
        <f>H86-H91</f>
        <v/>
      </c>
      <c r="I92" s="7">
        <f>I86-I91</f>
        <v/>
      </c>
      <c r="J92" s="7">
        <f>J86-J91</f>
        <v/>
      </c>
      <c r="K92" s="7">
        <f>K86-K91</f>
        <v/>
      </c>
      <c r="L92" s="7">
        <f>L86-L91</f>
        <v/>
      </c>
      <c r="M92" s="7">
        <f>M86-M91</f>
        <v/>
      </c>
      <c r="N92" s="7">
        <f>N86-N91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D96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E96*$D$51</f>
        <v/>
      </c>
      <c r="F97" s="18">
        <f>F96*$D$51</f>
        <v/>
      </c>
      <c r="G97" s="18">
        <f>G96*$D$51</f>
        <v/>
      </c>
      <c r="H97" s="18">
        <f>H96*$D$51</f>
        <v/>
      </c>
      <c r="I97" s="18">
        <f>I96*$D$51</f>
        <v/>
      </c>
      <c r="J97" s="18">
        <f>J96*$D$51</f>
        <v/>
      </c>
      <c r="K97" s="18">
        <f>K96*$D$51</f>
        <v/>
      </c>
      <c r="L97" s="18">
        <f>L96*$D$51</f>
        <v/>
      </c>
      <c r="M97" s="18">
        <f>M96*$D$51</f>
        <v/>
      </c>
      <c r="N97" s="18">
        <f>N96*$D$51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MIN($D$68,E96)</f>
        <v/>
      </c>
      <c r="F98" s="18">
        <f>MIN($D$68,F96)</f>
        <v/>
      </c>
      <c r="G98" s="18">
        <f>MIN($D$68,G96)</f>
        <v/>
      </c>
      <c r="H98" s="18">
        <f>MIN($D$68,H96)</f>
        <v/>
      </c>
      <c r="I98" s="18">
        <f>MIN($D$68,I96)</f>
        <v/>
      </c>
      <c r="J98" s="18">
        <f>MIN($D$68,J96)</f>
        <v/>
      </c>
      <c r="K98" s="18">
        <f>MIN($D$68,K96)</f>
        <v/>
      </c>
      <c r="L98" s="18">
        <f>MIN($D$68,L96)</f>
        <v/>
      </c>
      <c r="M98" s="18">
        <f>MIN($D$68,M96)</f>
        <v/>
      </c>
      <c r="N98" s="18">
        <f>MIN($D$68,N96)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MIN(E100*$D$54,MAX(0,E96-E98))</f>
        <v/>
      </c>
      <c r="F101" s="21">
        <f>MIN(F100*$D$54,MAX(0,F96-F98))</f>
        <v/>
      </c>
      <c r="G101" s="21">
        <f>MIN(G100*$D$54,MAX(0,G96-G98))</f>
        <v/>
      </c>
      <c r="H101" s="21">
        <f>MIN(H100*$D$54,MAX(0,H96-H98))</f>
        <v/>
      </c>
      <c r="I101" s="21">
        <f>MIN(I100*$D$54,MAX(0,I96-I98))</f>
        <v/>
      </c>
      <c r="J101" s="21">
        <f>MIN(J100*$D$54,MAX(0,J96-J98))</f>
        <v/>
      </c>
      <c r="K101" s="21">
        <f>MIN(K100*$D$54,MAX(0,K96-K98))</f>
        <v/>
      </c>
      <c r="L101" s="21">
        <f>MIN(L100*$D$54,MAX(0,L96-L98))</f>
        <v/>
      </c>
      <c r="M101" s="21">
        <f>MIN(M100*$D$54,MAX(0,M96-M98))</f>
        <v/>
      </c>
      <c r="N101" s="21">
        <f>MIN(N100*$D$54,MAX(0,N96-N98))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E98+E101</f>
        <v/>
      </c>
      <c r="F102" s="18">
        <f>F98+F101</f>
        <v/>
      </c>
      <c r="G102" s="18">
        <f>G98+G101</f>
        <v/>
      </c>
      <c r="H102" s="18">
        <f>H98+H101</f>
        <v/>
      </c>
      <c r="I102" s="18">
        <f>I98+I101</f>
        <v/>
      </c>
      <c r="J102" s="18">
        <f>J98+J101</f>
        <v/>
      </c>
      <c r="K102" s="18">
        <f>K98+K101</f>
        <v/>
      </c>
      <c r="L102" s="18">
        <f>L98+L101</f>
        <v/>
      </c>
      <c r="M102" s="18">
        <f>M98+M101</f>
        <v/>
      </c>
      <c r="N102" s="18">
        <f>N98+N101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18">
        <f>MAX(0,E96-E102)</f>
        <v/>
      </c>
      <c r="F103" s="18">
        <f>MAX(0,F96-F102)</f>
        <v/>
      </c>
      <c r="G103" s="18">
        <f>MAX(0,G96-G102)</f>
        <v/>
      </c>
      <c r="H103" s="18">
        <f>MAX(0,H96-H102)</f>
        <v/>
      </c>
      <c r="I103" s="18">
        <f>MAX(0,I96-I102)</f>
        <v/>
      </c>
      <c r="J103" s="18">
        <f>MAX(0,J96-J102)</f>
        <v/>
      </c>
      <c r="K103" s="18">
        <f>MAX(0,K96-K102)</f>
        <v/>
      </c>
      <c r="L103" s="18">
        <f>MAX(0,L96-L102)</f>
        <v/>
      </c>
      <c r="M103" s="18">
        <f>MAX(0,M96-M102)</f>
        <v/>
      </c>
      <c r="N103" s="18">
        <f>MAX(0,N96-N102)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IF(E99&gt;0,E92/E99,0)</f>
        <v/>
      </c>
      <c r="F104" s="24">
        <f>IF(F99&gt;0,F92/F99,0)</f>
        <v/>
      </c>
      <c r="G104" s="24">
        <f>IF(G99&gt;0,G92/G99,0)</f>
        <v/>
      </c>
      <c r="H104" s="24">
        <f>IF(H99&gt;0,H92/H99,0)</f>
        <v/>
      </c>
      <c r="I104" s="24">
        <f>IF(I99&gt;0,I92/I99,0)</f>
        <v/>
      </c>
      <c r="J104" s="24">
        <f>IF(J99&gt;0,J92/J99,0)</f>
        <v/>
      </c>
      <c r="K104" s="24">
        <f>IF(K99&gt;0,K92/K99,0)</f>
        <v/>
      </c>
      <c r="L104" s="24">
        <f>IF(L99&gt;0,L92/L99,0)</f>
        <v/>
      </c>
      <c r="M104" s="24">
        <f>IF(M99&gt;0,M92/M99,0)</f>
        <v/>
      </c>
      <c r="N104" s="24">
        <f>IF(N99&gt;0,N92/N99,0)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E106">
        <f>MAX(0,$D$66-(1-1)*$D$68)*$D$51+$D$68</f>
        <v/>
      </c>
      <c r="F106">
        <f>MAX(0,$D$66-(2-1)*$D$68)*$D$51+$D$68</f>
        <v/>
      </c>
      <c r="G106">
        <f>MAX(0,$D$66-(3-1)*$D$68)*$D$51+$D$68</f>
        <v/>
      </c>
      <c r="H106">
        <f>MAX(0,$D$66-(4-1)*$D$68)*$D$51+$D$68</f>
        <v/>
      </c>
      <c r="I106">
        <f>MAX(0,$D$66-(5-1)*$D$68)*$D$51+$D$68</f>
        <v/>
      </c>
      <c r="J106">
        <f>MAX(0,$D$66-(6-1)*$D$68)*$D$51+$D$68</f>
        <v/>
      </c>
      <c r="K106">
        <f>MAX(0,$D$66-(7-1)*$D$68)*$D$51+$D$68</f>
        <v/>
      </c>
      <c r="L106">
        <f>MAX(0,$D$66-(8-1)*$D$68)*$D$51+$D$68</f>
        <v/>
      </c>
      <c r="M106">
        <f>MAX(0,$D$66-(9-1)*$D$68)*$D$51+$D$68</f>
        <v/>
      </c>
      <c r="N106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E109+E110</f>
        <v/>
      </c>
      <c r="F111" s="18">
        <f>F109+F110</f>
        <v/>
      </c>
      <c r="G111" s="18">
        <f>G109+G110</f>
        <v/>
      </c>
      <c r="H111" s="18">
        <f>H109+H110</f>
        <v/>
      </c>
      <c r="I111" s="18">
        <f>I109+I110</f>
        <v/>
      </c>
      <c r="J111" s="18">
        <f>J109+J110</f>
        <v/>
      </c>
      <c r="K111" s="18">
        <f>K109+K110</f>
        <v/>
      </c>
      <c r="L111" s="18">
        <f>L109+L110</f>
        <v/>
      </c>
      <c r="M111" s="18">
        <f>M109+M110</f>
        <v/>
      </c>
      <c r="N111" s="18">
        <f>N109+N110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IF(E116="PASS",MAX(0,E115),0)</f>
        <v/>
      </c>
      <c r="F117" s="7">
        <f>IF(F116="PASS",MAX(0,F115),0)</f>
        <v/>
      </c>
      <c r="G117" s="7">
        <f>IF(G116="PASS",MAX(0,G115),0)</f>
        <v/>
      </c>
      <c r="H117" s="7">
        <f>IF(H116="PASS",MAX(0,H115),0)</f>
        <v/>
      </c>
      <c r="I117" s="7">
        <f>IF(I116="PASS",MAX(0,I115),0)</f>
        <v/>
      </c>
      <c r="J117" s="7">
        <f>IF(J116="PASS",MAX(0,J115),0)</f>
        <v/>
      </c>
      <c r="K117" s="7">
        <f>IF(K116="PASS",MAX(0,K115),0)</f>
        <v/>
      </c>
      <c r="L117" s="7">
        <f>IF(L116="PASS",MAX(0,L115),0)</f>
        <v/>
      </c>
      <c r="M117" s="7">
        <f>IF(M116="PASS",MAX(0,M115),0)</f>
        <v/>
      </c>
      <c r="N117" s="7">
        <f>IF(N116="PASS",MAX(0,N115),0)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D122+D123+D124</f>
        <v/>
      </c>
    </row>
    <row r="126">
      <c r="D126">
        <f>$D$28*$D$29</f>
        <v/>
      </c>
    </row>
    <row r="127">
      <c r="A127" s="23" t="inlineStr">
        <is>
          <t>SOURCES</t>
        </is>
      </c>
      <c r="B127" s="6" t="inlineStr"/>
      <c r="C127" s="6" t="inlineStr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D128+D129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$D$28*$D$50</f>
        <v/>
      </c>
    </row>
    <row r="132">
      <c r="D132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>
        <f>D128-D133</f>
        <v/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t="inlineStr">
        <is>
          <t>Exit EBITDA</t>
        </is>
      </c>
      <c r="D139">
        <f>K86</f>
        <v/>
      </c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-D129</f>
        <v/>
      </c>
      <c r="E141" s="18">
        <f>E117</f>
        <v/>
      </c>
      <c r="F141" s="18">
        <f>F117</f>
        <v/>
      </c>
      <c r="G141" s="18">
        <f>G117</f>
        <v/>
      </c>
      <c r="H141" s="18">
        <f>H117</f>
        <v/>
      </c>
      <c r="I141" s="18">
        <f>I117</f>
        <v/>
      </c>
      <c r="J141" s="18">
        <f>J117</f>
        <v/>
      </c>
      <c r="K141" s="18">
        <f>K117+D143</f>
        <v/>
      </c>
      <c r="L141" s="18" t="n">
        <v>0</v>
      </c>
      <c r="M141" s="18" t="n">
        <v>0</v>
      </c>
      <c r="N141" s="18" t="n">
        <v>0</v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IRR(D141:N141)</f>
        <v/>
      </c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24">
        <f>D140-D144+D145</f>
        <v/>
      </c>
    </row>
    <row r="144">
      <c r="A144" t="inlineStr">
        <is>
          <t>Exit Debt Balance</t>
        </is>
      </c>
      <c r="D144">
        <f>K103</f>
        <v/>
      </c>
    </row>
    <row r="145">
      <c r="A145" s="23" t="inlineStr">
        <is>
          <t>Exit DSRA Release</t>
        </is>
      </c>
      <c r="B145" s="6" t="inlineStr"/>
      <c r="C145" s="6" t="inlineStr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24">
        <f>(SUM(E141:K141))/-D141</f>
        <v/>
      </c>
    </row>
    <row r="148">
      <c r="D148" s="55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2026-01-21T02:37:28Z</dcterms:modified>
</cp:coreProperties>
</file>