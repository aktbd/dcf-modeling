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14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7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9" fillId="0" borderId="0" pivotButton="0" quotePrefix="0" xfId="0"/>
    <xf numFmtId="0" fontId="0" fillId="4" borderId="0" pivotButton="0" quotePrefix="0" xfId="0"/>
    <xf numFmtId="166" fontId="0" fillId="4" borderId="0" pivotButton="0" quotePrefix="0" xfId="0"/>
    <xf numFmtId="167" fontId="0" fillId="4" borderId="0" pivotButton="0" quotePrefix="0" xfId="0"/>
    <xf numFmtId="165" fontId="0" fillId="4" borderId="0" pivotButton="0" quotePrefix="0" xfId="0"/>
    <xf numFmtId="0" fontId="6" fillId="3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9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39" t="inlineStr">
        <is>
          <t>Intuition Guide - 1_CCGT</t>
        </is>
      </c>
    </row>
    <row r="2">
      <c r="A2" s="1" t="inlineStr">
        <is>
          <t>LOTUS INFRASTRUCTURE PARTNERS</t>
        </is>
      </c>
    </row>
    <row r="3">
      <c r="A3" s="1" t="inlineStr">
        <is>
          <t>CASE STUDY: COMBINED CYCLE GAS TURBINE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34" t="inlineStr">
        <is>
          <t>--- MODEL TIMELINE ---</t>
        </is>
      </c>
    </row>
    <row r="9">
      <c r="A9" t="inlineStr">
        <is>
          <t>Year 0 (2025): Transaction close Q4; debt funding at close</t>
        </is>
      </c>
    </row>
    <row r="10">
      <c r="A10" t="inlineStr">
        <is>
          <t>Year 1 (2026): First full operating year under Lotus ownership</t>
        </is>
      </c>
    </row>
    <row r="11">
      <c r="A11" t="inlineStr">
        <is>
          <t>Year 7 (2032): Target exit / debt maturity (75% cash sweep structure)</t>
        </is>
      </c>
    </row>
    <row r="12">
      <c r="A12" t="inlineStr">
        <is>
          <t>Year 10 (2035): Model horizon end</t>
        </is>
      </c>
    </row>
    <row r="14">
      <c r="A14" s="34" t="inlineStr">
        <is>
          <t>--- SITUATION ---</t>
        </is>
      </c>
    </row>
    <row r="15">
      <c r="A15" s="37" t="inlineStr">
        <is>
          <t>Lotus Infrastructure Partners has been approached by GenCo Partners regarding
the potential acquisition of a 365 MW combined-cycle gas turbine power plant
located in PJM West (AEP zone). The facility achieved commercial operation in
2015 and has approximately 15 years of remaining useful life.</t>
        </is>
      </c>
    </row>
    <row r="17">
      <c r="A17" s="37" t="inlineStr">
        <is>
          <t>The plant operates as a fully merchant facility, selling energy into PJM's
day-ahead and real-time markets and clearing in the RPM capacity auction.
Historical capacity factors have averaged 50-60%. The 7,000 Btu/kWh heat rate
makes it competitive against older thermal generation.</t>
        </is>
      </c>
    </row>
    <row r="19">
      <c r="A19" s="37" t="inlineStr">
        <is>
          <t>GenCo is divesting non-core assets to fund renewable development. They are
seeking $520mm with final bids expected by February 15, 2026.</t>
        </is>
      </c>
    </row>
    <row r="21">
      <c r="A21" s="34" t="inlineStr">
        <is>
          <t>--- KEY VALUE DRIVERS ---</t>
        </is>
      </c>
    </row>
    <row r="22">
      <c r="A22" t="inlineStr">
        <is>
          <t>* Spark Spread: Power price minus (Heat Rate x Gas Price) - core margin driver</t>
        </is>
      </c>
    </row>
    <row r="23">
      <c r="A23" t="inlineStr">
        <is>
          <t>* Capacity Factor: Drives MWh generation; modeled NET of outages</t>
        </is>
      </c>
    </row>
    <row r="24">
      <c r="A24" t="inlineStr">
        <is>
          <t>* Capacity Accreditation: UCAP rating determines capacity revenue</t>
        </is>
      </c>
    </row>
    <row r="25">
      <c r="A25" t="inlineStr">
        <is>
          <t>* Gas Basis: Spread between Henry Hub and local delivery point</t>
        </is>
      </c>
    </row>
    <row r="27">
      <c r="A27" s="34" t="inlineStr">
        <is>
          <t>--- STEP-BY-STEP MODEL BUILDING GUIDE ---</t>
        </is>
      </c>
    </row>
    <row r="28">
      <c r="A28" s="37" t="inlineStr">
        <is>
          <t>STEP-BY-STEP MODEL BUILDING GUIDE</t>
        </is>
      </c>
    </row>
    <row r="29">
      <c r="A29" s="37" t="inlineStr"/>
    </row>
    <row r="30">
      <c r="A30" s="37" t="inlineStr">
        <is>
          <t>1. SET UP INPUTS (Column D)</t>
        </is>
      </c>
    </row>
    <row r="31">
      <c r="A31" s="37" t="inlineStr">
        <is>
          <t xml:space="preserve">   - Transaction: Entry EV ($520mm), fees (1.5%), exit multiple (7x), exit year (7)</t>
        </is>
      </c>
    </row>
    <row r="32">
      <c r="A32" s="37" t="inlineStr">
        <is>
          <t xml:space="preserve">   - Asset: Capacity (365 MW), heat rate (7,000), CF (55%), FOR (5%)</t>
        </is>
      </c>
    </row>
    <row r="33">
      <c r="A33" s="37" t="inlineStr">
        <is>
          <t xml:space="preserve">   - Pricing: Power ($48/MWh), capacity ($110/kW-yr), gas ($3/MMBtu), esc (2.5%)</t>
        </is>
      </c>
    </row>
    <row r="34">
      <c r="A34" s="37" t="inlineStr">
        <is>
          <t xml:space="preserve">   - Financing: Leverage (45%), rate (6.5%), tenor (7 yrs), DSRA (6 mo), sweep (75%)</t>
        </is>
      </c>
    </row>
    <row r="35">
      <c r="A35" s="37" t="inlineStr"/>
    </row>
    <row r="36">
      <c r="A36" s="37" t="inlineStr">
        <is>
          <t>2. BUILD CALCULATED ITEMS</t>
        </is>
      </c>
    </row>
    <row r="37">
      <c r="A37" s="37" t="inlineStr">
        <is>
          <t xml:space="preserve">   - UCAP = Capacity x (1 - FOR) = 365 x 0.95 = 346.75 MW</t>
        </is>
      </c>
    </row>
    <row r="38">
      <c r="A38" s="37" t="inlineStr">
        <is>
          <t xml:space="preserve">   - Generation = Capacity x CF x 8,760 = 1,758,900 MWh</t>
        </is>
      </c>
    </row>
    <row r="39">
      <c r="A39" s="37" t="inlineStr">
        <is>
          <t xml:space="preserve">   - Debt Amount = Entry EV x Leverage = $234mm</t>
        </is>
      </c>
    </row>
    <row r="40">
      <c r="A40" s="37" t="inlineStr"/>
    </row>
    <row r="41">
      <c r="A41" s="37" t="inlineStr">
        <is>
          <t>3. BUILD OPERATING MODEL (Columns E-N)</t>
        </is>
      </c>
    </row>
    <row r="42">
      <c r="A42" s="37" t="inlineStr">
        <is>
          <t xml:space="preserve">   - Escalate prices: Yn = Y1 x (1 + esc)^(n-1)</t>
        </is>
      </c>
    </row>
    <row r="43">
      <c r="A43" s="37" t="inlineStr">
        <is>
          <t xml:space="preserve">   - Energy Revenue = Generation x Power Price / 1,000,000</t>
        </is>
      </c>
    </row>
    <row r="44">
      <c r="A44" s="37" t="inlineStr">
        <is>
          <t xml:space="preserve">   - Capacity Revenue = UCAP x Cap Price x 1,000 / 1,000,000</t>
        </is>
      </c>
    </row>
    <row r="45">
      <c r="A45" s="37" t="inlineStr">
        <is>
          <t xml:space="preserve">   - Fuel Cost = Generation x Heat Rate x Gas / 1,000,000,000</t>
        </is>
      </c>
    </row>
    <row r="46">
      <c r="A46" s="37" t="inlineStr">
        <is>
          <t xml:space="preserve">   - EBITDA = Revenue - OpEx</t>
        </is>
      </c>
    </row>
    <row r="47">
      <c r="A47" s="37" t="inlineStr"/>
    </row>
    <row r="48">
      <c r="A48" s="37" t="inlineStr">
        <is>
          <t>4. BUILD CASH FLOW</t>
        </is>
      </c>
    </row>
    <row r="49">
      <c r="A49" s="37" t="inlineStr">
        <is>
          <t xml:space="preserve">   - EBIT = EBITDA - Depreciation</t>
        </is>
      </c>
    </row>
    <row r="50">
      <c r="A50" s="37" t="inlineStr">
        <is>
          <t xml:space="preserve">   - Taxes = MAX(0, EBIT) x Tax Rate</t>
        </is>
      </c>
    </row>
    <row r="51">
      <c r="A51" s="37" t="inlineStr">
        <is>
          <t xml:space="preserve">   - CFADS = EBITDA - Taxes</t>
        </is>
      </c>
    </row>
    <row r="52">
      <c r="A52" s="37" t="inlineStr"/>
    </row>
    <row r="53">
      <c r="A53" s="37" t="inlineStr">
        <is>
          <t>5. BUILD DEBT SCHEDULE (CASH SWEEP)</t>
        </is>
      </c>
    </row>
    <row r="54">
      <c r="A54" s="37" t="inlineStr">
        <is>
          <t xml:space="preserve">   a) Beginning Balance: Y1 = Debt; Yn = Prior End Bal</t>
        </is>
      </c>
    </row>
    <row r="55">
      <c r="A55" s="37" t="inlineStr">
        <is>
          <t xml:space="preserve">   b) Interest = Beg Bal x Rate</t>
        </is>
      </c>
    </row>
    <row r="56">
      <c r="A56" s="37" t="inlineStr">
        <is>
          <t xml:space="preserve">   c) Scheduled Principal = MIN(Debt/Tenor, Beg Bal)</t>
        </is>
      </c>
    </row>
    <row r="57">
      <c r="A57" s="37" t="inlineStr">
        <is>
          <t xml:space="preserve">   d) Debt Service (Pre-Sweep) = Interest + Sched Prin</t>
        </is>
      </c>
    </row>
    <row r="58">
      <c r="A58" s="37" t="inlineStr">
        <is>
          <t xml:space="preserve">   e) Scheduled DS (for DSRA) = Independent calc using straight-line</t>
        </is>
      </c>
    </row>
    <row r="59">
      <c r="A59" s="37" t="inlineStr">
        <is>
          <t xml:space="preserve">   f) DSRA Target = NEXT Year's Sched DS x (DSRA Mo / 12)</t>
        </is>
      </c>
    </row>
    <row r="60">
      <c r="A60" s="37" t="inlineStr">
        <is>
          <t xml:space="preserve">   g) Excess Cash = CFADS - DS - DSRA Funding</t>
        </is>
      </c>
    </row>
    <row r="61">
      <c r="A61" s="37" t="inlineStr">
        <is>
          <t xml:space="preserve">   h) Cash Sweep = MIN(Excess x 75%, Beg Bal - Sched Prin)</t>
        </is>
      </c>
    </row>
    <row r="62">
      <c r="A62" s="37" t="inlineStr">
        <is>
          <t xml:space="preserve">   i) Ending Balance = MAX(0, Beg - Total Principal)</t>
        </is>
      </c>
    </row>
    <row r="63">
      <c r="A63" s="37" t="inlineStr">
        <is>
          <t xml:space="preserve">   j) DSCR = CFADS / DS (Pre-Sweep)</t>
        </is>
      </c>
    </row>
    <row r="64">
      <c r="A64" s="37" t="inlineStr"/>
    </row>
    <row r="65">
      <c r="A65" s="37" t="inlineStr">
        <is>
          <t>6. BUILD S&amp;U, EXIT, RETURNS</t>
        </is>
      </c>
    </row>
    <row r="66">
      <c r="A66" s="37" t="inlineStr">
        <is>
          <t xml:space="preserve">   - S&amp;U must balance (Uses = Sources)</t>
        </is>
      </c>
    </row>
    <row r="67">
      <c r="A67" s="37" t="inlineStr">
        <is>
          <t xml:space="preserve">   - Exit EV = EBITDA x Multiple</t>
        </is>
      </c>
    </row>
    <row r="68">
      <c r="A68" s="37" t="inlineStr">
        <is>
          <t xml:space="preserve">   - Levered IRR = IRR of equity cash flows</t>
        </is>
      </c>
    </row>
    <row r="70">
      <c r="A70" s="34" t="inlineStr">
        <is>
          <t>--- HOW TO AVOID CIRCULARITY ---</t>
        </is>
      </c>
    </row>
    <row r="71">
      <c r="A71" t="inlineStr">
        <is>
          <t>HOW TO AVOID DSRA CIRCULARITY</t>
        </is>
      </c>
    </row>
    <row r="73">
      <c r="A73" t="inlineStr">
        <is>
          <t>The Problem:</t>
        </is>
      </c>
    </row>
    <row r="74">
      <c r="A74" t="inlineStr">
        <is>
          <t>DSRA Target -&gt; Debt Service -&gt; Sweep -&gt; Excess Cash -&gt; DSRA Funding -&gt; DSRA Target</t>
        </is>
      </c>
    </row>
    <row r="76">
      <c r="A76" t="inlineStr">
        <is>
          <t>The Solution:</t>
        </is>
      </c>
    </row>
    <row r="77">
      <c r="A77" t="inlineStr">
        <is>
          <t>Use "Scheduled DS" (straight-line, no sweep) for DSRA sizing:</t>
        </is>
      </c>
    </row>
    <row r="78">
      <c r="A78" t="inlineStr">
        <is>
          <t>- Scheduled DS assumes NO cash sweep, just scheduled payments</t>
        </is>
      </c>
    </row>
    <row r="79">
      <c r="A79" t="inlineStr">
        <is>
          <t>- It's calculated INDEPENDENTLY of actual debt paydown</t>
        </is>
      </c>
    </row>
    <row r="80">
      <c r="A80" t="inlineStr">
        <is>
          <t>- DSRA Target references this independent row</t>
        </is>
      </c>
    </row>
    <row r="82">
      <c r="A82" t="inlineStr">
        <is>
          <t>Formula: Scheduled DS = MAX(0, Debt - (Yr-1) x Sched Prin) x Rate + Sched Prin</t>
        </is>
      </c>
    </row>
    <row r="84">
      <c r="A84" s="34" t="inlineStr">
        <is>
          <t>--- ALTERNATIVE SCENARIOS ---</t>
        </is>
      </c>
    </row>
    <row r="85">
      <c r="A85" t="inlineStr">
        <is>
          <t>ALTERNATIVE SCENARIOS</t>
        </is>
      </c>
    </row>
    <row r="87">
      <c r="A87" t="inlineStr">
        <is>
          <t>A. Sculpted Debt (not sweep):</t>
        </is>
      </c>
    </row>
    <row r="88">
      <c r="A88" t="inlineStr">
        <is>
          <t xml:space="preserve">   - Principal = CFADS / Target DSCR - Interest</t>
        </is>
      </c>
    </row>
    <row r="89">
      <c r="A89" t="inlineStr">
        <is>
          <t xml:space="preserve">   - No sweep mechanics needed</t>
        </is>
      </c>
    </row>
    <row r="91">
      <c r="A91" t="inlineStr">
        <is>
          <t>B. Contracted Revenue (PPA/Hedge):</t>
        </is>
      </c>
    </row>
    <row r="92">
      <c r="A92" t="inlineStr">
        <is>
          <t xml:space="preserve">   - Use contract price, not merchant</t>
        </is>
      </c>
    </row>
    <row r="93">
      <c r="A93" t="inlineStr">
        <is>
          <t xml:space="preserve">   - More debt capacity</t>
        </is>
      </c>
    </row>
    <row r="95">
      <c r="A95" t="inlineStr">
        <is>
          <t>C. Major Maintenance Reserve:</t>
        </is>
      </c>
    </row>
    <row r="96">
      <c r="A96" t="inlineStr">
        <is>
          <t xml:space="preserve">   - Add MRA similar to DSRA</t>
        </is>
      </c>
    </row>
    <row r="97">
      <c r="A97" t="inlineStr">
        <is>
          <t xml:space="preserve">   - Funds hot gas path inspection</t>
        </is>
      </c>
    </row>
    <row r="99">
      <c r="A99" s="34" t="inlineStr">
        <is>
          <t>--- QA CHECKS ---</t>
        </is>
      </c>
    </row>
    <row r="100">
      <c r="A100" t="inlineStr">
        <is>
          <t>QA CHECKS TO VERIFY MODEL</t>
        </is>
      </c>
    </row>
    <row r="102">
      <c r="A102" t="inlineStr">
        <is>
          <t>1. S&amp;U Balance: =IF(ABS(Uses-Sources)&lt;0.01,"PASS","FAIL")</t>
        </is>
      </c>
    </row>
    <row r="103">
      <c r="A103" t="inlineStr">
        <is>
          <t>2. Debt Payoff: Ending Bal near $0 by tenor end</t>
        </is>
      </c>
    </row>
    <row r="104">
      <c r="A104" t="inlineStr">
        <is>
          <t>3. Min DSCR: Use MINIFS to exclude post-payoff zeros</t>
        </is>
      </c>
    </row>
    <row r="105">
      <c r="A105" t="inlineStr">
        <is>
          <t>4. DSRA: Never negative; releases at debt payoff</t>
        </is>
      </c>
    </row>
    <row r="106">
      <c r="A106" t="inlineStr">
        <is>
          <t>5. Sign Convention: Outflows negative, inflows positive</t>
        </is>
      </c>
    </row>
    <row r="107">
      <c r="A107" t="inlineStr">
        <is>
          <t>6. No Circular Refs: Excel shouldn't show warning</t>
        </is>
      </c>
    </row>
    <row r="109">
      <c r="A109" s="34" t="inlineStr">
        <is>
          <t>--- HINTS &amp; PITFALLS ---</t>
        </is>
      </c>
    </row>
    <row r="110">
      <c r="A110" s="35" t="inlineStr">
        <is>
          <t>* Spark spread: $1/MWh x 1.76M MWh = $1.76mm EBITDA impact</t>
        </is>
      </c>
    </row>
    <row r="111">
      <c r="A111" s="35" t="inlineStr">
        <is>
          <t>* CF is NET of outages - don't double-count FOR in generation</t>
        </is>
      </c>
    </row>
    <row r="112">
      <c r="A112" s="35" t="inlineStr">
        <is>
          <t>* FOR only derates UCAP for capacity revenue</t>
        </is>
      </c>
    </row>
    <row r="113">
      <c r="A113" s="35" t="inlineStr">
        <is>
          <t>* Fuel divisor is 1E9 (billion), not 1E6 (million)</t>
        </is>
      </c>
    </row>
    <row r="115">
      <c r="A115" s="34" t="inlineStr">
        <is>
          <t>--- INTERVIEW QUESTIONS ---</t>
        </is>
      </c>
    </row>
    <row r="116">
      <c r="A116" t="inlineStr">
        <is>
          <t>Q: Walk me through how $5/MWh power price change affects IRR.</t>
        </is>
      </c>
    </row>
    <row r="117">
      <c r="A117" t="inlineStr">
        <is>
          <t>Q: Why cash sweep instead of sculpted debt?</t>
        </is>
      </c>
    </row>
    <row r="118">
      <c r="A118" t="inlineStr">
        <is>
          <t>Q: What would make you walk away from this deal?</t>
        </is>
      </c>
    </row>
    <row r="119">
      <c r="A119" t="inlineStr">
        <is>
          <t>Q: How would you hedge the spark spread exposure?</t>
        </is>
      </c>
    </row>
    <row r="121">
      <c r="A121" s="38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22">
      <c r="A122" s="39" t="inlineStr">
        <is>
          <t>COLD START WORKFLOW (4-Hour Test)</t>
        </is>
      </c>
    </row>
    <row r="124">
      <c r="A124" s="38" t="inlineStr">
        <is>
          <t>Phase 1: Setup (15 min)</t>
        </is>
      </c>
    </row>
    <row r="125">
      <c r="A125" s="40" t="inlineStr">
        <is>
          <t>→ Create workbook, freeze panes at E2</t>
        </is>
      </c>
    </row>
    <row r="126">
      <c r="A126" s="40" t="inlineStr">
        <is>
          <t>→ Set column widths: A=32, B=12, C=38, D-N=14</t>
        </is>
      </c>
    </row>
    <row r="127">
      <c r="A127" s="40" t="inlineStr">
        <is>
          <t>→ Build year headers: Y0 (2025), Y1 (2026), ... Y10 (2035)</t>
        </is>
      </c>
    </row>
    <row r="128">
      <c r="A128" s="40" t="inlineStr">
        <is>
          <t>→ Create section placeholders with ═══ dividers</t>
        </is>
      </c>
    </row>
    <row r="130">
      <c r="A130" s="38" t="inlineStr">
        <is>
          <t>Phase 2: Inputs &amp; S&amp;U (30 min)</t>
        </is>
      </c>
    </row>
    <row r="131">
      <c r="A131" s="40" t="inlineStr">
        <is>
          <t>→ Transaction: Entry EV, Fees %, Exit Multiple, Exit Year</t>
        </is>
      </c>
    </row>
    <row r="132">
      <c r="A132" s="40" t="inlineStr">
        <is>
          <t>→ Asset: Capacity, CF/Dispatch, Prices, Escalation</t>
        </is>
      </c>
    </row>
    <row r="133">
      <c r="A133" s="40" t="inlineStr">
        <is>
          <t>→ Financing: Leverage, Rate, Tenor, DSRA months, Sweep %</t>
        </is>
      </c>
    </row>
    <row r="134">
      <c r="A134" s="40" t="inlineStr">
        <is>
          <t>→ Build Uses first, then Sources (balancing item = equity)</t>
        </is>
      </c>
    </row>
    <row r="136">
      <c r="A136" s="38" t="inlineStr">
        <is>
          <t>Phase 3: Operating Model (45 min)</t>
        </is>
      </c>
    </row>
    <row r="137">
      <c r="A137" s="40" t="inlineStr">
        <is>
          <t>→ Generation = Capacity × CF × 8760 (baseload) OR Capacity × Dispatch × Avail (peaker)</t>
        </is>
      </c>
    </row>
    <row r="138">
      <c r="A138" s="40" t="inlineStr">
        <is>
          <t>→ Revenue = Generation × Price / 1E6  (careful: capacity $/kW needs ×1000)</t>
        </is>
      </c>
    </row>
    <row r="139">
      <c r="A139" s="40" t="inlineStr">
        <is>
          <t>→ Fuel = Gen × HR × Gas / 1E9  (CRITICAL: divide by BILLION)</t>
        </is>
      </c>
    </row>
    <row r="140">
      <c r="A140" s="40" t="inlineStr">
        <is>
          <t>→ EBITDA = Revenue - OpEx</t>
        </is>
      </c>
    </row>
    <row r="141">
      <c r="A141" s="40" t="inlineStr">
        <is>
          <t>→ Taxes = MAX(0, Taxable Income) × Rate  (no negative taxes!)</t>
        </is>
      </c>
    </row>
    <row r="143">
      <c r="A143" s="38" t="inlineStr">
        <is>
          <t>Phase 4: Debt Schedule (45 min)</t>
        </is>
      </c>
    </row>
    <row r="144">
      <c r="A144" s="40" t="inlineStr">
        <is>
          <t>→ Beginning Bal Y1 = Funded Debt; Yn = Prior Ending</t>
        </is>
      </c>
    </row>
    <row r="145">
      <c r="A145" s="40" t="inlineStr">
        <is>
          <t>→ Interest = Beg Bal × Rate</t>
        </is>
      </c>
    </row>
    <row r="146">
      <c r="A146" s="40" t="inlineStr">
        <is>
          <t>→ Principal: Straight-line OR Sculpted OR Sweep</t>
        </is>
      </c>
    </row>
    <row r="147">
      <c r="A147" s="40" t="inlineStr">
        <is>
          <t>→ DSCR = CFADS / Debt Service</t>
        </is>
      </c>
    </row>
    <row r="148">
      <c r="A148" s="40" t="inlineStr">
        <is>
          <t>→ DSRA Target = NEXT year's DS × (months/12)  [TRAP: not current year!]</t>
        </is>
      </c>
    </row>
    <row r="150">
      <c r="A150" s="38" t="inlineStr">
        <is>
          <t>Phase 5: Exit &amp; Returns (30 min)</t>
        </is>
      </c>
    </row>
    <row r="151">
      <c r="A151" s="40" t="inlineStr">
        <is>
          <t>→ Exit EV = Exit EBITDA × Multiple</t>
        </is>
      </c>
    </row>
    <row r="152">
      <c r="A152" s="40" t="inlineStr">
        <is>
          <t>→ Exit Equity = Exit EV - Debt Payoff + DSRA Release</t>
        </is>
      </c>
    </row>
    <row r="153">
      <c r="A153" s="40" t="inlineStr">
        <is>
          <t>→ Equity CF row: Y0 = -Entry Equity, Y1-n = Distributions, Exit Year += Exit Equity</t>
        </is>
      </c>
    </row>
    <row r="154">
      <c r="A154" s="40" t="inlineStr">
        <is>
          <t>→ IRR = IRR(Y0:Y10 equity CFs)</t>
        </is>
      </c>
    </row>
    <row r="155">
      <c r="A155" s="40" t="inlineStr">
        <is>
          <t>→ MOIC = (Distributions + Exit) / Entry Equity</t>
        </is>
      </c>
    </row>
    <row r="157">
      <c r="A157" s="38" t="inlineStr">
        <is>
          <t>Phase 6: QA &amp; Polish (15 min)</t>
        </is>
      </c>
    </row>
    <row r="158">
      <c r="A158" s="40" t="inlineStr">
        <is>
          <t>→ S&amp;U Balance Check = PASS</t>
        </is>
      </c>
    </row>
    <row r="159">
      <c r="A159" s="40" t="inlineStr">
        <is>
          <t>→ Debt Payoff Check = PASS (ending bal &lt; $1mm)</t>
        </is>
      </c>
    </row>
    <row r="160">
      <c r="A160" s="40" t="inlineStr">
        <is>
          <t>→ Min DSCR Check = PASS (≥1.25x merchant, ≥1.30x contracted)</t>
        </is>
      </c>
    </row>
    <row r="161">
      <c r="A161" s="40" t="inlineStr">
        <is>
          <t>→ Sanity: DSCR 1.2-2.5x, IRR 12-25%, Fuel $30-50mm (CCGT)</t>
        </is>
      </c>
    </row>
    <row r="164">
      <c r="A164" s="41" t="inlineStr">
        <is>
          <t>4-HOUR TIME BUDGET</t>
        </is>
      </c>
    </row>
    <row r="166">
      <c r="A166" t="inlineStr">
        <is>
          <t>Setup &amp; Structure</t>
        </is>
      </c>
      <c r="B166" t="inlineStr">
        <is>
          <t>15 min</t>
        </is>
      </c>
      <c r="C166" t="inlineStr">
        <is>
          <t>Workbook, headers, freeze panes</t>
        </is>
      </c>
    </row>
    <row r="167">
      <c r="A167" t="inlineStr">
        <is>
          <t>Transaction Inputs</t>
        </is>
      </c>
      <c r="B167" t="inlineStr">
        <is>
          <t>15 min</t>
        </is>
      </c>
      <c r="C167" t="inlineStr">
        <is>
          <t>EV, fees, leverage, rates</t>
        </is>
      </c>
    </row>
    <row r="168">
      <c r="A168" t="inlineStr">
        <is>
          <t>Sources &amp; Uses</t>
        </is>
      </c>
      <c r="B168" t="inlineStr">
        <is>
          <t>15 min</t>
        </is>
      </c>
      <c r="C168" t="inlineStr">
        <is>
          <t>Uses first, equity = balancing</t>
        </is>
      </c>
    </row>
    <row r="169">
      <c r="A169" t="inlineStr">
        <is>
          <t>Operating Model</t>
        </is>
      </c>
      <c r="B169" t="inlineStr">
        <is>
          <t>45 min</t>
        </is>
      </c>
      <c r="C169" t="inlineStr">
        <is>
          <t>Revenue, costs, EBITDA</t>
        </is>
      </c>
    </row>
    <row r="170">
      <c r="A170" t="inlineStr">
        <is>
          <t>Depreciation &amp; Tax</t>
        </is>
      </c>
      <c r="B170" t="inlineStr">
        <is>
          <t>15 min</t>
        </is>
      </c>
      <c r="C170" t="inlineStr">
        <is>
          <t>Straight-line, MAX(0) guardrail</t>
        </is>
      </c>
    </row>
    <row r="171">
      <c r="A171" t="inlineStr">
        <is>
          <t>Debt Schedule</t>
        </is>
      </c>
      <c r="B171" t="inlineStr">
        <is>
          <t>45 min</t>
        </is>
      </c>
      <c r="C171" t="inlineStr">
        <is>
          <t>Amort, interest, DSCR</t>
        </is>
      </c>
    </row>
    <row r="172">
      <c r="A172" t="inlineStr">
        <is>
          <t>DSRA (if needed)</t>
        </is>
      </c>
      <c r="B172" t="inlineStr">
        <is>
          <t>15 min</t>
        </is>
      </c>
      <c r="C172" t="inlineStr">
        <is>
          <t>Target = NEXT year DS</t>
        </is>
      </c>
    </row>
    <row r="173">
      <c r="A173" t="inlineStr">
        <is>
          <t>Waterfall &amp; Returns</t>
        </is>
      </c>
      <c r="B173" t="inlineStr">
        <is>
          <t>30 min</t>
        </is>
      </c>
      <c r="C173" t="inlineStr">
        <is>
          <t>Distributable, IRR, MOIC</t>
        </is>
      </c>
    </row>
    <row r="174">
      <c r="A174" t="inlineStr">
        <is>
          <t>Exit Mechanics</t>
        </is>
      </c>
      <c r="B174" t="inlineStr">
        <is>
          <t>15 min</t>
        </is>
      </c>
      <c r="C174" t="inlineStr">
        <is>
          <t>Exit EV, debt payoff, equity</t>
        </is>
      </c>
    </row>
    <row r="175">
      <c r="A175" t="inlineStr">
        <is>
          <t>QA &amp; Sanity Checks</t>
        </is>
      </c>
      <c r="B175" t="inlineStr">
        <is>
          <t>15 min</t>
        </is>
      </c>
      <c r="C175" t="inlineStr">
        <is>
          <t>Balance, DSCR, #REF sweep</t>
        </is>
      </c>
    </row>
    <row r="176">
      <c r="A176" t="inlineStr">
        <is>
          <t>Buffer / Iterate</t>
        </is>
      </c>
      <c r="B176" t="inlineStr">
        <is>
          <t>15 min</t>
        </is>
      </c>
      <c r="C176" t="inlineStr">
        <is>
          <t>Fix issues, polish</t>
        </is>
      </c>
    </row>
    <row r="177">
      <c r="A177" s="34" t="inlineStr">
        <is>
          <t>TOTAL</t>
        </is>
      </c>
      <c r="B177" s="34" t="inlineStr">
        <is>
          <t>4:00</t>
        </is>
      </c>
    </row>
    <row r="180">
      <c r="A180" s="41" t="inlineStr">
        <is>
          <t>DEBT SIZING APPROACHES</t>
        </is>
      </c>
    </row>
    <row r="182">
      <c r="A182" s="38" t="inlineStr">
        <is>
          <t>1. STRAIGHT-LINE (Simplest)</t>
        </is>
      </c>
    </row>
    <row r="183">
      <c r="A183" s="40" t="inlineStr">
        <is>
          <t xml:space="preserve">  Principal = Debt Amount / Tenor</t>
        </is>
      </c>
    </row>
    <row r="184">
      <c r="A184" s="40" t="inlineStr">
        <is>
          <t xml:space="preserve">  Best for: Quick models, Model_Quick, when told 'ignore sweep'</t>
        </is>
      </c>
    </row>
    <row r="185">
      <c r="A185" s="40" t="inlineStr">
        <is>
          <t xml:space="preserve">  Pros: No circularity, fast to build</t>
        </is>
      </c>
    </row>
    <row r="186">
      <c r="A186" s="40" t="inlineStr">
        <is>
          <t xml:space="preserve">  Cons: May not reflect economic reality</t>
        </is>
      </c>
    </row>
    <row r="188">
      <c r="A188" s="38" t="inlineStr">
        <is>
          <t>2. CASH SWEEP (Merchant)</t>
        </is>
      </c>
    </row>
    <row r="189">
      <c r="A189" s="40" t="inlineStr">
        <is>
          <t xml:space="preserve">  Sweep = Excess Cash × Sweep%  (Excess = CFADS - DS - DSRA)</t>
        </is>
      </c>
    </row>
    <row r="190">
      <c r="A190" s="40" t="inlineStr">
        <is>
          <t xml:space="preserve">  Best for: Merchant assets, volatile CFADS</t>
        </is>
      </c>
    </row>
    <row r="191">
      <c r="A191" s="40" t="inlineStr">
        <is>
          <t xml:space="preserve">  Pros: Realistic for bank debt, de-levers faster</t>
        </is>
      </c>
    </row>
    <row r="192">
      <c r="A192" s="40" t="inlineStr">
        <is>
          <t xml:space="preserve">  Cons: Requires DSRA logic, near-circular (use scheduled_ds trick)</t>
        </is>
      </c>
    </row>
    <row r="194">
      <c r="A194" s="38" t="inlineStr">
        <is>
          <t>3. SCULPTED (Contracted)</t>
        </is>
      </c>
    </row>
    <row r="195">
      <c r="A195" s="40" t="inlineStr">
        <is>
          <t xml:space="preserve">  Target DS = CFADS / Target DSCR; Principal = Target DS - Interest</t>
        </is>
      </c>
    </row>
    <row r="196">
      <c r="A196" s="40" t="inlineStr">
        <is>
          <t xml:space="preserve">  Best for: PPAs, regulated assets, predictable CFADS</t>
        </is>
      </c>
    </row>
    <row r="197">
      <c r="A197" s="40" t="inlineStr">
        <is>
          <t xml:space="preserve">  Pros: Maximizes debt capacity, matches CF profile</t>
        </is>
      </c>
    </row>
    <row r="198">
      <c r="A198" s="40" t="inlineStr">
        <is>
          <t xml:space="preserve">  Cons: More complex, requires CFADS forecast first</t>
        </is>
      </c>
    </row>
    <row r="201">
      <c r="A201" s="41" t="inlineStr">
        <is>
          <t>KEY FORMULA CONCEPTS</t>
        </is>
      </c>
    </row>
    <row r="203">
      <c r="A203" s="38" t="inlineStr">
        <is>
          <t>SPARK SPREAD (Thermal Plants)</t>
        </is>
      </c>
    </row>
    <row r="204">
      <c r="A204" s="40" t="inlineStr">
        <is>
          <t xml:space="preserve">  = Power Price ($/MWh) - Fuel Cost per MWh</t>
        </is>
      </c>
    </row>
    <row r="205">
      <c r="A205" s="40" t="inlineStr">
        <is>
          <t xml:space="preserve">  = Power Price - (Heat Rate × Gas Price / 1000)</t>
        </is>
      </c>
    </row>
    <row r="206">
      <c r="A206" s="40" t="inlineStr">
        <is>
          <t xml:space="preserve">  Example: $45/MWh - (7000 Btu/kWh × $3/mmBtu / 1000) = $45 - $21 = $24/MWh</t>
        </is>
      </c>
    </row>
    <row r="207">
      <c r="A207" s="40" t="inlineStr">
        <is>
          <t xml:space="preserve">  Core margin driver for CCGT/Peaker dispatch economics</t>
        </is>
      </c>
    </row>
    <row r="209">
      <c r="A209" s="38" t="inlineStr">
        <is>
          <t>UCAP (Unforced Capacity)</t>
        </is>
      </c>
    </row>
    <row r="210">
      <c r="A210" s="40" t="inlineStr">
        <is>
          <t xml:space="preserve">  = Nameplate Capacity × (1 - Forced Outage Rate)</t>
        </is>
      </c>
    </row>
    <row r="211">
      <c r="A211" s="40" t="inlineStr">
        <is>
          <t xml:space="preserve">  = 365 MW × (1 - 5%) = 346.75 MW</t>
        </is>
      </c>
    </row>
    <row r="212">
      <c r="A212" s="40" t="inlineStr">
        <is>
          <t xml:space="preserve">  Capacity revenue uses UCAP, not nameplate</t>
        </is>
      </c>
    </row>
    <row r="213">
      <c r="A213" s="40" t="inlineStr">
        <is>
          <t xml:space="preserve">  Capacity Price is $/kW-yr, so: UCAP × Price × 1000 / 1E6</t>
        </is>
      </c>
    </row>
    <row r="215">
      <c r="A215" s="38" t="inlineStr">
        <is>
          <t>LLCR / PLCR (Project Finance)</t>
        </is>
      </c>
    </row>
    <row r="216">
      <c r="A216" s="40" t="inlineStr">
        <is>
          <t xml:space="preserve">  LLCR = NPV(CFADS over loan life) / Debt Outstanding</t>
        </is>
      </c>
    </row>
    <row r="217">
      <c r="A217" s="40" t="inlineStr">
        <is>
          <t xml:space="preserve">  PLCR = NPV(CFADS over project life) / Debt Outstanding</t>
        </is>
      </c>
    </row>
    <row r="218">
      <c r="A218" s="40" t="inlineStr">
        <is>
          <t xml:space="preserve">  LLCR ~1.4x+ typical for investment grade</t>
        </is>
      </c>
    </row>
    <row r="219">
      <c r="A219" s="40" t="inlineStr">
        <is>
          <t xml:space="preserve">  Covenant-based lending uses these vs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CCGT ACQUISITION</t>
        </is>
      </c>
    </row>
    <row r="3">
      <c r="A3" t="inlineStr">
        <is>
          <t>Time: 4 hours | Deliverables: Model + IC Memo</t>
        </is>
      </c>
    </row>
    <row r="5">
      <c r="A5" s="34" t="inlineStr">
        <is>
          <t>SITUATION</t>
        </is>
      </c>
    </row>
    <row r="6">
      <c r="A6" t="inlineStr">
        <is>
          <t>365 MW CCGT in PJM West. Seller seeks $520mm.</t>
        </is>
      </c>
    </row>
    <row r="8">
      <c r="A8" s="34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IC MEMO - COACHING FRAMEWORK</t>
        </is>
      </c>
    </row>
    <row r="3">
      <c r="A3" s="34" t="inlineStr">
        <is>
          <t>1. EXECUTIVE SUMMARY</t>
        </is>
      </c>
    </row>
    <row r="4">
      <c r="A4" s="35" t="inlineStr">
        <is>
          <t>Tip: Lead with IRR and recommendation</t>
        </is>
      </c>
    </row>
    <row r="5">
      <c r="A5" t="inlineStr">
        <is>
          <t>[Your answer: ___________]</t>
        </is>
      </c>
    </row>
    <row r="6">
      <c r="A6" s="34" t="inlineStr">
        <is>
          <t>2. TRANSACTION OVERVIEW</t>
        </is>
      </c>
    </row>
    <row r="7">
      <c r="A7" s="35" t="inlineStr">
        <is>
          <t>Tip: Sources &amp; uses, debt terms</t>
        </is>
      </c>
    </row>
    <row r="8">
      <c r="A8" t="inlineStr">
        <is>
          <t>[Your answer: ___________]</t>
        </is>
      </c>
    </row>
    <row r="9">
      <c r="A9" s="34" t="inlineStr">
        <is>
          <t>3. INVESTMENT THESIS</t>
        </is>
      </c>
    </row>
    <row r="10">
      <c r="A10" s="35" t="inlineStr">
        <is>
          <t>Tip: 3-4 bullets on attractiveness</t>
        </is>
      </c>
    </row>
    <row r="11">
      <c r="A11" t="inlineStr">
        <is>
          <t>[Your answer: ___________]</t>
        </is>
      </c>
    </row>
    <row r="12">
      <c r="A12" s="34" t="inlineStr">
        <is>
          <t>4. KEY RISKS</t>
        </is>
      </c>
    </row>
    <row r="13">
      <c r="A13" s="35" t="inlineStr">
        <is>
          <t>Tip: Market, operational, regulatory</t>
        </is>
      </c>
    </row>
    <row r="14">
      <c r="A14" t="inlineStr">
        <is>
          <t>[Your answer: ___________]</t>
        </is>
      </c>
    </row>
    <row r="15">
      <c r="A15" s="34" t="inlineStr">
        <is>
          <t>5. MITIGANTS</t>
        </is>
      </c>
    </row>
    <row r="16">
      <c r="A16" s="35" t="inlineStr">
        <is>
          <t>Tip: Hedging, contracts, structure</t>
        </is>
      </c>
    </row>
    <row r="17">
      <c r="A17" t="inlineStr">
        <is>
          <t>[Your answer: ___________]</t>
        </is>
      </c>
    </row>
    <row r="18">
      <c r="A18" s="34" t="inlineStr">
        <is>
          <t>6. SENSITIVITIES</t>
        </is>
      </c>
    </row>
    <row r="19">
      <c r="A19" s="35" t="inlineStr">
        <is>
          <t>Tip: ±10-20% on key inputs</t>
        </is>
      </c>
    </row>
    <row r="20">
      <c r="A20" t="inlineStr">
        <is>
          <t>[Your answer: ___________]</t>
        </is>
      </c>
    </row>
    <row r="21">
      <c r="A21" s="34" t="inlineStr">
        <is>
          <t>7. RECOMMENDATION</t>
        </is>
      </c>
    </row>
    <row r="22">
      <c r="A22" s="35" t="inlineStr">
        <is>
          <t>Tip: Clear yes/no with walk-away price</t>
        </is>
      </c>
    </row>
    <row r="23">
      <c r="A23" t="inlineStr">
        <is>
          <t>[Your answer: ___________]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42" t="inlineStr">
        <is>
          <t>Model_Quick - CCGT (90-min build)</t>
        </is>
      </c>
    </row>
    <row r="2">
      <c r="D2" s="34" t="inlineStr">
        <is>
          <t>Y0 (2025)</t>
        </is>
      </c>
      <c r="E2" s="34" t="inlineStr">
        <is>
          <t>Y1 (2026)</t>
        </is>
      </c>
      <c r="F2" s="34" t="inlineStr">
        <is>
          <t>Y2 (2027)</t>
        </is>
      </c>
      <c r="G2" s="34" t="inlineStr">
        <is>
          <t>Y3 (2028)</t>
        </is>
      </c>
      <c r="H2" s="34" t="inlineStr">
        <is>
          <t>Y4 (2029)</t>
        </is>
      </c>
      <c r="I2" s="34" t="inlineStr">
        <is>
          <t>Y5 (2030)</t>
        </is>
      </c>
      <c r="J2" s="34" t="inlineStr">
        <is>
          <t>Y6 (2031)</t>
        </is>
      </c>
      <c r="K2" s="34" t="inlineStr">
        <is>
          <t>Y7 (2032)</t>
        </is>
      </c>
      <c r="L2" s="34" t="inlineStr">
        <is>
          <t>Y8 (2033)</t>
        </is>
      </c>
      <c r="M2" s="34" t="inlineStr">
        <is>
          <t>Y9 (2034)</t>
        </is>
      </c>
      <c r="N2" s="34" t="inlineStr">
        <is>
          <t>Y10 (2035)</t>
        </is>
      </c>
    </row>
    <row r="4">
      <c r="A4" s="38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43">
        <f>D12</f>
        <v/>
      </c>
    </row>
    <row r="6">
      <c r="A6" t="inlineStr">
        <is>
          <t>Debt %</t>
        </is>
      </c>
      <c r="B6" t="inlineStr">
        <is>
          <t>%</t>
        </is>
      </c>
      <c r="D6" s="44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45">
        <f>E41</f>
        <v/>
      </c>
    </row>
    <row r="8">
      <c r="A8" t="inlineStr">
        <is>
          <t>Levered IRR</t>
        </is>
      </c>
      <c r="B8" t="inlineStr">
        <is>
          <t>%</t>
        </is>
      </c>
      <c r="D8" s="44">
        <f>D57</f>
        <v/>
      </c>
    </row>
    <row r="9">
      <c r="A9" t="inlineStr">
        <is>
          <t>MOIC</t>
        </is>
      </c>
      <c r="B9" t="inlineStr">
        <is>
          <t>x</t>
        </is>
      </c>
      <c r="D9" s="46">
        <f>D58</f>
        <v/>
      </c>
    </row>
    <row r="11">
      <c r="A11" s="38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47" t="n">
        <v>520</v>
      </c>
    </row>
    <row r="13">
      <c r="A13" t="inlineStr">
        <is>
          <t>Transaction Fees</t>
        </is>
      </c>
      <c r="B13" t="inlineStr">
        <is>
          <t>%</t>
        </is>
      </c>
      <c r="D13" s="47" t="n">
        <v>0.015</v>
      </c>
    </row>
    <row r="14">
      <c r="A14" t="inlineStr">
        <is>
          <t>Exit Multiple</t>
        </is>
      </c>
      <c r="B14" t="inlineStr">
        <is>
          <t>x</t>
        </is>
      </c>
      <c r="D14" s="47" t="n">
        <v>7</v>
      </c>
    </row>
    <row r="15">
      <c r="A15" t="inlineStr">
        <is>
          <t>Exit Year</t>
        </is>
      </c>
      <c r="B15" t="inlineStr">
        <is>
          <t>yr</t>
        </is>
      </c>
      <c r="D15" s="47" t="n">
        <v>7</v>
      </c>
    </row>
    <row r="17">
      <c r="A17" s="38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47" t="n">
        <v>365</v>
      </c>
    </row>
    <row r="19">
      <c r="A19" t="inlineStr">
        <is>
          <t>Capacity Factor</t>
        </is>
      </c>
      <c r="B19" t="inlineStr">
        <is>
          <t>%</t>
        </is>
      </c>
      <c r="D19" s="47" t="n">
        <v>0.55</v>
      </c>
    </row>
    <row r="20">
      <c r="A20" t="inlineStr">
        <is>
          <t>Y1 EBITDA</t>
        </is>
      </c>
      <c r="B20" t="inlineStr">
        <is>
          <t>$mm</t>
        </is>
      </c>
      <c r="D20" s="47" t="n">
        <v>74</v>
      </c>
    </row>
    <row r="21">
      <c r="A21" t="inlineStr">
        <is>
          <t>EBITDA Escalation</t>
        </is>
      </c>
      <c r="B21" t="inlineStr">
        <is>
          <t>%</t>
        </is>
      </c>
      <c r="D21" s="47" t="n">
        <v>0.02</v>
      </c>
    </row>
    <row r="23">
      <c r="A23" s="38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47" t="n">
        <v>0.65</v>
      </c>
    </row>
    <row r="25">
      <c r="A25" t="inlineStr">
        <is>
          <t>Interest Rate</t>
        </is>
      </c>
      <c r="B25" t="inlineStr">
        <is>
          <t>%</t>
        </is>
      </c>
      <c r="D25" s="47" t="n">
        <v>0.065</v>
      </c>
    </row>
    <row r="26">
      <c r="A26" t="inlineStr">
        <is>
          <t>Debt Tenor</t>
        </is>
      </c>
      <c r="B26" t="inlineStr">
        <is>
          <t>yrs</t>
        </is>
      </c>
      <c r="D26" s="47" t="n">
        <v>7</v>
      </c>
    </row>
    <row r="28">
      <c r="A28" s="38" t="inlineStr">
        <is>
          <t>═══ SOURCES &amp; USES ═══</t>
        </is>
      </c>
    </row>
    <row r="29">
      <c r="A29" s="34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34" t="inlineStr">
        <is>
          <t>Total Uses</t>
        </is>
      </c>
      <c r="D32" s="43">
        <f>D30+D31</f>
        <v/>
      </c>
    </row>
    <row r="34">
      <c r="A34" s="34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34" t="inlineStr">
        <is>
          <t>Total Sources</t>
        </is>
      </c>
      <c r="D37" s="43">
        <f>D35+D36</f>
        <v/>
      </c>
    </row>
    <row r="38">
      <c r="A38" t="inlineStr">
        <is>
          <t>Balance Check</t>
        </is>
      </c>
      <c r="D38" s="43">
        <f>IF(ABS(D32-D37)&lt;0.01,"PASS","FAIL")</f>
        <v/>
      </c>
    </row>
    <row r="40">
      <c r="A40" s="38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45">
        <f>$D$20*(1+$D$21)^(1-1)</f>
        <v/>
      </c>
      <c r="F41" s="45">
        <f>$D$20*(1+$D$21)^(2-1)</f>
        <v/>
      </c>
      <c r="G41" s="45">
        <f>$D$20*(1+$D$21)^(3-1)</f>
        <v/>
      </c>
      <c r="H41" s="45">
        <f>$D$20*(1+$D$21)^(4-1)</f>
        <v/>
      </c>
      <c r="I41" s="45">
        <f>$D$20*(1+$D$21)^(5-1)</f>
        <v/>
      </c>
      <c r="J41" s="45">
        <f>$D$20*(1+$D$21)^(6-1)</f>
        <v/>
      </c>
      <c r="K41" s="45">
        <f>$D$20*(1+$D$21)^(7-1)</f>
        <v/>
      </c>
      <c r="L41" s="45">
        <f>$D$20*(1+$D$21)^(8-1)</f>
        <v/>
      </c>
      <c r="M41" s="45">
        <f>$D$20*(1+$D$21)^(9-1)</f>
        <v/>
      </c>
      <c r="N41" s="45">
        <f>$D$20*(1+$D$21)^(10-1)</f>
        <v/>
      </c>
    </row>
    <row r="43">
      <c r="A43" s="38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 s="48">
        <f>E44*$D$25</f>
        <v/>
      </c>
      <c r="F45" s="48">
        <f>F44*$D$25</f>
        <v/>
      </c>
      <c r="G45" s="48">
        <f>G44*$D$25</f>
        <v/>
      </c>
      <c r="H45" s="48">
        <f>H44*$D$25</f>
        <v/>
      </c>
      <c r="I45" s="48">
        <f>I44*$D$25</f>
        <v/>
      </c>
      <c r="J45" s="48">
        <f>J44*$D$25</f>
        <v/>
      </c>
      <c r="K45" s="48">
        <f>K44*$D$25</f>
        <v/>
      </c>
      <c r="L45" s="48">
        <f>L44*$D$25</f>
        <v/>
      </c>
      <c r="M45" s="48">
        <f>M44*$D$25</f>
        <v/>
      </c>
      <c r="N45" s="48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 s="48">
        <f>MIN($D$35/$D$26,E44)</f>
        <v/>
      </c>
      <c r="F46" s="48">
        <f>MIN($D$35/$D$26,F44)</f>
        <v/>
      </c>
      <c r="G46" s="48">
        <f>MIN($D$35/$D$26,G44)</f>
        <v/>
      </c>
      <c r="H46" s="48">
        <f>MIN($D$35/$D$26,H44)</f>
        <v/>
      </c>
      <c r="I46" s="48">
        <f>MIN($D$35/$D$26,I44)</f>
        <v/>
      </c>
      <c r="J46" s="48">
        <f>MIN($D$35/$D$26,J44)</f>
        <v/>
      </c>
      <c r="K46" s="48">
        <f>MIN($D$35/$D$26,K44)</f>
        <v/>
      </c>
      <c r="L46" s="48">
        <f>MIN($D$35/$D$26,L44)</f>
        <v/>
      </c>
      <c r="M46" s="48">
        <f>MIN($D$35/$D$26,M44)</f>
        <v/>
      </c>
      <c r="N46" s="48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 s="48">
        <f>MAX(0,E44-E46)</f>
        <v/>
      </c>
      <c r="F47" s="48">
        <f>MAX(0,F44-F46)</f>
        <v/>
      </c>
      <c r="G47" s="48">
        <f>MAX(0,G44-G46)</f>
        <v/>
      </c>
      <c r="H47" s="48">
        <f>MAX(0,H44-H46)</f>
        <v/>
      </c>
      <c r="I47" s="48">
        <f>MAX(0,I44-I46)</f>
        <v/>
      </c>
      <c r="J47" s="48">
        <f>MAX(0,J44-J46)</f>
        <v/>
      </c>
      <c r="K47" s="48">
        <f>MAX(0,K44-K46)</f>
        <v/>
      </c>
      <c r="L47" s="48">
        <f>MAX(0,L44-L46)</f>
        <v/>
      </c>
      <c r="M47" s="48">
        <f>MAX(0,M44-M46)</f>
        <v/>
      </c>
      <c r="N47" s="48">
        <f>MAX(0,N44-N46)</f>
        <v/>
      </c>
    </row>
    <row r="49">
      <c r="A49" s="38" t="inlineStr">
        <is>
          <t>═══ RETURNS ═══</t>
        </is>
      </c>
    </row>
    <row r="50">
      <c r="A50" t="inlineStr">
        <is>
          <t>Exit Year EBITDA</t>
        </is>
      </c>
      <c r="B50" t="inlineStr">
        <is>
          <t>$mm</t>
        </is>
      </c>
      <c r="D50" s="48">
        <f>OFFSET(E41,0,$D$15-1)</f>
        <v/>
      </c>
    </row>
    <row r="51">
      <c r="A51" t="inlineStr">
        <is>
          <t>Exit EV</t>
        </is>
      </c>
      <c r="B51" t="inlineStr">
        <is>
          <t>$mm</t>
        </is>
      </c>
      <c r="D51" s="45">
        <f>D50*$D$14</f>
        <v/>
      </c>
    </row>
    <row r="52">
      <c r="A52" t="inlineStr">
        <is>
          <t>Exit Debt Payoff</t>
        </is>
      </c>
      <c r="B52" t="inlineStr">
        <is>
          <t>$mm</t>
        </is>
      </c>
      <c r="D52" s="48">
        <f>OFFSET(E47,0,$D$15-1)</f>
        <v/>
      </c>
    </row>
    <row r="53">
      <c r="A53" t="inlineStr">
        <is>
          <t>Exit Equity Proceeds</t>
        </is>
      </c>
      <c r="B53" t="inlineStr">
        <is>
          <t>$mm</t>
        </is>
      </c>
      <c r="D53" s="45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 s="48">
        <f>IF(1=$D$15,D53,0)</f>
        <v/>
      </c>
      <c r="F55" s="48">
        <f>IF(2=$D$15,D53,0)</f>
        <v/>
      </c>
      <c r="G55" s="48">
        <f>IF(3=$D$15,D53,0)</f>
        <v/>
      </c>
      <c r="H55" s="48">
        <f>IF(4=$D$15,D53,0)</f>
        <v/>
      </c>
      <c r="I55" s="48">
        <f>IF(5=$D$15,D53,0)</f>
        <v/>
      </c>
      <c r="J55" s="48">
        <f>IF(6=$D$15,D53,0)</f>
        <v/>
      </c>
      <c r="K55" s="48">
        <f>IF(7=$D$15,D53,0)</f>
        <v/>
      </c>
      <c r="L55" s="48">
        <f>IF(8=$D$15,D53,0)</f>
        <v/>
      </c>
      <c r="M55" s="48">
        <f>IF(9=$D$15,D53,0)</f>
        <v/>
      </c>
      <c r="N55" s="48">
        <f>IF(10=$D$15,D53,0)</f>
        <v/>
      </c>
    </row>
    <row r="57">
      <c r="A57" s="34" t="inlineStr">
        <is>
          <t>Levered IRR</t>
        </is>
      </c>
      <c r="B57" t="inlineStr">
        <is>
          <t>%</t>
        </is>
      </c>
      <c r="D57" s="44">
        <f>IRR(D55:N55)</f>
        <v/>
      </c>
    </row>
    <row r="58">
      <c r="A58" s="34" t="inlineStr">
        <is>
          <t>MOIC</t>
        </is>
      </c>
      <c r="B58" t="inlineStr">
        <is>
          <t>x</t>
        </is>
      </c>
      <c r="D58" s="46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CCGT Model - Lotus Infrastructure Partners</t>
        </is>
      </c>
      <c r="D1" s="36" t="inlineStr">
        <is>
          <t>Y0 (2025)</t>
        </is>
      </c>
      <c r="E1" s="36" t="inlineStr">
        <is>
          <t>Y1 (2026)</t>
        </is>
      </c>
      <c r="F1" s="36" t="inlineStr">
        <is>
          <t>Y2 (2027)</t>
        </is>
      </c>
      <c r="G1" s="36" t="inlineStr">
        <is>
          <t>Y3 (2028)</t>
        </is>
      </c>
      <c r="H1" s="36" t="inlineStr">
        <is>
          <t>Y4 (2029)</t>
        </is>
      </c>
      <c r="I1" s="36" t="inlineStr">
        <is>
          <t>Y5 (2030)</t>
        </is>
      </c>
      <c r="J1" s="36" t="inlineStr">
        <is>
          <t>Y6 (2031)</t>
        </is>
      </c>
      <c r="K1" s="36" t="inlineStr">
        <is>
          <t>Y7 (2032)</t>
        </is>
      </c>
      <c r="L1" s="36" t="inlineStr">
        <is>
          <t>Y8 (2033)</t>
        </is>
      </c>
      <c r="M1" s="36" t="inlineStr">
        <is>
          <t>Y9 (2034)</t>
        </is>
      </c>
      <c r="N1" s="36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E74</f>
        <v/>
      </c>
    </row>
    <row r="5">
      <c r="A5" s="38" t="inlineStr">
        <is>
          <t>═══════════════════ CONTROL PANEL ═══════════════════</t>
        </is>
      </c>
    </row>
    <row r="7">
      <c r="A7" s="34" t="inlineStr">
        <is>
          <t>Revenue Mode</t>
        </is>
      </c>
      <c r="C7" s="6" t="inlineStr">
        <is>
          <t>Merchant / Contracted / Hybrid</t>
        </is>
      </c>
      <c r="D7" s="47" t="inlineStr">
        <is>
          <t>Merchant</t>
        </is>
      </c>
    </row>
    <row r="8">
      <c r="A8" s="34" t="inlineStr">
        <is>
          <t>Contract Years</t>
        </is>
      </c>
      <c r="C8" s="6" t="inlineStr">
        <is>
          <t>If Hybrid: years of contracted revenue</t>
        </is>
      </c>
      <c r="D8" s="47" t="inlineStr">
        <is>
          <t>0</t>
        </is>
      </c>
    </row>
    <row r="9">
      <c r="A9" s="34" t="inlineStr">
        <is>
          <t>Debt Sweep</t>
        </is>
      </c>
      <c r="C9" s="6" t="inlineStr">
        <is>
          <t>ON / OFF</t>
        </is>
      </c>
      <c r="D9" s="47" t="inlineStr">
        <is>
          <t>ON</t>
        </is>
      </c>
    </row>
    <row r="10">
      <c r="A10" s="34" t="inlineStr">
        <is>
          <t>Sweep %</t>
        </is>
      </c>
      <c r="C10" s="6" t="inlineStr">
        <is>
          <t>Only active if Sweep = ON</t>
        </is>
      </c>
      <c r="D10" s="47" t="inlineStr">
        <is>
          <t>75%</t>
        </is>
      </c>
    </row>
    <row r="11">
      <c r="A11" s="34" t="inlineStr">
        <is>
          <t>Exit Method</t>
        </is>
      </c>
      <c r="C11" s="6" t="inlineStr">
        <is>
          <t>Multiple / DCF</t>
        </is>
      </c>
      <c r="D11" s="47" t="inlineStr">
        <is>
          <t>Multiple</t>
        </is>
      </c>
    </row>
    <row r="13">
      <c r="A13" s="38" t="inlineStr">
        <is>
          <t>════════════════════════════════════════════════════</t>
        </is>
      </c>
    </row>
    <row r="15">
      <c r="A15" s="5" t="inlineStr">
        <is>
          <t>Avg CFADS (Y1-Y7)</t>
        </is>
      </c>
      <c r="B15" s="6" t="inlineStr">
        <is>
          <t>$mm</t>
        </is>
      </c>
      <c r="C15" s="6" t="inlineStr"/>
      <c r="D15" s="7">
        <f>AVERAGE(E80:K80)</f>
        <v/>
      </c>
    </row>
    <row r="16">
      <c r="A16" s="5" t="inlineStr">
        <is>
          <t>Min DSCR (Y1-Y7)</t>
        </is>
      </c>
      <c r="B16" s="6" t="inlineStr">
        <is>
          <t>x</t>
        </is>
      </c>
      <c r="C16" s="6" t="inlineStr"/>
      <c r="D16" s="30">
        <f>IF(COUNTIF(E92:K92,"&gt;0")&gt;0,MINIFS(E92:K92,E92:K92,"&gt;0"),0)</f>
        <v/>
      </c>
    </row>
    <row r="17">
      <c r="A17" s="5" t="inlineStr">
        <is>
          <t>Levered IRR</t>
        </is>
      </c>
      <c r="B17" s="6" t="inlineStr">
        <is>
          <t>%</t>
        </is>
      </c>
      <c r="C17" s="6" t="inlineStr"/>
      <c r="D17" s="31">
        <f>D130</f>
        <v/>
      </c>
    </row>
    <row r="18">
      <c r="A18" s="5" t="inlineStr">
        <is>
          <t>MOIC</t>
        </is>
      </c>
      <c r="B18" s="6" t="inlineStr">
        <is>
          <t>x</t>
        </is>
      </c>
      <c r="C18" s="6" t="inlineStr"/>
      <c r="D18" s="30">
        <f>D131</f>
        <v/>
      </c>
    </row>
    <row r="19">
      <c r="A19" s="5" t="inlineStr">
        <is>
          <t>Unlevered IRR</t>
        </is>
      </c>
      <c r="B19" s="6" t="inlineStr">
        <is>
          <t>%</t>
        </is>
      </c>
      <c r="C19" s="6" t="inlineStr"/>
      <c r="D19" s="31">
        <f>D135</f>
        <v/>
      </c>
    </row>
    <row r="20">
      <c r="A20" s="3" t="inlineStr">
        <is>
          <t>═══ QA CHECKS ═══</t>
        </is>
      </c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5" t="inlineStr">
        <is>
          <t>S&amp;U Balance</t>
        </is>
      </c>
      <c r="B21" s="6" t="inlineStr"/>
      <c r="C21" s="6" t="inlineStr"/>
      <c r="D21" s="10">
        <f>D119</f>
        <v/>
      </c>
    </row>
    <row r="22">
      <c r="A22" s="5" t="inlineStr">
        <is>
          <t>Debt Payoff Y7</t>
        </is>
      </c>
      <c r="B22" s="6" t="inlineStr"/>
      <c r="C22" s="6" t="inlineStr"/>
      <c r="D22" s="10">
        <f>IF(K91&lt;1,"PASS","FAIL")</f>
        <v/>
      </c>
    </row>
    <row r="23">
      <c r="A23" s="5" t="inlineStr">
        <is>
          <t>Min DSCR ≥ 1.25x</t>
        </is>
      </c>
      <c r="B23" s="6" t="inlineStr"/>
      <c r="C23" s="6" t="inlineStr"/>
      <c r="D23" s="10">
        <f>IF(D6&gt;=1.25,"PASS","FAIL")</f>
        <v/>
      </c>
    </row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520</v>
      </c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32" t="n">
        <v>0.015</v>
      </c>
    </row>
    <row r="29">
      <c r="A29" s="5" t="inlineStr">
        <is>
          <t>Exit Multiple</t>
        </is>
      </c>
      <c r="B29" s="6" t="inlineStr">
        <is>
          <t>x</t>
        </is>
      </c>
      <c r="C29" s="6" t="inlineStr">
        <is>
          <t>On exit year EBITDA</t>
        </is>
      </c>
      <c r="D29" s="33" t="n">
        <v>7</v>
      </c>
    </row>
    <row r="30">
      <c r="A30" s="5" t="inlineStr">
        <is>
          <t>Exit Year</t>
        </is>
      </c>
      <c r="B30" s="6" t="inlineStr">
        <is>
          <t>#</t>
        </is>
      </c>
      <c r="C30" s="6" t="inlineStr">
        <is>
          <t>Hold period</t>
        </is>
      </c>
      <c r="D30" s="14" t="n">
        <v>7</v>
      </c>
    </row>
    <row r="32">
      <c r="A32" s="3" t="inlineStr">
        <is>
          <t>ASSET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Capacity</t>
        </is>
      </c>
      <c r="B33" s="6" t="inlineStr">
        <is>
          <t>MW</t>
        </is>
      </c>
      <c r="C33" s="6" t="inlineStr">
        <is>
          <t>Nameplate rating</t>
        </is>
      </c>
      <c r="D33" s="14" t="n">
        <v>365</v>
      </c>
    </row>
    <row r="34">
      <c r="A34" s="5" t="inlineStr">
        <is>
          <t>Heat Rate</t>
        </is>
      </c>
      <c r="B34" s="6" t="inlineStr">
        <is>
          <t>Btu/kWh</t>
        </is>
      </c>
      <c r="C34" s="6" t="inlineStr">
        <is>
          <t>Efficiency (lower = better)</t>
        </is>
      </c>
      <c r="D34" s="14" t="n">
        <v>7000</v>
      </c>
    </row>
    <row r="35">
      <c r="A35" s="5" t="inlineStr">
        <is>
          <t>Capacity Factor</t>
        </is>
      </c>
      <c r="B35" s="6" t="inlineStr">
        <is>
          <t>%</t>
        </is>
      </c>
      <c r="C35" s="6" t="inlineStr">
        <is>
          <t>Annual utilization</t>
        </is>
      </c>
      <c r="D35" s="32" t="n">
        <v>0.55</v>
      </c>
    </row>
    <row r="36">
      <c r="A36" s="5" t="inlineStr">
        <is>
          <t>Forced Outage Rate</t>
        </is>
      </c>
      <c r="B36" s="6" t="inlineStr">
        <is>
          <t>%</t>
        </is>
      </c>
      <c r="C36" s="6" t="inlineStr">
        <is>
          <t>Unplanned downtime</t>
        </is>
      </c>
      <c r="D36" s="32" t="n">
        <v>0.05</v>
      </c>
    </row>
    <row r="38">
      <c r="A38" s="3" t="inlineStr">
        <is>
          <t>PRICING INPUTS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5" t="inlineStr">
        <is>
          <t>Power Price Y1</t>
        </is>
      </c>
      <c r="B39" s="6" t="inlineStr">
        <is>
          <t>$/MWh</t>
        </is>
      </c>
      <c r="C39" s="6" t="inlineStr">
        <is>
          <t>Energy clearing price</t>
        </is>
      </c>
      <c r="D39" s="11" t="n">
        <v>48</v>
      </c>
    </row>
    <row r="40">
      <c r="A40" s="5" t="inlineStr">
        <is>
          <t>Capacity Price Y1</t>
        </is>
      </c>
      <c r="B40" s="6" t="inlineStr">
        <is>
          <t>$/kW-yr</t>
        </is>
      </c>
      <c r="C40" s="6" t="inlineStr">
        <is>
          <t>ICAP/RPM auction result</t>
        </is>
      </c>
      <c r="D40" s="11" t="n">
        <v>110</v>
      </c>
    </row>
    <row r="41">
      <c r="A41" s="5" t="inlineStr">
        <is>
          <t>Gas Price Y1</t>
        </is>
      </c>
      <c r="B41" s="6" t="inlineStr">
        <is>
          <t>$/mmBtu</t>
        </is>
      </c>
      <c r="C41" s="6" t="inlineStr">
        <is>
          <t>Henry Hub + basis</t>
        </is>
      </c>
      <c r="D41" s="15" t="n">
        <v>3</v>
      </c>
    </row>
    <row r="42">
      <c r="A42" s="5" t="inlineStr">
        <is>
          <t>Escalation</t>
        </is>
      </c>
      <c r="B42" s="6" t="inlineStr">
        <is>
          <t>%/yr</t>
        </is>
      </c>
      <c r="C42" s="6" t="inlineStr">
        <is>
          <t>Applied to all prices/costs</t>
        </is>
      </c>
      <c r="D42" s="32" t="n">
        <v>0.025</v>
      </c>
    </row>
    <row r="44">
      <c r="A44" s="3" t="inlineStr">
        <is>
          <t>COST INPUTS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</row>
    <row r="45">
      <c r="A45" s="5" t="inlineStr">
        <is>
          <t>VOM</t>
        </is>
      </c>
      <c r="B45" s="6" t="inlineStr">
        <is>
          <t>$/MWh</t>
        </is>
      </c>
      <c r="C45" s="6" t="inlineStr">
        <is>
          <t>Variable O&amp;M</t>
        </is>
      </c>
      <c r="D45" s="15" t="n">
        <v>3.5</v>
      </c>
    </row>
    <row r="46">
      <c r="A46" s="5" t="inlineStr">
        <is>
          <t>FOM</t>
        </is>
      </c>
      <c r="B46" s="6" t="inlineStr">
        <is>
          <t>$/kW-yr</t>
        </is>
      </c>
      <c r="C46" s="6" t="inlineStr">
        <is>
          <t>Fixed O&amp;M</t>
        </is>
      </c>
      <c r="D46" s="15" t="n">
        <v>15</v>
      </c>
    </row>
    <row r="48">
      <c r="A48" s="3" t="inlineStr">
        <is>
          <t>FINANCING INPUTS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</row>
    <row r="49">
      <c r="A49" s="5" t="inlineStr">
        <is>
          <t>Leverage</t>
        </is>
      </c>
      <c r="B49" s="6" t="inlineStr">
        <is>
          <t>%</t>
        </is>
      </c>
      <c r="C49" s="6" t="inlineStr">
        <is>
          <t>Debt / Entry EV</t>
        </is>
      </c>
      <c r="D49" s="32" t="n">
        <v>0.45</v>
      </c>
    </row>
    <row r="50">
      <c r="A50" s="5" t="inlineStr">
        <is>
          <t>Interest Rate</t>
        </is>
      </c>
      <c r="B50" s="6" t="inlineStr">
        <is>
          <t>%</t>
        </is>
      </c>
      <c r="C50" s="6" t="inlineStr">
        <is>
          <t>All-in borrowing cost</t>
        </is>
      </c>
      <c r="D50" s="32" t="n">
        <v>0.065</v>
      </c>
    </row>
    <row r="51">
      <c r="A51" s="5" t="inlineStr">
        <is>
          <t>Debt Tenor</t>
        </is>
      </c>
      <c r="B51" s="6" t="inlineStr">
        <is>
          <t>years</t>
        </is>
      </c>
      <c r="C51" s="6" t="inlineStr">
        <is>
          <t>Amortization period</t>
        </is>
      </c>
      <c r="D51" s="14" t="n">
        <v>7</v>
      </c>
    </row>
    <row r="52">
      <c r="A52" s="5" t="inlineStr">
        <is>
          <t>DSRA Months</t>
        </is>
      </c>
      <c r="B52" s="6" t="inlineStr">
        <is>
          <t>months</t>
        </is>
      </c>
      <c r="C52" s="6" t="inlineStr">
        <is>
          <t>Debt service reserve</t>
        </is>
      </c>
      <c r="D52" s="14" t="n">
        <v>6</v>
      </c>
    </row>
    <row r="53">
      <c r="A53" s="5" t="inlineStr">
        <is>
          <t>Cash Sweep %</t>
        </is>
      </c>
      <c r="B53" s="6" t="inlineStr">
        <is>
          <t>%</t>
        </is>
      </c>
      <c r="C53" s="6" t="inlineStr">
        <is>
          <t>Mandatory excess CF prepay</t>
        </is>
      </c>
      <c r="D53" s="32" t="n">
        <v>0.75</v>
      </c>
    </row>
    <row r="54">
      <c r="A54" s="5" t="inlineStr">
        <is>
          <t>Lock-up DSCR</t>
        </is>
      </c>
      <c r="B54" s="6" t="inlineStr">
        <is>
          <t>x</t>
        </is>
      </c>
      <c r="C54" s="6" t="inlineStr">
        <is>
          <t>Distribution threshold</t>
        </is>
      </c>
      <c r="D54" s="33" t="n">
        <v>1.1</v>
      </c>
    </row>
    <row r="56">
      <c r="A56" s="3" t="inlineStr">
        <is>
          <t>TAX INPUTS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</row>
    <row r="57">
      <c r="A57" s="5" t="inlineStr">
        <is>
          <t>Tax Rate</t>
        </is>
      </c>
      <c r="B57" s="6" t="inlineStr">
        <is>
          <t>%</t>
        </is>
      </c>
      <c r="C57" s="6" t="inlineStr">
        <is>
          <t>Blended federal + state</t>
        </is>
      </c>
      <c r="D57" s="32" t="n">
        <v>0.25</v>
      </c>
    </row>
    <row r="58">
      <c r="A58" s="5" t="inlineStr">
        <is>
          <t>Depreciable Basis</t>
        </is>
      </c>
      <c r="B58" s="6" t="inlineStr">
        <is>
          <t>%</t>
        </is>
      </c>
      <c r="C58" s="6" t="inlineStr">
        <is>
          <t>% of EV for depreciation</t>
        </is>
      </c>
      <c r="D58" s="32" t="n">
        <v>0.85</v>
      </c>
    </row>
    <row r="59">
      <c r="A59" s="5" t="inlineStr">
        <is>
          <t>Depreciation Life</t>
        </is>
      </c>
      <c r="B59" s="6" t="inlineStr">
        <is>
          <t>years</t>
        </is>
      </c>
      <c r="C59" s="6" t="inlineStr">
        <is>
          <t>Straight-line</t>
        </is>
      </c>
      <c r="D59" s="14" t="n">
        <v>15</v>
      </c>
    </row>
    <row r="62">
      <c r="A62" s="3" t="inlineStr">
        <is>
          <t>CALCULATED ITEMS</t>
        </is>
      </c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</row>
    <row r="63">
      <c r="A63" s="5" t="inlineStr">
        <is>
          <t>UCAP (Unforced Capacity)</t>
        </is>
      </c>
      <c r="B63" s="6" t="inlineStr">
        <is>
          <t>MW</t>
        </is>
      </c>
      <c r="C63" s="6" t="inlineStr">
        <is>
          <t>Capacity × (1 - FOR)</t>
        </is>
      </c>
      <c r="D63" s="16">
        <f>$D$23*(1-$D$26)</f>
        <v/>
      </c>
    </row>
    <row r="64">
      <c r="A64" s="5" t="inlineStr">
        <is>
          <t>Annual Generation</t>
        </is>
      </c>
      <c r="B64" s="6" t="inlineStr">
        <is>
          <t>MWh</t>
        </is>
      </c>
      <c r="C64" s="6" t="inlineStr">
        <is>
          <t>Capacity × CF × 8,760</t>
        </is>
      </c>
      <c r="D64" s="17">
        <f>$D$23*$D$25*8760</f>
        <v/>
      </c>
    </row>
    <row r="65">
      <c r="A65" s="5" t="inlineStr">
        <is>
          <t>Debt Amount</t>
        </is>
      </c>
      <c r="B65" s="6" t="inlineStr">
        <is>
          <t>$mm</t>
        </is>
      </c>
      <c r="C65" s="6" t="inlineStr">
        <is>
          <t>Entry EV × Leverage</t>
        </is>
      </c>
      <c r="D65" s="18">
        <f>$D$17*$D$39</f>
        <v/>
      </c>
    </row>
    <row r="66">
      <c r="A66" s="5" t="inlineStr">
        <is>
          <t>Annual Depreciation</t>
        </is>
      </c>
      <c r="B66" s="6" t="inlineStr">
        <is>
          <t>$mm</t>
        </is>
      </c>
      <c r="C66" s="6" t="inlineStr">
        <is>
          <t>EV × Basis / Life</t>
        </is>
      </c>
      <c r="D66" s="18">
        <f>$D$17*$D$48/$D$49</f>
        <v/>
      </c>
    </row>
    <row r="67">
      <c r="A67" s="5" t="inlineStr">
        <is>
          <t>Scheduled Principal</t>
        </is>
      </c>
      <c r="B67" s="6" t="inlineStr">
        <is>
          <t>$mm/yr</t>
        </is>
      </c>
      <c r="C67" s="6" t="inlineStr">
        <is>
          <t>Debt / Tenor</t>
        </is>
      </c>
      <c r="D67" s="18">
        <f>$D$55/$D$41</f>
        <v/>
      </c>
    </row>
    <row r="70">
      <c r="A70" s="3" t="inlineStr">
        <is>
          <t>OPERATING MODEL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</row>
    <row r="71">
      <c r="A71" s="5" t="inlineStr">
        <is>
          <t>Power Price</t>
        </is>
      </c>
      <c r="B71" s="6" t="inlineStr">
        <is>
          <t>$/MWh</t>
        </is>
      </c>
      <c r="C71" s="6" t="inlineStr">
        <is>
          <t>Escalated</t>
        </is>
      </c>
      <c r="E71" s="18">
        <f>$D$29*(1+$D$32)^(1-1)</f>
        <v/>
      </c>
      <c r="F71" s="18">
        <f>$D$29*(1+$D$32)^(2-1)</f>
        <v/>
      </c>
      <c r="G71" s="18">
        <f>$D$29*(1+$D$32)^(3-1)</f>
        <v/>
      </c>
      <c r="H71" s="18">
        <f>$D$29*(1+$D$32)^(4-1)</f>
        <v/>
      </c>
      <c r="I71" s="18">
        <f>$D$29*(1+$D$32)^(5-1)</f>
        <v/>
      </c>
      <c r="J71" s="18">
        <f>$D$29*(1+$D$32)^(6-1)</f>
        <v/>
      </c>
      <c r="K71" s="18">
        <f>$D$29*(1+$D$32)^(7-1)</f>
        <v/>
      </c>
      <c r="L71" s="18">
        <f>$D$29*(1+$D$32)^(8-1)</f>
        <v/>
      </c>
      <c r="M71" s="18">
        <f>$D$29*(1+$D$32)^(9-1)</f>
        <v/>
      </c>
      <c r="N71" s="18">
        <f>$D$29*(1+$D$32)^(10-1)</f>
        <v/>
      </c>
    </row>
    <row r="72">
      <c r="A72" s="5" t="inlineStr">
        <is>
          <t>Capacity Price</t>
        </is>
      </c>
      <c r="B72" s="6" t="inlineStr">
        <is>
          <t>$/kW-yr</t>
        </is>
      </c>
      <c r="C72" s="6" t="inlineStr">
        <is>
          <t>Escalated</t>
        </is>
      </c>
      <c r="E72" s="18">
        <f>$D$30*(1+$D$32)^(1-1)</f>
        <v/>
      </c>
      <c r="F72" s="18">
        <f>$D$30*(1+$D$32)^(2-1)</f>
        <v/>
      </c>
      <c r="G72" s="18">
        <f>$D$30*(1+$D$32)^(3-1)</f>
        <v/>
      </c>
      <c r="H72" s="18">
        <f>$D$30*(1+$D$32)^(4-1)</f>
        <v/>
      </c>
      <c r="I72" s="18">
        <f>$D$30*(1+$D$32)^(5-1)</f>
        <v/>
      </c>
      <c r="J72" s="18">
        <f>$D$30*(1+$D$32)^(6-1)</f>
        <v/>
      </c>
      <c r="K72" s="18">
        <f>$D$30*(1+$D$32)^(7-1)</f>
        <v/>
      </c>
      <c r="L72" s="18">
        <f>$D$30*(1+$D$32)^(8-1)</f>
        <v/>
      </c>
      <c r="M72" s="18">
        <f>$D$30*(1+$D$32)^(9-1)</f>
        <v/>
      </c>
      <c r="N72" s="18">
        <f>$D$30*(1+$D$32)^(10-1)</f>
        <v/>
      </c>
    </row>
    <row r="73">
      <c r="A73" s="5" t="inlineStr">
        <is>
          <t>Gas Price</t>
        </is>
      </c>
      <c r="B73" s="6" t="inlineStr">
        <is>
          <t>$/mmBtu</t>
        </is>
      </c>
      <c r="C73" s="6" t="inlineStr">
        <is>
          <t>Escalated</t>
        </is>
      </c>
      <c r="E73" s="19">
        <f>$D$31*(1+$D$32)^(1-1)</f>
        <v/>
      </c>
      <c r="F73" s="19">
        <f>$D$31*(1+$D$32)^(2-1)</f>
        <v/>
      </c>
      <c r="G73" s="19">
        <f>$D$31*(1+$D$32)^(3-1)</f>
        <v/>
      </c>
      <c r="H73" s="19">
        <f>$D$31*(1+$D$32)^(4-1)</f>
        <v/>
      </c>
      <c r="I73" s="19">
        <f>$D$31*(1+$D$32)^(5-1)</f>
        <v/>
      </c>
      <c r="J73" s="19">
        <f>$D$31*(1+$D$32)^(6-1)</f>
        <v/>
      </c>
      <c r="K73" s="19">
        <f>$D$31*(1+$D$32)^(7-1)</f>
        <v/>
      </c>
      <c r="L73" s="19">
        <f>$D$31*(1+$D$32)^(8-1)</f>
        <v/>
      </c>
      <c r="M73" s="19">
        <f>$D$31*(1+$D$32)^(9-1)</f>
        <v/>
      </c>
      <c r="N73" s="19">
        <f>$D$31*(1+$D$32)^(10-1)</f>
        <v/>
      </c>
    </row>
    <row r="75">
      <c r="A75" s="5" t="inlineStr">
        <is>
          <t>Energy Revenue</t>
        </is>
      </c>
      <c r="B75" s="6" t="inlineStr">
        <is>
          <t>$mm</t>
        </is>
      </c>
      <c r="C75" s="6" t="inlineStr">
        <is>
          <t>Generation × Power Price / 1M</t>
        </is>
      </c>
      <c r="E75" s="18">
        <f>$D$54*E61/1000000</f>
        <v/>
      </c>
      <c r="F75" s="18">
        <f>$D$54*F61/1000000</f>
        <v/>
      </c>
      <c r="G75" s="18">
        <f>$D$54*G61/1000000</f>
        <v/>
      </c>
      <c r="H75" s="18">
        <f>$D$54*H61/1000000</f>
        <v/>
      </c>
      <c r="I75" s="18">
        <f>$D$54*I61/1000000</f>
        <v/>
      </c>
      <c r="J75" s="18">
        <f>$D$54*J61/1000000</f>
        <v/>
      </c>
      <c r="K75" s="18">
        <f>$D$54*K61/1000000</f>
        <v/>
      </c>
      <c r="L75" s="18">
        <f>$D$54*L61/1000000</f>
        <v/>
      </c>
      <c r="M75" s="18">
        <f>$D$54*M61/1000000</f>
        <v/>
      </c>
      <c r="N75" s="18">
        <f>$D$54*N61/1000000</f>
        <v/>
      </c>
    </row>
    <row r="76">
      <c r="A76" s="5" t="inlineStr">
        <is>
          <t>Capacity Revenue</t>
        </is>
      </c>
      <c r="B76" s="6" t="inlineStr">
        <is>
          <t>$mm</t>
        </is>
      </c>
      <c r="C76" s="6" t="inlineStr">
        <is>
          <t>UCAP × Cap Price × 1000 / 1M</t>
        </is>
      </c>
      <c r="E76" s="18">
        <f>$D$53*E62*1000/1000000</f>
        <v/>
      </c>
      <c r="F76" s="18">
        <f>$D$53*F62*1000/1000000</f>
        <v/>
      </c>
      <c r="G76" s="18">
        <f>$D$53*G62*1000/1000000</f>
        <v/>
      </c>
      <c r="H76" s="18">
        <f>$D$53*H62*1000/1000000</f>
        <v/>
      </c>
      <c r="I76" s="18">
        <f>$D$53*I62*1000/1000000</f>
        <v/>
      </c>
      <c r="J76" s="18">
        <f>$D$53*J62*1000/1000000</f>
        <v/>
      </c>
      <c r="K76" s="18">
        <f>$D$53*K62*1000/1000000</f>
        <v/>
      </c>
      <c r="L76" s="18">
        <f>$D$53*L62*1000/1000000</f>
        <v/>
      </c>
      <c r="M76" s="18">
        <f>$D$53*M62*1000/1000000</f>
        <v/>
      </c>
      <c r="N76" s="18">
        <f>$D$53*N62*1000/1000000</f>
        <v/>
      </c>
    </row>
    <row r="77">
      <c r="A77" s="5" t="inlineStr">
        <is>
          <t>Total Revenue</t>
        </is>
      </c>
      <c r="B77" s="6" t="inlineStr">
        <is>
          <t>$mm</t>
        </is>
      </c>
      <c r="C77" s="6" t="inlineStr"/>
      <c r="E77" s="20">
        <f>E65+E66</f>
        <v/>
      </c>
      <c r="F77" s="20">
        <f>F65+F66</f>
        <v/>
      </c>
      <c r="G77" s="20">
        <f>G65+G66</f>
        <v/>
      </c>
      <c r="H77" s="20">
        <f>H65+H66</f>
        <v/>
      </c>
      <c r="I77" s="20">
        <f>I65+I66</f>
        <v/>
      </c>
      <c r="J77" s="20">
        <f>J65+J66</f>
        <v/>
      </c>
      <c r="K77" s="20">
        <f>K65+K66</f>
        <v/>
      </c>
      <c r="L77" s="20">
        <f>L65+L66</f>
        <v/>
      </c>
      <c r="M77" s="20">
        <f>M65+M66</f>
        <v/>
      </c>
      <c r="N77" s="20">
        <f>N65+N66</f>
        <v/>
      </c>
    </row>
    <row r="79">
      <c r="A79" s="5" t="inlineStr">
        <is>
          <t>Fuel Cost</t>
        </is>
      </c>
      <c r="B79" s="6" t="inlineStr">
        <is>
          <t>$mm</t>
        </is>
      </c>
      <c r="C79" s="6" t="inlineStr">
        <is>
          <t>Gen × HR × Gas / 1B</t>
        </is>
      </c>
      <c r="E79" s="18">
        <f>$D$54*$D$24*E63/1E9</f>
        <v/>
      </c>
      <c r="F79" s="18">
        <f>$D$54*$D$24*F63/1E9</f>
        <v/>
      </c>
      <c r="G79" s="18">
        <f>$D$54*$D$24*G63/1E9</f>
        <v/>
      </c>
      <c r="H79" s="18">
        <f>$D$54*$D$24*H63/1E9</f>
        <v/>
      </c>
      <c r="I79" s="18">
        <f>$D$54*$D$24*I63/1E9</f>
        <v/>
      </c>
      <c r="J79" s="18">
        <f>$D$54*$D$24*J63/1E9</f>
        <v/>
      </c>
      <c r="K79" s="18">
        <f>$D$54*$D$24*K63/1E9</f>
        <v/>
      </c>
      <c r="L79" s="18">
        <f>$D$54*$D$24*L63/1E9</f>
        <v/>
      </c>
      <c r="M79" s="18">
        <f>$D$54*$D$24*M63/1E9</f>
        <v/>
      </c>
      <c r="N79" s="18">
        <f>$D$54*$D$24*N63/1E9</f>
        <v/>
      </c>
    </row>
    <row r="80">
      <c r="A80" s="5" t="inlineStr">
        <is>
          <t>VOM</t>
        </is>
      </c>
      <c r="B80" s="6" t="inlineStr">
        <is>
          <t>$mm</t>
        </is>
      </c>
      <c r="C80" s="6" t="inlineStr">
        <is>
          <t>Generation × VOM rate / 1M</t>
        </is>
      </c>
      <c r="E80" s="18">
        <f>$D$54*$D$35/1000000</f>
        <v/>
      </c>
      <c r="F80" s="18">
        <f>$D$54*$D$35/1000000</f>
        <v/>
      </c>
      <c r="G80" s="18">
        <f>$D$54*$D$35/1000000</f>
        <v/>
      </c>
      <c r="H80" s="18">
        <f>$D$54*$D$35/1000000</f>
        <v/>
      </c>
      <c r="I80" s="18">
        <f>$D$54*$D$35/1000000</f>
        <v/>
      </c>
      <c r="J80" s="18">
        <f>$D$54*$D$35/1000000</f>
        <v/>
      </c>
      <c r="K80" s="18">
        <f>$D$54*$D$35/1000000</f>
        <v/>
      </c>
      <c r="L80" s="18">
        <f>$D$54*$D$35/1000000</f>
        <v/>
      </c>
      <c r="M80" s="18">
        <f>$D$54*$D$35/1000000</f>
        <v/>
      </c>
      <c r="N80" s="18">
        <f>$D$54*$D$35/1000000</f>
        <v/>
      </c>
    </row>
    <row r="81">
      <c r="A81" s="5" t="inlineStr">
        <is>
          <t>FOM</t>
        </is>
      </c>
      <c r="B81" s="6" t="inlineStr">
        <is>
          <t>$mm</t>
        </is>
      </c>
      <c r="C81" s="6" t="inlineStr">
        <is>
          <t>Capacity × FOM × esc × 1000 / 1M</t>
        </is>
      </c>
      <c r="E81" s="18">
        <f>$D$23*$D$36*(1+$D$32)^(1-1)*1000/1000000</f>
        <v/>
      </c>
      <c r="F81" s="18">
        <f>$D$23*$D$36*(1+$D$32)^(2-1)*1000/1000000</f>
        <v/>
      </c>
      <c r="G81" s="18">
        <f>$D$23*$D$36*(1+$D$32)^(3-1)*1000/1000000</f>
        <v/>
      </c>
      <c r="H81" s="18">
        <f>$D$23*$D$36*(1+$D$32)^(4-1)*1000/1000000</f>
        <v/>
      </c>
      <c r="I81" s="18">
        <f>$D$23*$D$36*(1+$D$32)^(5-1)*1000/1000000</f>
        <v/>
      </c>
      <c r="J81" s="18">
        <f>$D$23*$D$36*(1+$D$32)^(6-1)*1000/1000000</f>
        <v/>
      </c>
      <c r="K81" s="18">
        <f>$D$23*$D$36*(1+$D$32)^(7-1)*1000/1000000</f>
        <v/>
      </c>
      <c r="L81" s="18">
        <f>$D$23*$D$36*(1+$D$32)^(8-1)*1000/1000000</f>
        <v/>
      </c>
      <c r="M81" s="18">
        <f>$D$23*$D$36*(1+$D$32)^(9-1)*1000/1000000</f>
        <v/>
      </c>
      <c r="N81" s="18">
        <f>$D$23*$D$36*(1+$D$32)^(10-1)*1000/1000000</f>
        <v/>
      </c>
    </row>
    <row r="82">
      <c r="A82" s="5" t="inlineStr">
        <is>
          <t>Total Operating Costs</t>
        </is>
      </c>
      <c r="B82" s="6" t="inlineStr">
        <is>
          <t>$mm</t>
        </is>
      </c>
      <c r="C82" s="6" t="inlineStr"/>
      <c r="E82" s="18">
        <f>E69+E70+E71</f>
        <v/>
      </c>
      <c r="F82" s="18">
        <f>F69+F70+F71</f>
        <v/>
      </c>
      <c r="G82" s="18">
        <f>G69+G70+G71</f>
        <v/>
      </c>
      <c r="H82" s="18">
        <f>H69+H70+H71</f>
        <v/>
      </c>
      <c r="I82" s="18">
        <f>I69+I70+I71</f>
        <v/>
      </c>
      <c r="J82" s="18">
        <f>J69+J70+J71</f>
        <v/>
      </c>
      <c r="K82" s="18">
        <f>K69+K70+K71</f>
        <v/>
      </c>
      <c r="L82" s="18">
        <f>L69+L70+L71</f>
        <v/>
      </c>
      <c r="M82" s="18">
        <f>M69+M70+M71</f>
        <v/>
      </c>
      <c r="N82" s="18">
        <f>N69+N70+N71</f>
        <v/>
      </c>
    </row>
    <row r="84">
      <c r="A84" s="5" t="inlineStr">
        <is>
          <t>EBITDA</t>
        </is>
      </c>
      <c r="B84" s="6" t="inlineStr">
        <is>
          <t>$mm</t>
        </is>
      </c>
      <c r="C84" s="6" t="inlineStr"/>
      <c r="E84" s="7">
        <f>E67-E72</f>
        <v/>
      </c>
      <c r="F84" s="7">
        <f>F67-F72</f>
        <v/>
      </c>
      <c r="G84" s="7">
        <f>G67-G72</f>
        <v/>
      </c>
      <c r="H84" s="7">
        <f>H67-H72</f>
        <v/>
      </c>
      <c r="I84" s="7">
        <f>I67-I72</f>
        <v/>
      </c>
      <c r="J84" s="7">
        <f>J67-J72</f>
        <v/>
      </c>
      <c r="K84" s="7">
        <f>K67-K72</f>
        <v/>
      </c>
      <c r="L84" s="7">
        <f>L67-L72</f>
        <v/>
      </c>
      <c r="M84" s="7">
        <f>M67-M72</f>
        <v/>
      </c>
      <c r="N84" s="7">
        <f>N67-N72</f>
        <v/>
      </c>
    </row>
    <row r="87">
      <c r="A87" s="3" t="inlineStr">
        <is>
          <t>CASH FLOW</t>
        </is>
      </c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</row>
    <row r="88">
      <c r="A88" s="5" t="inlineStr">
        <is>
          <t>EBIT</t>
        </is>
      </c>
      <c r="B88" s="6" t="inlineStr">
        <is>
          <t>$mm</t>
        </is>
      </c>
      <c r="C88" s="6" t="inlineStr">
        <is>
          <t>EBITDA - Depreciation</t>
        </is>
      </c>
      <c r="E88" s="18">
        <f>E74-$D$56</f>
        <v/>
      </c>
      <c r="F88" s="18">
        <f>F74-$D$56</f>
        <v/>
      </c>
      <c r="G88" s="18">
        <f>G74-$D$56</f>
        <v/>
      </c>
      <c r="H88" s="18">
        <f>H74-$D$56</f>
        <v/>
      </c>
      <c r="I88" s="18">
        <f>I74-$D$56</f>
        <v/>
      </c>
      <c r="J88" s="18">
        <f>J74-$D$56</f>
        <v/>
      </c>
      <c r="K88" s="18">
        <f>K74-$D$56</f>
        <v/>
      </c>
      <c r="L88" s="18">
        <f>L74-$D$56</f>
        <v/>
      </c>
      <c r="M88" s="18">
        <f>M74-$D$56</f>
        <v/>
      </c>
      <c r="N88" s="18">
        <f>N74-$D$56</f>
        <v/>
      </c>
    </row>
    <row r="89">
      <c r="A89" s="5" t="inlineStr">
        <is>
          <t>Taxes</t>
        </is>
      </c>
      <c r="B89" s="6" t="inlineStr">
        <is>
          <t>$mm</t>
        </is>
      </c>
      <c r="C89" s="6" t="inlineStr">
        <is>
          <t>MAX(0, EBIT) × Tax Rate</t>
        </is>
      </c>
      <c r="E89" s="18">
        <f>MAX(0,E78)*$D$47</f>
        <v/>
      </c>
      <c r="F89" s="18">
        <f>MAX(0,F78)*$D$47</f>
        <v/>
      </c>
      <c r="G89" s="18">
        <f>MAX(0,G78)*$D$47</f>
        <v/>
      </c>
      <c r="H89" s="18">
        <f>MAX(0,H78)*$D$47</f>
        <v/>
      </c>
      <c r="I89" s="18">
        <f>MAX(0,I78)*$D$47</f>
        <v/>
      </c>
      <c r="J89" s="18">
        <f>MAX(0,J78)*$D$47</f>
        <v/>
      </c>
      <c r="K89" s="18">
        <f>MAX(0,K78)*$D$47</f>
        <v/>
      </c>
      <c r="L89" s="18">
        <f>MAX(0,L78)*$D$47</f>
        <v/>
      </c>
      <c r="M89" s="18">
        <f>MAX(0,M78)*$D$47</f>
        <v/>
      </c>
      <c r="N89" s="18">
        <f>MAX(0,N78)*$D$47</f>
        <v/>
      </c>
    </row>
    <row r="90">
      <c r="A90" s="5" t="inlineStr">
        <is>
          <t>CFADS</t>
        </is>
      </c>
      <c r="B90" s="6" t="inlineStr">
        <is>
          <t>$mm</t>
        </is>
      </c>
      <c r="C90" s="6" t="inlineStr">
        <is>
          <t>EBITDA - Taxes</t>
        </is>
      </c>
      <c r="E90" s="7">
        <f>E74-E79</f>
        <v/>
      </c>
      <c r="F90" s="7">
        <f>F74-F79</f>
        <v/>
      </c>
      <c r="G90" s="7">
        <f>G74-G79</f>
        <v/>
      </c>
      <c r="H90" s="7">
        <f>H74-H79</f>
        <v/>
      </c>
      <c r="I90" s="7">
        <f>I74-I79</f>
        <v/>
      </c>
      <c r="J90" s="7">
        <f>J74-J79</f>
        <v/>
      </c>
      <c r="K90" s="7">
        <f>K74-K79</f>
        <v/>
      </c>
      <c r="L90" s="7">
        <f>L74-L79</f>
        <v/>
      </c>
      <c r="M90" s="7">
        <f>M74-M79</f>
        <v/>
      </c>
      <c r="N90" s="7">
        <f>N74-N79</f>
        <v/>
      </c>
    </row>
    <row r="93">
      <c r="A93" s="3" t="inlineStr">
        <is>
          <t>DEBT SCHEDULE (75% Cash Sweep)</t>
        </is>
      </c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</row>
    <row r="94">
      <c r="A94" s="5" t="inlineStr">
        <is>
          <t>Beginning Balance</t>
        </is>
      </c>
      <c r="B94" s="6" t="inlineStr">
        <is>
          <t>$mm</t>
        </is>
      </c>
      <c r="C94" s="6" t="inlineStr"/>
      <c r="E94" s="18">
        <f>$D$55</f>
        <v/>
      </c>
      <c r="F94" s="18">
        <f>E91</f>
        <v/>
      </c>
      <c r="G94" s="18">
        <f>F91</f>
        <v/>
      </c>
      <c r="H94" s="18">
        <f>G91</f>
        <v/>
      </c>
      <c r="I94" s="18">
        <f>H91</f>
        <v/>
      </c>
      <c r="J94" s="18">
        <f>I91</f>
        <v/>
      </c>
      <c r="K94" s="18">
        <f>J91</f>
        <v/>
      </c>
      <c r="L94" s="18">
        <f>K91</f>
        <v/>
      </c>
      <c r="M94" s="18">
        <f>L91</f>
        <v/>
      </c>
      <c r="N94" s="18">
        <f>M91</f>
        <v/>
      </c>
    </row>
    <row r="95">
      <c r="A95" s="5" t="inlineStr">
        <is>
          <t>Interest</t>
        </is>
      </c>
      <c r="B95" s="6" t="inlineStr">
        <is>
          <t>$mm</t>
        </is>
      </c>
      <c r="C95" s="6" t="inlineStr">
        <is>
          <t>Beg Bal × Int Rate</t>
        </is>
      </c>
      <c r="E95" s="18">
        <f>E84*$D$40</f>
        <v/>
      </c>
      <c r="F95" s="18">
        <f>F84*$D$40</f>
        <v/>
      </c>
      <c r="G95" s="18">
        <f>G84*$D$40</f>
        <v/>
      </c>
      <c r="H95" s="18">
        <f>H84*$D$40</f>
        <v/>
      </c>
      <c r="I95" s="18">
        <f>I84*$D$40</f>
        <v/>
      </c>
      <c r="J95" s="18">
        <f>J84*$D$40</f>
        <v/>
      </c>
      <c r="K95" s="18">
        <f>K84*$D$40</f>
        <v/>
      </c>
      <c r="L95" s="18">
        <f>L84*$D$40</f>
        <v/>
      </c>
      <c r="M95" s="18">
        <f>M84*$D$40</f>
        <v/>
      </c>
      <c r="N95" s="18">
        <f>N84*$D$40</f>
        <v/>
      </c>
    </row>
    <row r="96">
      <c r="A96" s="5" t="inlineStr">
        <is>
          <t>Scheduled Principal</t>
        </is>
      </c>
      <c r="B96" s="6" t="inlineStr">
        <is>
          <t>$mm</t>
        </is>
      </c>
      <c r="C96" s="6" t="inlineStr">
        <is>
          <t>MIN(Sched, Beg Bal)</t>
        </is>
      </c>
      <c r="E96" s="18">
        <f>MIN($D$57,E84)</f>
        <v/>
      </c>
      <c r="F96" s="18">
        <f>MIN($D$57,F84)</f>
        <v/>
      </c>
      <c r="G96" s="18">
        <f>MIN($D$57,G84)</f>
        <v/>
      </c>
      <c r="H96" s="18">
        <f>MIN($D$57,H84)</f>
        <v/>
      </c>
      <c r="I96" s="18">
        <f>MIN($D$57,I84)</f>
        <v/>
      </c>
      <c r="J96" s="18">
        <f>MIN($D$57,J84)</f>
        <v/>
      </c>
      <c r="K96" s="18">
        <f>MIN($D$57,K84)</f>
        <v/>
      </c>
      <c r="L96" s="18">
        <f>MIN($D$57,L84)</f>
        <v/>
      </c>
      <c r="M96" s="18">
        <f>MIN($D$57,M84)</f>
        <v/>
      </c>
      <c r="N96" s="18">
        <f>MIN($D$57,N84)</f>
        <v/>
      </c>
    </row>
    <row r="97">
      <c r="A97" s="5" t="inlineStr">
        <is>
          <t>Debt Service (Pre-Sweep)</t>
        </is>
      </c>
      <c r="B97" s="6" t="inlineStr">
        <is>
          <t>$mm</t>
        </is>
      </c>
      <c r="C97" s="6" t="inlineStr">
        <is>
          <t>Interest + Sched Prin</t>
        </is>
      </c>
      <c r="E97" s="18">
        <f>E85+E86</f>
        <v/>
      </c>
      <c r="F97" s="18">
        <f>F85+F86</f>
        <v/>
      </c>
      <c r="G97" s="18">
        <f>G85+G86</f>
        <v/>
      </c>
      <c r="H97" s="18">
        <f>H85+H86</f>
        <v/>
      </c>
      <c r="I97" s="18">
        <f>I85+I86</f>
        <v/>
      </c>
      <c r="J97" s="18">
        <f>J85+J86</f>
        <v/>
      </c>
      <c r="K97" s="18">
        <f>K85+K86</f>
        <v/>
      </c>
      <c r="L97" s="18">
        <f>L85+L86</f>
        <v/>
      </c>
      <c r="M97" s="18">
        <f>M85+M86</f>
        <v/>
      </c>
      <c r="N97" s="18">
        <f>N85+N86</f>
        <v/>
      </c>
    </row>
    <row r="98">
      <c r="A98" s="5" t="inlineStr">
        <is>
          <t>Excess Cash</t>
        </is>
      </c>
      <c r="B98" s="6" t="inlineStr">
        <is>
          <t>$mm</t>
        </is>
      </c>
      <c r="C98" s="6" t="inlineStr">
        <is>
          <t>CFADS - DS - DSRA Funding</t>
        </is>
      </c>
      <c r="E98" s="18">
        <f>MAX(0,E80-E87-E98)</f>
        <v/>
      </c>
      <c r="F98" s="18">
        <f>MAX(0,F80-F87-F98)</f>
        <v/>
      </c>
      <c r="G98" s="18">
        <f>MAX(0,G80-G87-G98)</f>
        <v/>
      </c>
      <c r="H98" s="18">
        <f>MAX(0,H80-H87-H98)</f>
        <v/>
      </c>
      <c r="I98" s="18">
        <f>MAX(0,I80-I87-I98)</f>
        <v/>
      </c>
      <c r="J98" s="18">
        <f>MAX(0,J80-J87-J98)</f>
        <v/>
      </c>
      <c r="K98" s="18">
        <f>MAX(0,K80-K87-K98)</f>
        <v/>
      </c>
      <c r="L98" s="18">
        <f>MAX(0,L80-L87-L98)</f>
        <v/>
      </c>
      <c r="M98" s="18">
        <f>MAX(0,M80-M87-M98)</f>
        <v/>
      </c>
      <c r="N98" s="18">
        <f>MAX(0,N80-N87-N98)</f>
        <v/>
      </c>
    </row>
    <row r="99">
      <c r="A99" s="5" t="inlineStr">
        <is>
          <t>Cash Sweep</t>
        </is>
      </c>
      <c r="B99" s="6" t="inlineStr">
        <is>
          <t>$mm</t>
        </is>
      </c>
      <c r="C99" s="6" t="inlineStr">
        <is>
          <t>MIN(Excess×Sweep%, Beg-Sched)</t>
        </is>
      </c>
      <c r="E99" s="21">
        <f>MIN(MAX(0,E88)*$D$43,MAX(0,E84-E86))</f>
        <v/>
      </c>
      <c r="F99" s="21">
        <f>MIN(MAX(0,F88)*$D$43,MAX(0,F84-F86))</f>
        <v/>
      </c>
      <c r="G99" s="21">
        <f>MIN(MAX(0,G88)*$D$43,MAX(0,G84-G86))</f>
        <v/>
      </c>
      <c r="H99" s="21">
        <f>MIN(MAX(0,H88)*$D$43,MAX(0,H84-H86))</f>
        <v/>
      </c>
      <c r="I99" s="21">
        <f>MIN(MAX(0,I88)*$D$43,MAX(0,I84-I86))</f>
        <v/>
      </c>
      <c r="J99" s="21">
        <f>MIN(MAX(0,J88)*$D$43,MAX(0,J84-J86))</f>
        <v/>
      </c>
      <c r="K99" s="21">
        <f>MIN(MAX(0,K88)*$D$43,MAX(0,K84-K86))</f>
        <v/>
      </c>
      <c r="L99" s="21">
        <f>MIN(MAX(0,L88)*$D$43,MAX(0,L84-L86))</f>
        <v/>
      </c>
      <c r="M99" s="21">
        <f>MIN(MAX(0,M88)*$D$43,MAX(0,M84-M86))</f>
        <v/>
      </c>
      <c r="N99" s="21">
        <f>MIN(MAX(0,N88)*$D$43,MAX(0,N84-N86))</f>
        <v/>
      </c>
    </row>
    <row r="100">
      <c r="A100" s="5" t="inlineStr">
        <is>
          <t>Total Principal</t>
        </is>
      </c>
      <c r="B100" s="6" t="inlineStr">
        <is>
          <t>$mm</t>
        </is>
      </c>
      <c r="C100" s="6" t="inlineStr">
        <is>
          <t>Scheduled + Sweep</t>
        </is>
      </c>
      <c r="E100" s="18">
        <f>E86+E89</f>
        <v/>
      </c>
      <c r="F100" s="18">
        <f>F86+F89</f>
        <v/>
      </c>
      <c r="G100" s="18">
        <f>G86+G89</f>
        <v/>
      </c>
      <c r="H100" s="18">
        <f>H86+H89</f>
        <v/>
      </c>
      <c r="I100" s="18">
        <f>I86+I89</f>
        <v/>
      </c>
      <c r="J100" s="18">
        <f>J86+J89</f>
        <v/>
      </c>
      <c r="K100" s="18">
        <f>K86+K89</f>
        <v/>
      </c>
      <c r="L100" s="18">
        <f>L86+L89</f>
        <v/>
      </c>
      <c r="M100" s="18">
        <f>M86+M89</f>
        <v/>
      </c>
      <c r="N100" s="18">
        <f>N86+N89</f>
        <v/>
      </c>
    </row>
    <row r="101">
      <c r="A101" s="5" t="inlineStr">
        <is>
          <t>Ending Balance</t>
        </is>
      </c>
      <c r="B101" s="6" t="inlineStr">
        <is>
          <t>$mm</t>
        </is>
      </c>
      <c r="C101" s="6" t="inlineStr">
        <is>
          <t>MAX(0, Beg - Total Prin)</t>
        </is>
      </c>
      <c r="E101" s="18">
        <f>MAX(0,E84-E90)</f>
        <v/>
      </c>
      <c r="F101" s="18">
        <f>MAX(0,F84-F90)</f>
        <v/>
      </c>
      <c r="G101" s="18">
        <f>MAX(0,G84-G90)</f>
        <v/>
      </c>
      <c r="H101" s="18">
        <f>MAX(0,H84-H90)</f>
        <v/>
      </c>
      <c r="I101" s="18">
        <f>MAX(0,I84-I90)</f>
        <v/>
      </c>
      <c r="J101" s="18">
        <f>MAX(0,J84-J90)</f>
        <v/>
      </c>
      <c r="K101" s="18">
        <f>MAX(0,K84-K90)</f>
        <v/>
      </c>
      <c r="L101" s="18">
        <f>MAX(0,L84-L90)</f>
        <v/>
      </c>
      <c r="M101" s="18">
        <f>MAX(0,M84-M90)</f>
        <v/>
      </c>
      <c r="N101" s="18">
        <f>MAX(0,N84-N90)</f>
        <v/>
      </c>
    </row>
    <row r="102">
      <c r="A102" s="5" t="inlineStr">
        <is>
          <t>DSCR</t>
        </is>
      </c>
      <c r="B102" s="6" t="inlineStr">
        <is>
          <t>x</t>
        </is>
      </c>
      <c r="C102" s="6" t="inlineStr">
        <is>
          <t>CFADS / Debt Service</t>
        </is>
      </c>
      <c r="E102" s="30">
        <f>IF(E87&gt;0,E80/E87,0)</f>
        <v/>
      </c>
      <c r="F102" s="30">
        <f>IF(F87&gt;0,F80/F87,0)</f>
        <v/>
      </c>
      <c r="G102" s="30">
        <f>IF(G87&gt;0,G80/G87,0)</f>
        <v/>
      </c>
      <c r="H102" s="30">
        <f>IF(H87&gt;0,H80/H87,0)</f>
        <v/>
      </c>
      <c r="I102" s="30">
        <f>IF(I87&gt;0,I80/I87,0)</f>
        <v/>
      </c>
      <c r="J102" s="30">
        <f>IF(J87&gt;0,J80/J87,0)</f>
        <v/>
      </c>
      <c r="K102" s="30">
        <f>IF(K87&gt;0,K80/K87,0)</f>
        <v/>
      </c>
      <c r="L102" s="30">
        <f>IF(L87&gt;0,L80/L87,0)</f>
        <v/>
      </c>
      <c r="M102" s="30">
        <f>IF(M87&gt;0,M80/M87,0)</f>
        <v/>
      </c>
      <c r="N102" s="30">
        <f>IF(N87&gt;0,N80/N87,0)</f>
        <v/>
      </c>
    </row>
    <row r="103">
      <c r="A103" s="5" t="inlineStr">
        <is>
          <t>Scheduled DS (for DSRA)</t>
        </is>
      </c>
      <c r="B103" s="6" t="inlineStr">
        <is>
          <t>$mm</t>
        </is>
      </c>
      <c r="C103" s="6" t="inlineStr">
        <is>
          <t>Based on straight-line amort, no sweep</t>
        </is>
      </c>
      <c r="E103" s="18">
        <f>MAX(0,$D$55-(1-1)*$D$57)*$D$40+$D$57</f>
        <v/>
      </c>
      <c r="F103" s="18">
        <f>MAX(0,$D$55-(2-1)*$D$57)*$D$40+$D$57</f>
        <v/>
      </c>
      <c r="G103" s="18">
        <f>MAX(0,$D$55-(3-1)*$D$57)*$D$40+$D$57</f>
        <v/>
      </c>
      <c r="H103" s="18">
        <f>MAX(0,$D$55-(4-1)*$D$57)*$D$40+$D$57</f>
        <v/>
      </c>
      <c r="I103" s="18">
        <f>MAX(0,$D$55-(5-1)*$D$57)*$D$40+$D$57</f>
        <v/>
      </c>
      <c r="J103" s="18">
        <f>MAX(0,$D$55-(6-1)*$D$57)*$D$40+$D$57</f>
        <v/>
      </c>
      <c r="K103" s="18">
        <f>MAX(0,$D$55-(7-1)*$D$57)*$D$40+$D$57</f>
        <v/>
      </c>
      <c r="L103" s="18">
        <f>MAX(0,$D$55-(8-1)*$D$57)*$D$40+$D$57</f>
        <v/>
      </c>
      <c r="M103" s="18">
        <f>MAX(0,$D$55-(9-1)*$D$57)*$D$40+$D$57</f>
        <v/>
      </c>
      <c r="N103" s="18">
        <f>MAX(0,$D$55-(10-1)*$D$57)*$D$40+$D$57</f>
        <v/>
      </c>
    </row>
    <row r="105">
      <c r="A105" s="3" t="inlineStr">
        <is>
          <t>DSRA (Debt Service Reserve Account)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5" t="inlineStr">
        <is>
          <t>DSRA Target</t>
        </is>
      </c>
      <c r="B106" s="6" t="inlineStr">
        <is>
          <t>$mm</t>
        </is>
      </c>
      <c r="C106" s="6" t="inlineStr">
        <is>
          <t>Next Yr Scheduled DS × DSRA Months / 12</t>
        </is>
      </c>
      <c r="D106" s="18">
        <f>E93*$D$42/12</f>
        <v/>
      </c>
      <c r="E106" s="18">
        <f>F93*$D$42/12</f>
        <v/>
      </c>
      <c r="F106" s="18">
        <f>G93*$D$42/12</f>
        <v/>
      </c>
      <c r="G106" s="18">
        <f>H93*$D$42/12</f>
        <v/>
      </c>
      <c r="H106" s="18">
        <f>I93*$D$42/12</f>
        <v/>
      </c>
      <c r="I106" s="18">
        <f>J93*$D$42/12</f>
        <v/>
      </c>
      <c r="J106" s="18">
        <f>K93*$D$42/12</f>
        <v/>
      </c>
      <c r="K106" s="18">
        <f>L93*$D$42/12</f>
        <v/>
      </c>
      <c r="L106" s="18">
        <f>M93*$D$42/12</f>
        <v/>
      </c>
      <c r="M106" s="18">
        <f>N93*$D$42/12</f>
        <v/>
      </c>
      <c r="N106" s="18">
        <f>0</f>
        <v/>
      </c>
    </row>
    <row r="107">
      <c r="A107" s="5" t="inlineStr">
        <is>
          <t>DSRA Beginning</t>
        </is>
      </c>
      <c r="B107" s="6" t="inlineStr">
        <is>
          <t>$mm</t>
        </is>
      </c>
      <c r="C107" s="6" t="inlineStr"/>
      <c r="D107" s="18">
        <f>0</f>
        <v/>
      </c>
      <c r="E107" s="18">
        <f>D99</f>
        <v/>
      </c>
      <c r="F107" s="18">
        <f>E99</f>
        <v/>
      </c>
      <c r="G107" s="18">
        <f>F99</f>
        <v/>
      </c>
      <c r="H107" s="18">
        <f>G99</f>
        <v/>
      </c>
      <c r="I107" s="18">
        <f>H99</f>
        <v/>
      </c>
      <c r="J107" s="18">
        <f>I99</f>
        <v/>
      </c>
      <c r="K107" s="18">
        <f>J99</f>
        <v/>
      </c>
      <c r="L107" s="18">
        <f>K99</f>
        <v/>
      </c>
      <c r="M107" s="18">
        <f>L99</f>
        <v/>
      </c>
      <c r="N107" s="18">
        <f>M99</f>
        <v/>
      </c>
    </row>
    <row r="108">
      <c r="A108" s="5" t="inlineStr">
        <is>
          <t>DSRA Funding/(Release)</t>
        </is>
      </c>
      <c r="B108" s="6" t="inlineStr">
        <is>
          <t>$mm</t>
        </is>
      </c>
      <c r="C108" s="6" t="inlineStr">
        <is>
          <t>Target - Beginning</t>
        </is>
      </c>
      <c r="D108" s="18">
        <f>D96-D97</f>
        <v/>
      </c>
      <c r="E108" s="18">
        <f>E96-E97</f>
        <v/>
      </c>
      <c r="F108" s="18">
        <f>F96-F97</f>
        <v/>
      </c>
      <c r="G108" s="18">
        <f>G96-G97</f>
        <v/>
      </c>
      <c r="H108" s="18">
        <f>H96-H97</f>
        <v/>
      </c>
      <c r="I108" s="18">
        <f>I96-I97</f>
        <v/>
      </c>
      <c r="J108" s="18">
        <f>J96-J97</f>
        <v/>
      </c>
      <c r="K108" s="18">
        <f>K96-K97</f>
        <v/>
      </c>
      <c r="L108" s="18">
        <f>L96-L97</f>
        <v/>
      </c>
      <c r="M108" s="18">
        <f>M96-M97</f>
        <v/>
      </c>
      <c r="N108" s="18">
        <f>N96-N97</f>
        <v/>
      </c>
    </row>
    <row r="109">
      <c r="A109" s="5" t="inlineStr">
        <is>
          <t>DSRA Ending</t>
        </is>
      </c>
      <c r="B109" s="6" t="inlineStr">
        <is>
          <t>$mm</t>
        </is>
      </c>
      <c r="C109" s="6" t="inlineStr">
        <is>
          <t>Beginning + Funding</t>
        </is>
      </c>
      <c r="D109" s="18">
        <f>D97+D98</f>
        <v/>
      </c>
      <c r="E109" s="18">
        <f>E97+E98</f>
        <v/>
      </c>
      <c r="F109" s="18">
        <f>F97+F98</f>
        <v/>
      </c>
      <c r="G109" s="18">
        <f>G97+G98</f>
        <v/>
      </c>
      <c r="H109" s="18">
        <f>H97+H98</f>
        <v/>
      </c>
      <c r="I109" s="18">
        <f>I97+I98</f>
        <v/>
      </c>
      <c r="J109" s="18">
        <f>J97+J98</f>
        <v/>
      </c>
      <c r="K109" s="18">
        <f>K97+K98</f>
        <v/>
      </c>
      <c r="L109" s="18">
        <f>L97+L98</f>
        <v/>
      </c>
      <c r="M109" s="18">
        <f>M97+M98</f>
        <v/>
      </c>
      <c r="N109" s="18">
        <f>N97+N98</f>
        <v/>
      </c>
    </row>
    <row r="112">
      <c r="A112" s="3" t="inlineStr">
        <is>
          <t>DISTRIBUTION WATERFALL</t>
        </is>
      </c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</row>
    <row r="113">
      <c r="A113" s="5" t="inlineStr">
        <is>
          <t>Cash Available for Distribution</t>
        </is>
      </c>
      <c r="B113" s="6" t="inlineStr">
        <is>
          <t>$mm</t>
        </is>
      </c>
      <c r="C113" s="6" t="inlineStr">
        <is>
          <t>CFADS - Total DS - DSRA Fund</t>
        </is>
      </c>
      <c r="E113" s="18">
        <f>E80-(E85+E90)-E98</f>
        <v/>
      </c>
      <c r="F113" s="18">
        <f>F80-(F85+F90)-F98</f>
        <v/>
      </c>
      <c r="G113" s="18">
        <f>G80-(G85+G90)-G98</f>
        <v/>
      </c>
      <c r="H113" s="18">
        <f>H80-(H85+H90)-H98</f>
        <v/>
      </c>
      <c r="I113" s="18">
        <f>I80-(I85+I90)-I98</f>
        <v/>
      </c>
      <c r="J113" s="18">
        <f>J80-(J85+J90)-J98</f>
        <v/>
      </c>
      <c r="K113" s="18">
        <f>K80-(K85+K90)-K98</f>
        <v/>
      </c>
      <c r="L113" s="18">
        <f>L80-(L85+L90)-L98</f>
        <v/>
      </c>
      <c r="M113" s="18">
        <f>M80-(M85+M90)-M98</f>
        <v/>
      </c>
      <c r="N113" s="18">
        <f>N80-(N85+N90)-N98</f>
        <v/>
      </c>
    </row>
    <row r="114">
      <c r="A114" s="5" t="inlineStr">
        <is>
          <t>Lock-up Test</t>
        </is>
      </c>
      <c r="B114" s="6" t="inlineStr"/>
      <c r="C114" s="6" t="inlineStr">
        <is>
          <t>PASS if DSCR ≥ Lock-up</t>
        </is>
      </c>
      <c r="E114" s="22">
        <f>IF(E92&gt;=$D$44,"PASS","LOCKED")</f>
        <v/>
      </c>
      <c r="F114" s="22">
        <f>IF(F92&gt;=$D$44,"PASS","LOCKED")</f>
        <v/>
      </c>
      <c r="G114" s="22">
        <f>IF(G92&gt;=$D$44,"PASS","LOCKED")</f>
        <v/>
      </c>
      <c r="H114" s="22">
        <f>IF(H92&gt;=$D$44,"PASS","LOCKED")</f>
        <v/>
      </c>
      <c r="I114" s="22">
        <f>IF(I92&gt;=$D$44,"PASS","LOCKED")</f>
        <v/>
      </c>
      <c r="J114" s="22">
        <f>IF(J92&gt;=$D$44,"PASS","LOCKED")</f>
        <v/>
      </c>
      <c r="K114" s="22">
        <f>IF(K92&gt;=$D$44,"PASS","LOCKED")</f>
        <v/>
      </c>
      <c r="L114" s="22">
        <f>IF(L92&gt;=$D$44,"PASS","LOCKED")</f>
        <v/>
      </c>
      <c r="M114" s="22">
        <f>IF(M92&gt;=$D$44,"PASS","LOCKED")</f>
        <v/>
      </c>
      <c r="N114" s="22">
        <f>IF(N92&gt;=$D$44,"PASS","LOCKED")</f>
        <v/>
      </c>
    </row>
    <row r="115">
      <c r="A115" s="5" t="inlineStr">
        <is>
          <t>Distributable Cash</t>
        </is>
      </c>
      <c r="B115" s="6" t="inlineStr">
        <is>
          <t>$mm</t>
        </is>
      </c>
      <c r="C115" s="6" t="inlineStr">
        <is>
          <t>If PASS, MAX(0, Cash Avail)</t>
        </is>
      </c>
      <c r="E115" s="7">
        <f>IF(E104="PASS",MAX(0,E103),0)</f>
        <v/>
      </c>
      <c r="F115" s="7">
        <f>IF(F104="PASS",MAX(0,F103),0)</f>
        <v/>
      </c>
      <c r="G115" s="7">
        <f>IF(G104="PASS",MAX(0,G103),0)</f>
        <v/>
      </c>
      <c r="H115" s="7">
        <f>IF(H104="PASS",MAX(0,H103),0)</f>
        <v/>
      </c>
      <c r="I115" s="7">
        <f>IF(I104="PASS",MAX(0,I103),0)</f>
        <v/>
      </c>
      <c r="J115" s="7">
        <f>IF(J104="PASS",MAX(0,J103),0)</f>
        <v/>
      </c>
      <c r="K115" s="7">
        <f>IF(K104="PASS",MAX(0,K103),0)</f>
        <v/>
      </c>
      <c r="L115" s="7">
        <f>IF(L104="PASS",MAX(0,L103),0)</f>
        <v/>
      </c>
      <c r="M115" s="7">
        <f>IF(M104="PASS",MAX(0,M103),0)</f>
        <v/>
      </c>
      <c r="N115" s="7">
        <f>IF(N104="PASS",MAX(0,N103),0)</f>
        <v/>
      </c>
    </row>
    <row r="118">
      <c r="A118" s="3" t="inlineStr">
        <is>
          <t>SOURCES &amp; USES (Year 0)</t>
        </is>
      </c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</row>
    <row r="119">
      <c r="A119" s="23" t="inlineStr">
        <is>
          <t>USES</t>
        </is>
      </c>
      <c r="B119" s="6" t="inlineStr"/>
      <c r="C119" s="6" t="inlineStr"/>
    </row>
    <row r="120">
      <c r="A120" s="5" t="inlineStr">
        <is>
          <t xml:space="preserve">  Purchase Price</t>
        </is>
      </c>
      <c r="B120" s="6" t="inlineStr">
        <is>
          <t>$mm</t>
        </is>
      </c>
      <c r="C120" s="6" t="inlineStr"/>
      <c r="D120" s="18">
        <f>$D$17</f>
        <v/>
      </c>
    </row>
    <row r="121">
      <c r="A121" s="5" t="inlineStr">
        <is>
          <t xml:space="preserve">  Transaction Fees</t>
        </is>
      </c>
      <c r="B121" s="6" t="inlineStr">
        <is>
          <t>$mm</t>
        </is>
      </c>
      <c r="C121" s="6" t="inlineStr"/>
      <c r="D121" s="18">
        <f>$D$17*$D$18</f>
        <v/>
      </c>
    </row>
    <row r="122">
      <c r="A122" s="5" t="inlineStr">
        <is>
          <t xml:space="preserve">  DSRA Funding</t>
        </is>
      </c>
      <c r="B122" s="6" t="inlineStr">
        <is>
          <t>$mm</t>
        </is>
      </c>
      <c r="C122" s="6" t="inlineStr"/>
      <c r="D122" s="18">
        <f>D96</f>
        <v/>
      </c>
    </row>
    <row r="123">
      <c r="A123" s="5" t="inlineStr">
        <is>
          <t>Total Uses</t>
        </is>
      </c>
      <c r="B123" s="6" t="inlineStr">
        <is>
          <t>$mm</t>
        </is>
      </c>
      <c r="C123" s="6" t="inlineStr"/>
      <c r="D123" s="7">
        <f>D110+D111+D112</f>
        <v/>
      </c>
    </row>
    <row r="125">
      <c r="A125" s="23" t="inlineStr">
        <is>
          <t>SOURCES</t>
        </is>
      </c>
      <c r="B125" s="6" t="inlineStr"/>
      <c r="C125" s="6" t="inlineStr"/>
    </row>
    <row r="126">
      <c r="A126" s="5" t="inlineStr">
        <is>
          <t xml:space="preserve">  Debt</t>
        </is>
      </c>
      <c r="B126" s="6" t="inlineStr">
        <is>
          <t>$mm</t>
        </is>
      </c>
      <c r="C126" s="6" t="inlineStr"/>
      <c r="D126" s="18">
        <f>$D$55</f>
        <v/>
      </c>
    </row>
    <row r="127">
      <c r="A127" s="5" t="inlineStr">
        <is>
          <t xml:space="preserve">  Equity</t>
        </is>
      </c>
      <c r="B127" s="6" t="inlineStr">
        <is>
          <t>$mm</t>
        </is>
      </c>
      <c r="C127" s="6" t="inlineStr">
        <is>
          <t>Plug to balance</t>
        </is>
      </c>
      <c r="D127" s="18">
        <f>D113-D116</f>
        <v/>
      </c>
    </row>
    <row r="128">
      <c r="A128" s="5" t="inlineStr">
        <is>
          <t>Total Sources</t>
        </is>
      </c>
      <c r="B128" s="6" t="inlineStr">
        <is>
          <t>$mm</t>
        </is>
      </c>
      <c r="C128" s="6" t="inlineStr"/>
      <c r="D128" s="7">
        <f>D116+D117</f>
        <v/>
      </c>
    </row>
    <row r="129">
      <c r="A129" s="5" t="inlineStr">
        <is>
          <t>Balance Check</t>
        </is>
      </c>
      <c r="B129" s="6" t="inlineStr"/>
      <c r="C129" s="6" t="inlineStr"/>
      <c r="D129" s="10">
        <f>IF(ABS(D113-D118)&lt;0.01,"PASS","FAIL")</f>
        <v/>
      </c>
    </row>
    <row r="132">
      <c r="A132" s="3" t="inlineStr">
        <is>
          <t>EXIT CALCULATIONS</t>
        </is>
      </c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</row>
    <row r="133">
      <c r="A133" s="5" t="inlineStr">
        <is>
          <t>Exit EV</t>
        </is>
      </c>
      <c r="B133" s="6" t="inlineStr">
        <is>
          <t>$mm</t>
        </is>
      </c>
      <c r="C133" s="6" t="inlineStr">
        <is>
          <t>Exit Multiple × Exit Yr EBITDA</t>
        </is>
      </c>
      <c r="K133" s="18">
        <f>$D$19*K74</f>
        <v/>
      </c>
    </row>
    <row r="134">
      <c r="A134" s="5" t="inlineStr">
        <is>
          <t>Exit Debt Payoff</t>
        </is>
      </c>
      <c r="B134" s="6" t="inlineStr">
        <is>
          <t>$mm</t>
        </is>
      </c>
      <c r="C134" s="6" t="inlineStr">
        <is>
          <t>Ending Bal at Exit</t>
        </is>
      </c>
      <c r="K134" s="18">
        <f>K91</f>
        <v/>
      </c>
    </row>
    <row r="135">
      <c r="A135" s="5" t="inlineStr">
        <is>
          <t>DSRA Release</t>
        </is>
      </c>
      <c r="B135" s="6" t="inlineStr">
        <is>
          <t>$mm</t>
        </is>
      </c>
      <c r="C135" s="6" t="inlineStr">
        <is>
          <t>DSRA Ending at Exit</t>
        </is>
      </c>
      <c r="K135" s="18">
        <f>K99</f>
        <v/>
      </c>
    </row>
    <row r="136">
      <c r="A136" s="5" t="inlineStr">
        <is>
          <t>Exit Equity Proceeds</t>
        </is>
      </c>
      <c r="B136" s="6" t="inlineStr">
        <is>
          <t>$mm</t>
        </is>
      </c>
      <c r="C136" s="6" t="inlineStr">
        <is>
          <t>Exit EV - Debt + DSRA</t>
        </is>
      </c>
      <c r="K136" s="7">
        <f>K123-K124+K125</f>
        <v/>
      </c>
    </row>
    <row r="138">
      <c r="A138" s="3" t="inlineStr">
        <is>
          <t>EQUITY RETURNS</t>
        </is>
      </c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</row>
    <row r="139">
      <c r="A139" s="5" t="inlineStr">
        <is>
          <t>Equity Cash Flow</t>
        </is>
      </c>
      <c r="B139" s="6" t="inlineStr">
        <is>
          <t>$mm</t>
        </is>
      </c>
      <c r="C139" s="6" t="inlineStr"/>
      <c r="D139" s="18">
        <f>-D117</f>
        <v/>
      </c>
      <c r="E139" s="18">
        <f>E105</f>
        <v/>
      </c>
      <c r="F139" s="18">
        <f>F105</f>
        <v/>
      </c>
      <c r="G139" s="18">
        <f>G105</f>
        <v/>
      </c>
      <c r="H139" s="18">
        <f>H105</f>
        <v/>
      </c>
      <c r="I139" s="18">
        <f>I105</f>
        <v/>
      </c>
      <c r="J139" s="18">
        <f>J105</f>
        <v/>
      </c>
      <c r="K139" s="18">
        <f>K105+K126</f>
        <v/>
      </c>
      <c r="L139" s="18">
        <f>0</f>
        <v/>
      </c>
      <c r="M139" s="18">
        <f>0</f>
        <v/>
      </c>
      <c r="N139" s="18">
        <f>0</f>
        <v/>
      </c>
    </row>
    <row r="140">
      <c r="A140" s="5" t="inlineStr">
        <is>
          <t>Levered IRR</t>
        </is>
      </c>
      <c r="B140" s="6" t="inlineStr">
        <is>
          <t>%</t>
        </is>
      </c>
      <c r="C140" s="6" t="inlineStr"/>
      <c r="D140" s="31">
        <f>IRR(D129:K129)</f>
        <v/>
      </c>
    </row>
    <row r="141">
      <c r="A141" s="5" t="inlineStr">
        <is>
          <t>MOIC</t>
        </is>
      </c>
      <c r="B141" s="6" t="inlineStr">
        <is>
          <t>x</t>
        </is>
      </c>
      <c r="C141" s="6" t="inlineStr">
        <is>
          <t>Sum inflows / outflow</t>
        </is>
      </c>
      <c r="D141" s="30">
        <f>SUMIF(D129:K129,"&gt;0")/ABS(D129)</f>
        <v/>
      </c>
    </row>
    <row r="143">
      <c r="A143" s="23" t="inlineStr">
        <is>
          <t>Unlevered Returns (for reference)</t>
        </is>
      </c>
      <c r="B143" s="6" t="inlineStr"/>
      <c r="C143" s="6" t="inlineStr"/>
    </row>
    <row r="144">
      <c r="A144" s="5" t="inlineStr">
        <is>
          <t>Unlevered Cash Flow</t>
        </is>
      </c>
      <c r="B144" s="6" t="inlineStr">
        <is>
          <t>$mm</t>
        </is>
      </c>
      <c r="C144" s="6" t="inlineStr"/>
      <c r="D144" s="18">
        <f>-$D$17-D111</f>
        <v/>
      </c>
      <c r="E144" s="18">
        <f>E80</f>
        <v/>
      </c>
      <c r="F144" s="18">
        <f>F80</f>
        <v/>
      </c>
      <c r="G144" s="18">
        <f>G80</f>
        <v/>
      </c>
      <c r="H144" s="18">
        <f>H80</f>
        <v/>
      </c>
      <c r="I144" s="18">
        <f>I80</f>
        <v/>
      </c>
      <c r="J144" s="18">
        <f>J80</f>
        <v/>
      </c>
      <c r="K144" s="18">
        <f>K80+K123</f>
        <v/>
      </c>
      <c r="L144" s="18">
        <f>0</f>
        <v/>
      </c>
      <c r="M144" s="18">
        <f>0</f>
        <v/>
      </c>
      <c r="N144" s="18">
        <f>0</f>
        <v/>
      </c>
    </row>
    <row r="145">
      <c r="A145" s="5" t="inlineStr">
        <is>
          <t>Unlevered IRR</t>
        </is>
      </c>
      <c r="B145" s="6" t="inlineStr">
        <is>
          <t>%</t>
        </is>
      </c>
      <c r="C145" s="6" t="inlineStr"/>
      <c r="D145" s="31">
        <f>IRR(D134:K134)</f>
        <v/>
      </c>
    </row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1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CCGT Model - Lotus Infrastructure Partners</t>
        </is>
      </c>
      <c r="D1" s="36" t="inlineStr">
        <is>
          <t>Y0 (2025)</t>
        </is>
      </c>
      <c r="E1" s="36" t="inlineStr">
        <is>
          <t>Y1 (2026)</t>
        </is>
      </c>
      <c r="F1" s="36" t="inlineStr">
        <is>
          <t>Y2 (2027)</t>
        </is>
      </c>
      <c r="G1" s="36" t="inlineStr">
        <is>
          <t>Y3 (2028)</t>
        </is>
      </c>
      <c r="H1" s="36" t="inlineStr">
        <is>
          <t>Y4 (2029)</t>
        </is>
      </c>
      <c r="I1" s="36" t="inlineStr">
        <is>
          <t>Y5 (2030)</t>
        </is>
      </c>
      <c r="J1" s="36" t="inlineStr">
        <is>
          <t>Y6 (2031)</t>
        </is>
      </c>
      <c r="K1" s="36" t="inlineStr">
        <is>
          <t>Y7 (2032)</t>
        </is>
      </c>
      <c r="L1" s="36" t="inlineStr">
        <is>
          <t>Y8 (2033)</t>
        </is>
      </c>
      <c r="M1" s="36" t="inlineStr">
        <is>
          <t>Y9 (2034)</t>
        </is>
      </c>
      <c r="N1" s="36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E74</f>
        <v/>
      </c>
    </row>
    <row r="5">
      <c r="A5" s="38" t="inlineStr">
        <is>
          <t>═══════════════════ CONTROL PANEL ═══════════════════</t>
        </is>
      </c>
    </row>
    <row r="7">
      <c r="A7" s="34" t="inlineStr">
        <is>
          <t>Revenue Mode</t>
        </is>
      </c>
      <c r="C7" s="6" t="inlineStr">
        <is>
          <t>Merchant / Contracted / Hybrid</t>
        </is>
      </c>
      <c r="D7" s="47" t="inlineStr">
        <is>
          <t>Merchant</t>
        </is>
      </c>
    </row>
    <row r="8">
      <c r="A8" s="34" t="inlineStr">
        <is>
          <t>Contract Years</t>
        </is>
      </c>
      <c r="C8" s="6" t="inlineStr">
        <is>
          <t>If Hybrid: years of contracted revenue</t>
        </is>
      </c>
      <c r="D8" s="47" t="inlineStr">
        <is>
          <t>0</t>
        </is>
      </c>
    </row>
    <row r="9">
      <c r="A9" s="34" t="inlineStr">
        <is>
          <t>Debt Sweep</t>
        </is>
      </c>
      <c r="C9" s="6" t="inlineStr">
        <is>
          <t>ON / OFF</t>
        </is>
      </c>
      <c r="D9" s="47" t="inlineStr">
        <is>
          <t>ON</t>
        </is>
      </c>
    </row>
    <row r="10">
      <c r="A10" s="34" t="inlineStr">
        <is>
          <t>Sweep %</t>
        </is>
      </c>
      <c r="C10" s="6" t="inlineStr">
        <is>
          <t>Only active if Sweep = ON</t>
        </is>
      </c>
      <c r="D10" s="47" t="inlineStr">
        <is>
          <t>75%</t>
        </is>
      </c>
    </row>
    <row r="11">
      <c r="A11" s="34" t="inlineStr">
        <is>
          <t>Exit Method</t>
        </is>
      </c>
      <c r="C11" s="6" t="inlineStr">
        <is>
          <t>Multiple / DCF</t>
        </is>
      </c>
      <c r="D11" s="47" t="inlineStr">
        <is>
          <t>Multiple</t>
        </is>
      </c>
    </row>
    <row r="13">
      <c r="A13" s="38" t="inlineStr">
        <is>
          <t>════════════════════════════════════════════════════</t>
        </is>
      </c>
    </row>
    <row r="15">
      <c r="A15" s="5" t="inlineStr">
        <is>
          <t>Avg CFADS (Y1-Y7)</t>
        </is>
      </c>
      <c r="B15" s="6" t="inlineStr">
        <is>
          <t>$mm</t>
        </is>
      </c>
      <c r="C15" s="6" t="inlineStr"/>
      <c r="D15" s="7">
        <f>AVERAGE(E80:K80)</f>
        <v/>
      </c>
    </row>
    <row r="16">
      <c r="A16" s="5" t="inlineStr">
        <is>
          <t>Min DSCR (Y1-Y7)</t>
        </is>
      </c>
      <c r="B16" s="6" t="inlineStr">
        <is>
          <t>x</t>
        </is>
      </c>
      <c r="C16" s="6" t="inlineStr"/>
      <c r="D16" s="30">
        <f>IF(COUNTIF(E92:K92,"&gt;0")&gt;0,MINIFS(E92:K92,E92:K92,"&gt;0"),0)</f>
        <v/>
      </c>
    </row>
    <row r="17">
      <c r="A17" s="5" t="inlineStr">
        <is>
          <t>Levered IRR</t>
        </is>
      </c>
      <c r="B17" s="6" t="inlineStr">
        <is>
          <t>%</t>
        </is>
      </c>
      <c r="C17" s="6" t="inlineStr"/>
      <c r="D17" s="31">
        <f>D130</f>
        <v/>
      </c>
    </row>
    <row r="18">
      <c r="A18" s="5" t="inlineStr">
        <is>
          <t>MOIC</t>
        </is>
      </c>
      <c r="B18" s="6" t="inlineStr">
        <is>
          <t>x</t>
        </is>
      </c>
      <c r="C18" s="6" t="inlineStr"/>
      <c r="D18" s="30">
        <f>D131</f>
        <v/>
      </c>
    </row>
    <row r="19">
      <c r="A19" s="5" t="inlineStr">
        <is>
          <t>Unlevered IRR</t>
        </is>
      </c>
      <c r="B19" s="6" t="inlineStr">
        <is>
          <t>%</t>
        </is>
      </c>
      <c r="C19" s="6" t="inlineStr"/>
      <c r="D19" s="31">
        <f>D135</f>
        <v/>
      </c>
    </row>
    <row r="20">
      <c r="A20" s="3" t="inlineStr">
        <is>
          <t>═══ QA CHECKS ═══</t>
        </is>
      </c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5" t="inlineStr">
        <is>
          <t>S&amp;U Balance</t>
        </is>
      </c>
      <c r="B21" s="6" t="inlineStr"/>
      <c r="C21" s="6" t="inlineStr"/>
      <c r="D21" s="10">
        <f>D119</f>
        <v/>
      </c>
    </row>
    <row r="22">
      <c r="A22" s="5" t="inlineStr">
        <is>
          <t>Debt Payoff Y7</t>
        </is>
      </c>
      <c r="B22" s="6" t="inlineStr"/>
      <c r="C22" s="6" t="inlineStr"/>
      <c r="D22" s="10">
        <f>IF(K91&lt;1,"PASS","FAIL")</f>
        <v/>
      </c>
    </row>
    <row r="23">
      <c r="A23" s="5" t="inlineStr">
        <is>
          <t>Min DSCR ≥ 1.25x</t>
        </is>
      </c>
      <c r="B23" s="6" t="inlineStr"/>
      <c r="C23" s="6" t="inlineStr"/>
      <c r="D23" s="10">
        <f>IF(D6&gt;=1.25,"PASS","FAIL")</f>
        <v/>
      </c>
    </row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520</v>
      </c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32" t="n">
        <v>0.015</v>
      </c>
    </row>
    <row r="29">
      <c r="A29" s="5" t="inlineStr">
        <is>
          <t>Exit Multiple</t>
        </is>
      </c>
      <c r="B29" s="6" t="inlineStr">
        <is>
          <t>x</t>
        </is>
      </c>
      <c r="C29" s="6" t="inlineStr">
        <is>
          <t>On exit year EBITDA</t>
        </is>
      </c>
      <c r="D29" s="33" t="n">
        <v>7</v>
      </c>
    </row>
    <row r="30">
      <c r="A30" s="5" t="inlineStr">
        <is>
          <t>Exit Year</t>
        </is>
      </c>
      <c r="B30" s="6" t="inlineStr">
        <is>
          <t>#</t>
        </is>
      </c>
      <c r="C30" s="6" t="inlineStr">
        <is>
          <t>Hold period</t>
        </is>
      </c>
      <c r="D30" s="14" t="n">
        <v>7</v>
      </c>
    </row>
    <row r="32">
      <c r="A32" s="3" t="inlineStr">
        <is>
          <t>ASSET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Capacity</t>
        </is>
      </c>
      <c r="B33" s="6" t="inlineStr">
        <is>
          <t>MW</t>
        </is>
      </c>
      <c r="C33" s="6" t="inlineStr">
        <is>
          <t>Nameplate rating</t>
        </is>
      </c>
      <c r="D33" s="14" t="n">
        <v>365</v>
      </c>
    </row>
    <row r="34">
      <c r="A34" s="5" t="inlineStr">
        <is>
          <t>Heat Rate</t>
        </is>
      </c>
      <c r="B34" s="6" t="inlineStr">
        <is>
          <t>Btu/kWh</t>
        </is>
      </c>
      <c r="C34" s="6" t="inlineStr">
        <is>
          <t>Efficiency (lower = better)</t>
        </is>
      </c>
      <c r="D34" s="14" t="n">
        <v>7000</v>
      </c>
    </row>
    <row r="35">
      <c r="A35" s="5" t="inlineStr">
        <is>
          <t>Capacity Factor</t>
        </is>
      </c>
      <c r="B35" s="6" t="inlineStr">
        <is>
          <t>%</t>
        </is>
      </c>
      <c r="C35" s="6" t="inlineStr">
        <is>
          <t>Annual utilization</t>
        </is>
      </c>
      <c r="D35" s="32" t="n">
        <v>0.55</v>
      </c>
    </row>
    <row r="36">
      <c r="A36" s="5" t="inlineStr">
        <is>
          <t>Forced Outage Rate</t>
        </is>
      </c>
      <c r="B36" s="6" t="inlineStr">
        <is>
          <t>%</t>
        </is>
      </c>
      <c r="C36" s="6" t="inlineStr">
        <is>
          <t>Unplanned downtime</t>
        </is>
      </c>
      <c r="D36" s="32" t="n">
        <v>0.05</v>
      </c>
    </row>
    <row r="38">
      <c r="A38" s="3" t="inlineStr">
        <is>
          <t>PRICING INPUTS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5" t="inlineStr">
        <is>
          <t>Power Price Y1</t>
        </is>
      </c>
      <c r="B39" s="6" t="inlineStr">
        <is>
          <t>$/MWh</t>
        </is>
      </c>
      <c r="C39" s="6" t="inlineStr">
        <is>
          <t>Energy clearing price</t>
        </is>
      </c>
      <c r="D39" s="11" t="n">
        <v>48</v>
      </c>
    </row>
    <row r="40">
      <c r="A40" s="5" t="inlineStr">
        <is>
          <t>Capacity Price Y1</t>
        </is>
      </c>
      <c r="B40" s="6" t="inlineStr">
        <is>
          <t>$/kW-yr</t>
        </is>
      </c>
      <c r="C40" s="6" t="inlineStr">
        <is>
          <t>ICAP/RPM auction result</t>
        </is>
      </c>
      <c r="D40" s="11" t="n">
        <v>110</v>
      </c>
    </row>
    <row r="41">
      <c r="A41" s="5" t="inlineStr">
        <is>
          <t>Gas Price Y1</t>
        </is>
      </c>
      <c r="B41" s="6" t="inlineStr">
        <is>
          <t>$/mmBtu</t>
        </is>
      </c>
      <c r="C41" s="6" t="inlineStr">
        <is>
          <t>Henry Hub + basis</t>
        </is>
      </c>
      <c r="D41" s="15" t="n">
        <v>3</v>
      </c>
    </row>
    <row r="42">
      <c r="A42" s="5" t="inlineStr">
        <is>
          <t>Escalation</t>
        </is>
      </c>
      <c r="B42" s="6" t="inlineStr">
        <is>
          <t>%/yr</t>
        </is>
      </c>
      <c r="C42" s="6" t="inlineStr">
        <is>
          <t>Applied to all prices/costs</t>
        </is>
      </c>
      <c r="D42" s="32" t="n">
        <v>0.025</v>
      </c>
    </row>
    <row r="44">
      <c r="A44" s="3" t="inlineStr">
        <is>
          <t>COST INPUTS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</row>
    <row r="45">
      <c r="A45" s="5" t="inlineStr">
        <is>
          <t>VOM</t>
        </is>
      </c>
      <c r="B45" s="6" t="inlineStr">
        <is>
          <t>$/MWh</t>
        </is>
      </c>
      <c r="C45" s="6" t="inlineStr">
        <is>
          <t>Variable O&amp;M</t>
        </is>
      </c>
      <c r="D45" s="15" t="n">
        <v>3.5</v>
      </c>
    </row>
    <row r="46">
      <c r="A46" s="5" t="inlineStr">
        <is>
          <t>FOM</t>
        </is>
      </c>
      <c r="B46" s="6" t="inlineStr">
        <is>
          <t>$/kW-yr</t>
        </is>
      </c>
      <c r="C46" s="6" t="inlineStr">
        <is>
          <t>Fixed O&amp;M</t>
        </is>
      </c>
      <c r="D46" s="15" t="n">
        <v>15</v>
      </c>
    </row>
    <row r="48">
      <c r="A48" s="3" t="inlineStr">
        <is>
          <t>FINANCING INPUTS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</row>
    <row r="49">
      <c r="A49" s="5" t="inlineStr">
        <is>
          <t>Leverage</t>
        </is>
      </c>
      <c r="B49" s="6" t="inlineStr">
        <is>
          <t>%</t>
        </is>
      </c>
      <c r="C49" s="6" t="inlineStr">
        <is>
          <t>Debt / Entry EV</t>
        </is>
      </c>
      <c r="D49" s="32" t="n">
        <v>0.45</v>
      </c>
    </row>
    <row r="50">
      <c r="A50" s="5" t="inlineStr">
        <is>
          <t>Interest Rate</t>
        </is>
      </c>
      <c r="B50" s="6" t="inlineStr">
        <is>
          <t>%</t>
        </is>
      </c>
      <c r="C50" s="6" t="inlineStr">
        <is>
          <t>All-in borrowing cost</t>
        </is>
      </c>
      <c r="D50" s="32" t="n">
        <v>0.065</v>
      </c>
    </row>
    <row r="51">
      <c r="A51" s="5" t="inlineStr">
        <is>
          <t>Debt Tenor</t>
        </is>
      </c>
      <c r="B51" s="6" t="inlineStr">
        <is>
          <t>years</t>
        </is>
      </c>
      <c r="C51" s="6" t="inlineStr">
        <is>
          <t>Amortization period</t>
        </is>
      </c>
      <c r="D51" s="14" t="n">
        <v>7</v>
      </c>
    </row>
    <row r="52">
      <c r="A52" s="5" t="inlineStr">
        <is>
          <t>DSRA Months</t>
        </is>
      </c>
      <c r="B52" s="6" t="inlineStr">
        <is>
          <t>months</t>
        </is>
      </c>
      <c r="C52" s="6" t="inlineStr">
        <is>
          <t>Debt service reserve</t>
        </is>
      </c>
      <c r="D52" s="14" t="n">
        <v>6</v>
      </c>
    </row>
    <row r="53">
      <c r="A53" s="5" t="inlineStr">
        <is>
          <t>Cash Sweep %</t>
        </is>
      </c>
      <c r="B53" s="6" t="inlineStr">
        <is>
          <t>%</t>
        </is>
      </c>
      <c r="C53" s="6" t="inlineStr">
        <is>
          <t>Mandatory excess CF prepay</t>
        </is>
      </c>
      <c r="D53" s="32" t="n">
        <v>0.75</v>
      </c>
    </row>
    <row r="54">
      <c r="A54" s="5" t="inlineStr">
        <is>
          <t>Lock-up DSCR</t>
        </is>
      </c>
      <c r="B54" s="6" t="inlineStr">
        <is>
          <t>x</t>
        </is>
      </c>
      <c r="C54" s="6" t="inlineStr">
        <is>
          <t>Distribution threshold</t>
        </is>
      </c>
      <c r="D54" s="33" t="n">
        <v>1.1</v>
      </c>
    </row>
    <row r="56">
      <c r="A56" s="3" t="inlineStr">
        <is>
          <t>TAX INPUTS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</row>
    <row r="57">
      <c r="A57" s="5" t="inlineStr">
        <is>
          <t>Tax Rate</t>
        </is>
      </c>
      <c r="B57" s="6" t="inlineStr">
        <is>
          <t>%</t>
        </is>
      </c>
      <c r="C57" s="6" t="inlineStr">
        <is>
          <t>Blended federal + state</t>
        </is>
      </c>
      <c r="D57" s="32" t="n">
        <v>0.25</v>
      </c>
    </row>
    <row r="58">
      <c r="A58" s="5" t="inlineStr">
        <is>
          <t>Depreciable Basis</t>
        </is>
      </c>
      <c r="B58" s="6" t="inlineStr">
        <is>
          <t>%</t>
        </is>
      </c>
      <c r="C58" s="6" t="inlineStr">
        <is>
          <t>% of EV for depreciation</t>
        </is>
      </c>
      <c r="D58" s="32" t="n">
        <v>0.85</v>
      </c>
    </row>
    <row r="59">
      <c r="A59" s="5" t="inlineStr">
        <is>
          <t>Depreciation Life</t>
        </is>
      </c>
      <c r="B59" s="6" t="inlineStr">
        <is>
          <t>years</t>
        </is>
      </c>
      <c r="C59" s="6" t="inlineStr">
        <is>
          <t>Straight-line</t>
        </is>
      </c>
      <c r="D59" s="14" t="n">
        <v>15</v>
      </c>
    </row>
    <row r="62">
      <c r="A62" s="3" t="inlineStr">
        <is>
          <t>CALCULATED ITEMS</t>
        </is>
      </c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</row>
    <row r="63">
      <c r="A63" s="5" t="inlineStr">
        <is>
          <t>UCAP (Unforced Capacity)</t>
        </is>
      </c>
      <c r="B63" s="6" t="inlineStr">
        <is>
          <t>MW</t>
        </is>
      </c>
      <c r="C63" s="6" t="inlineStr">
        <is>
          <t>Capacity × (1 - FOR)</t>
        </is>
      </c>
      <c r="D63" s="16">
        <f>$D$23*(1-$D$26)</f>
        <v/>
      </c>
    </row>
    <row r="64">
      <c r="A64" s="5" t="inlineStr">
        <is>
          <t>Annual Generation</t>
        </is>
      </c>
      <c r="B64" s="6" t="inlineStr">
        <is>
          <t>MWh</t>
        </is>
      </c>
      <c r="C64" s="6" t="inlineStr">
        <is>
          <t>Capacity × CF × 8,760</t>
        </is>
      </c>
      <c r="D64" s="17">
        <f>$D$23*$D$25*8760</f>
        <v/>
      </c>
    </row>
    <row r="65">
      <c r="A65" s="5" t="inlineStr">
        <is>
          <t>Debt Amount</t>
        </is>
      </c>
      <c r="B65" s="6" t="inlineStr">
        <is>
          <t>$mm</t>
        </is>
      </c>
      <c r="C65" s="6" t="inlineStr">
        <is>
          <t>Entry EV × Leverage</t>
        </is>
      </c>
      <c r="D65" s="18">
        <f>$D$17*$D$39</f>
        <v/>
      </c>
    </row>
    <row r="66">
      <c r="A66" s="5" t="inlineStr">
        <is>
          <t>Annual Depreciation</t>
        </is>
      </c>
      <c r="B66" s="6" t="inlineStr">
        <is>
          <t>$mm</t>
        </is>
      </c>
      <c r="C66" s="6" t="inlineStr">
        <is>
          <t>EV × Basis / Life</t>
        </is>
      </c>
      <c r="D66" s="18">
        <f>$D$17*$D$48/$D$49</f>
        <v/>
      </c>
    </row>
    <row r="67">
      <c r="A67" s="5" t="inlineStr">
        <is>
          <t>Scheduled Principal</t>
        </is>
      </c>
      <c r="B67" s="6" t="inlineStr">
        <is>
          <t>$mm/yr</t>
        </is>
      </c>
      <c r="C67" s="6" t="inlineStr">
        <is>
          <t>Debt / Tenor</t>
        </is>
      </c>
      <c r="D67" s="18">
        <f>$D$55/$D$41</f>
        <v/>
      </c>
    </row>
    <row r="70">
      <c r="A70" s="3" t="inlineStr">
        <is>
          <t>OPERATING MODEL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</row>
    <row r="71">
      <c r="A71" s="5" t="inlineStr">
        <is>
          <t>Power Price</t>
        </is>
      </c>
      <c r="B71" s="6" t="inlineStr">
        <is>
          <t>$/MWh</t>
        </is>
      </c>
      <c r="C71" s="6" t="inlineStr">
        <is>
          <t>Escalated</t>
        </is>
      </c>
      <c r="E71" s="18">
        <f>$D$29*(1+$D$32)^(1-1)</f>
        <v/>
      </c>
      <c r="F71" s="18">
        <f>$D$29*(1+$D$32)^(2-1)</f>
        <v/>
      </c>
      <c r="G71" s="18">
        <f>$D$29*(1+$D$32)^(3-1)</f>
        <v/>
      </c>
      <c r="H71" s="18">
        <f>$D$29*(1+$D$32)^(4-1)</f>
        <v/>
      </c>
      <c r="I71" s="18">
        <f>$D$29*(1+$D$32)^(5-1)</f>
        <v/>
      </c>
      <c r="J71" s="18">
        <f>$D$29*(1+$D$32)^(6-1)</f>
        <v/>
      </c>
      <c r="K71" s="18">
        <f>$D$29*(1+$D$32)^(7-1)</f>
        <v/>
      </c>
      <c r="L71" s="18">
        <f>$D$29*(1+$D$32)^(8-1)</f>
        <v/>
      </c>
      <c r="M71" s="18">
        <f>$D$29*(1+$D$32)^(9-1)</f>
        <v/>
      </c>
      <c r="N71" s="18">
        <f>$D$29*(1+$D$32)^(10-1)</f>
        <v/>
      </c>
    </row>
    <row r="72">
      <c r="A72" s="5" t="inlineStr">
        <is>
          <t>Capacity Price</t>
        </is>
      </c>
      <c r="B72" s="6" t="inlineStr">
        <is>
          <t>$/kW-yr</t>
        </is>
      </c>
      <c r="C72" s="6" t="inlineStr">
        <is>
          <t>Escalated</t>
        </is>
      </c>
      <c r="E72" s="18">
        <f>$D$30*(1+$D$32)^(1-1)</f>
        <v/>
      </c>
      <c r="F72" s="18">
        <f>$D$30*(1+$D$32)^(2-1)</f>
        <v/>
      </c>
      <c r="G72" s="18">
        <f>$D$30*(1+$D$32)^(3-1)</f>
        <v/>
      </c>
      <c r="H72" s="18">
        <f>$D$30*(1+$D$32)^(4-1)</f>
        <v/>
      </c>
      <c r="I72" s="18">
        <f>$D$30*(1+$D$32)^(5-1)</f>
        <v/>
      </c>
      <c r="J72" s="18">
        <f>$D$30*(1+$D$32)^(6-1)</f>
        <v/>
      </c>
      <c r="K72" s="18">
        <f>$D$30*(1+$D$32)^(7-1)</f>
        <v/>
      </c>
      <c r="L72" s="18">
        <f>$D$30*(1+$D$32)^(8-1)</f>
        <v/>
      </c>
      <c r="M72" s="18">
        <f>$D$30*(1+$D$32)^(9-1)</f>
        <v/>
      </c>
      <c r="N72" s="18">
        <f>$D$30*(1+$D$32)^(10-1)</f>
        <v/>
      </c>
    </row>
    <row r="73">
      <c r="A73" s="5" t="inlineStr">
        <is>
          <t>Gas Price</t>
        </is>
      </c>
      <c r="B73" s="6" t="inlineStr">
        <is>
          <t>$/mmBtu</t>
        </is>
      </c>
      <c r="C73" s="6" t="inlineStr">
        <is>
          <t>Escalated</t>
        </is>
      </c>
      <c r="E73" s="19">
        <f>$D$31*(1+$D$32)^(1-1)</f>
        <v/>
      </c>
      <c r="F73" s="19">
        <f>$D$31*(1+$D$32)^(2-1)</f>
        <v/>
      </c>
      <c r="G73" s="19">
        <f>$D$31*(1+$D$32)^(3-1)</f>
        <v/>
      </c>
      <c r="H73" s="19">
        <f>$D$31*(1+$D$32)^(4-1)</f>
        <v/>
      </c>
      <c r="I73" s="19">
        <f>$D$31*(1+$D$32)^(5-1)</f>
        <v/>
      </c>
      <c r="J73" s="19">
        <f>$D$31*(1+$D$32)^(6-1)</f>
        <v/>
      </c>
      <c r="K73" s="19">
        <f>$D$31*(1+$D$32)^(7-1)</f>
        <v/>
      </c>
      <c r="L73" s="19">
        <f>$D$31*(1+$D$32)^(8-1)</f>
        <v/>
      </c>
      <c r="M73" s="19">
        <f>$D$31*(1+$D$32)^(9-1)</f>
        <v/>
      </c>
      <c r="N73" s="19">
        <f>$D$31*(1+$D$32)^(10-1)</f>
        <v/>
      </c>
    </row>
    <row r="75">
      <c r="A75" s="5" t="inlineStr">
        <is>
          <t>Energy Revenue</t>
        </is>
      </c>
      <c r="B75" s="6" t="inlineStr">
        <is>
          <t>$mm</t>
        </is>
      </c>
      <c r="C75" s="6" t="inlineStr">
        <is>
          <t>Generation × Power Price / 1M</t>
        </is>
      </c>
      <c r="E75" s="18">
        <f>$D$54*E61/1000000</f>
        <v/>
      </c>
      <c r="F75" s="18">
        <f>$D$54*F61/1000000</f>
        <v/>
      </c>
      <c r="G75" s="18">
        <f>$D$54*G61/1000000</f>
        <v/>
      </c>
      <c r="H75" s="18">
        <f>$D$54*H61/1000000</f>
        <v/>
      </c>
      <c r="I75" s="18">
        <f>$D$54*I61/1000000</f>
        <v/>
      </c>
      <c r="J75" s="18">
        <f>$D$54*J61/1000000</f>
        <v/>
      </c>
      <c r="K75" s="18">
        <f>$D$54*K61/1000000</f>
        <v/>
      </c>
      <c r="L75" s="18">
        <f>$D$54*L61/1000000</f>
        <v/>
      </c>
      <c r="M75" s="18">
        <f>$D$54*M61/1000000</f>
        <v/>
      </c>
      <c r="N75" s="18">
        <f>$D$54*N61/1000000</f>
        <v/>
      </c>
    </row>
    <row r="76">
      <c r="A76" s="5" t="inlineStr">
        <is>
          <t>Capacity Revenue</t>
        </is>
      </c>
      <c r="B76" s="6" t="inlineStr">
        <is>
          <t>$mm</t>
        </is>
      </c>
      <c r="C76" s="6" t="inlineStr">
        <is>
          <t>UCAP × Cap Price × 1000 / 1M</t>
        </is>
      </c>
      <c r="E76" s="18">
        <f>$D$53*E62*1000/1000000</f>
        <v/>
      </c>
      <c r="F76" s="18">
        <f>$D$53*F62*1000/1000000</f>
        <v/>
      </c>
      <c r="G76" s="18">
        <f>$D$53*G62*1000/1000000</f>
        <v/>
      </c>
      <c r="H76" s="18">
        <f>$D$53*H62*1000/1000000</f>
        <v/>
      </c>
      <c r="I76" s="18">
        <f>$D$53*I62*1000/1000000</f>
        <v/>
      </c>
      <c r="J76" s="18">
        <f>$D$53*J62*1000/1000000</f>
        <v/>
      </c>
      <c r="K76" s="18">
        <f>$D$53*K62*1000/1000000</f>
        <v/>
      </c>
      <c r="L76" s="18">
        <f>$D$53*L62*1000/1000000</f>
        <v/>
      </c>
      <c r="M76" s="18">
        <f>$D$53*M62*1000/1000000</f>
        <v/>
      </c>
      <c r="N76" s="18">
        <f>$D$53*N62*1000/1000000</f>
        <v/>
      </c>
    </row>
    <row r="77">
      <c r="A77" s="5" t="inlineStr">
        <is>
          <t>Total Revenue</t>
        </is>
      </c>
      <c r="B77" s="6" t="inlineStr">
        <is>
          <t>$mm</t>
        </is>
      </c>
      <c r="C77" s="6" t="inlineStr"/>
      <c r="E77" s="20">
        <f>E65+E66</f>
        <v/>
      </c>
      <c r="F77" s="20">
        <f>F65+F66</f>
        <v/>
      </c>
      <c r="G77" s="20">
        <f>G65+G66</f>
        <v/>
      </c>
      <c r="H77" s="20">
        <f>H65+H66</f>
        <v/>
      </c>
      <c r="I77" s="20">
        <f>I65+I66</f>
        <v/>
      </c>
      <c r="J77" s="20">
        <f>J65+J66</f>
        <v/>
      </c>
      <c r="K77" s="20">
        <f>K65+K66</f>
        <v/>
      </c>
      <c r="L77" s="20">
        <f>L65+L66</f>
        <v/>
      </c>
      <c r="M77" s="20">
        <f>M65+M66</f>
        <v/>
      </c>
      <c r="N77" s="20">
        <f>N65+N66</f>
        <v/>
      </c>
    </row>
    <row r="79">
      <c r="A79" s="5" t="inlineStr">
        <is>
          <t>Fuel Cost</t>
        </is>
      </c>
      <c r="B79" s="6" t="inlineStr">
        <is>
          <t>$mm</t>
        </is>
      </c>
      <c r="C79" s="6" t="inlineStr">
        <is>
          <t>Gen × HR × Gas / 1B</t>
        </is>
      </c>
      <c r="E79" s="18">
        <f>$D$54*$D$24*E63/1E9</f>
        <v/>
      </c>
      <c r="F79" s="18">
        <f>$D$54*$D$24*F63/1E9</f>
        <v/>
      </c>
      <c r="G79" s="18">
        <f>$D$54*$D$24*G63/1E9</f>
        <v/>
      </c>
      <c r="H79" s="18">
        <f>$D$54*$D$24*H63/1E9</f>
        <v/>
      </c>
      <c r="I79" s="18">
        <f>$D$54*$D$24*I63/1E9</f>
        <v/>
      </c>
      <c r="J79" s="18">
        <f>$D$54*$D$24*J63/1E9</f>
        <v/>
      </c>
      <c r="K79" s="18">
        <f>$D$54*$D$24*K63/1E9</f>
        <v/>
      </c>
      <c r="L79" s="18">
        <f>$D$54*$D$24*L63/1E9</f>
        <v/>
      </c>
      <c r="M79" s="18">
        <f>$D$54*$D$24*M63/1E9</f>
        <v/>
      </c>
      <c r="N79" s="18">
        <f>$D$54*$D$24*N63/1E9</f>
        <v/>
      </c>
    </row>
    <row r="80">
      <c r="A80" s="5" t="inlineStr">
        <is>
          <t>VOM</t>
        </is>
      </c>
      <c r="B80" s="6" t="inlineStr">
        <is>
          <t>$mm</t>
        </is>
      </c>
      <c r="C80" s="6" t="inlineStr">
        <is>
          <t>Generation × VOM rate / 1M</t>
        </is>
      </c>
      <c r="E80" s="18">
        <f>$D$54*$D$35/1000000</f>
        <v/>
      </c>
      <c r="F80" s="18">
        <f>$D$54*$D$35/1000000</f>
        <v/>
      </c>
      <c r="G80" s="18">
        <f>$D$54*$D$35/1000000</f>
        <v/>
      </c>
      <c r="H80" s="18">
        <f>$D$54*$D$35/1000000</f>
        <v/>
      </c>
      <c r="I80" s="18">
        <f>$D$54*$D$35/1000000</f>
        <v/>
      </c>
      <c r="J80" s="18">
        <f>$D$54*$D$35/1000000</f>
        <v/>
      </c>
      <c r="K80" s="18">
        <f>$D$54*$D$35/1000000</f>
        <v/>
      </c>
      <c r="L80" s="18">
        <f>$D$54*$D$35/1000000</f>
        <v/>
      </c>
      <c r="M80" s="18">
        <f>$D$54*$D$35/1000000</f>
        <v/>
      </c>
      <c r="N80" s="18">
        <f>$D$54*$D$35/1000000</f>
        <v/>
      </c>
    </row>
    <row r="81">
      <c r="A81" s="5" t="inlineStr">
        <is>
          <t>FOM</t>
        </is>
      </c>
      <c r="B81" s="6" t="inlineStr">
        <is>
          <t>$mm</t>
        </is>
      </c>
      <c r="C81" s="6" t="inlineStr">
        <is>
          <t>Capacity × FOM × esc × 1000 / 1M</t>
        </is>
      </c>
      <c r="E81" s="18">
        <f>$D$23*$D$36*(1+$D$32)^(1-1)*1000/1000000</f>
        <v/>
      </c>
      <c r="F81" s="18">
        <f>$D$23*$D$36*(1+$D$32)^(2-1)*1000/1000000</f>
        <v/>
      </c>
      <c r="G81" s="18">
        <f>$D$23*$D$36*(1+$D$32)^(3-1)*1000/1000000</f>
        <v/>
      </c>
      <c r="H81" s="18">
        <f>$D$23*$D$36*(1+$D$32)^(4-1)*1000/1000000</f>
        <v/>
      </c>
      <c r="I81" s="18">
        <f>$D$23*$D$36*(1+$D$32)^(5-1)*1000/1000000</f>
        <v/>
      </c>
      <c r="J81" s="18">
        <f>$D$23*$D$36*(1+$D$32)^(6-1)*1000/1000000</f>
        <v/>
      </c>
      <c r="K81" s="18">
        <f>$D$23*$D$36*(1+$D$32)^(7-1)*1000/1000000</f>
        <v/>
      </c>
      <c r="L81" s="18">
        <f>$D$23*$D$36*(1+$D$32)^(8-1)*1000/1000000</f>
        <v/>
      </c>
      <c r="M81" s="18">
        <f>$D$23*$D$36*(1+$D$32)^(9-1)*1000/1000000</f>
        <v/>
      </c>
      <c r="N81" s="18">
        <f>$D$23*$D$36*(1+$D$32)^(10-1)*1000/1000000</f>
        <v/>
      </c>
    </row>
    <row r="82">
      <c r="A82" s="5" t="inlineStr">
        <is>
          <t>Total Operating Costs</t>
        </is>
      </c>
      <c r="B82" s="6" t="inlineStr">
        <is>
          <t>$mm</t>
        </is>
      </c>
      <c r="C82" s="6" t="inlineStr"/>
      <c r="E82" s="18">
        <f>E69+E70+E71</f>
        <v/>
      </c>
      <c r="F82" s="18">
        <f>F69+F70+F71</f>
        <v/>
      </c>
      <c r="G82" s="18">
        <f>G69+G70+G71</f>
        <v/>
      </c>
      <c r="H82" s="18">
        <f>H69+H70+H71</f>
        <v/>
      </c>
      <c r="I82" s="18">
        <f>I69+I70+I71</f>
        <v/>
      </c>
      <c r="J82" s="18">
        <f>J69+J70+J71</f>
        <v/>
      </c>
      <c r="K82" s="18">
        <f>K69+K70+K71</f>
        <v/>
      </c>
      <c r="L82" s="18">
        <f>L69+L70+L71</f>
        <v/>
      </c>
      <c r="M82" s="18">
        <f>M69+M70+M71</f>
        <v/>
      </c>
      <c r="N82" s="18">
        <f>N69+N70+N71</f>
        <v/>
      </c>
    </row>
    <row r="84">
      <c r="A84" s="5" t="inlineStr">
        <is>
          <t>EBITDA</t>
        </is>
      </c>
      <c r="B84" s="6" t="inlineStr">
        <is>
          <t>$mm</t>
        </is>
      </c>
      <c r="C84" s="6" t="inlineStr"/>
      <c r="E84" s="7">
        <f>E67-E72</f>
        <v/>
      </c>
      <c r="F84" s="7">
        <f>F67-F72</f>
        <v/>
      </c>
      <c r="G84" s="7">
        <f>G67-G72</f>
        <v/>
      </c>
      <c r="H84" s="7">
        <f>H67-H72</f>
        <v/>
      </c>
      <c r="I84" s="7">
        <f>I67-I72</f>
        <v/>
      </c>
      <c r="J84" s="7">
        <f>J67-J72</f>
        <v/>
      </c>
      <c r="K84" s="7">
        <f>K67-K72</f>
        <v/>
      </c>
      <c r="L84" s="7">
        <f>L67-L72</f>
        <v/>
      </c>
      <c r="M84" s="7">
        <f>M67-M72</f>
        <v/>
      </c>
      <c r="N84" s="7">
        <f>N67-N72</f>
        <v/>
      </c>
    </row>
    <row r="87">
      <c r="A87" s="3" t="inlineStr">
        <is>
          <t>CASH FLOW</t>
        </is>
      </c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</row>
    <row r="88">
      <c r="A88" s="5" t="inlineStr">
        <is>
          <t>EBIT</t>
        </is>
      </c>
      <c r="B88" s="6" t="inlineStr">
        <is>
          <t>$mm</t>
        </is>
      </c>
      <c r="C88" s="6" t="inlineStr">
        <is>
          <t>EBITDA - Depreciation</t>
        </is>
      </c>
      <c r="E88" s="18">
        <f>E74-$D$56</f>
        <v/>
      </c>
      <c r="F88" s="18">
        <f>F74-$D$56</f>
        <v/>
      </c>
      <c r="G88" s="18">
        <f>G74-$D$56</f>
        <v/>
      </c>
      <c r="H88" s="18">
        <f>H74-$D$56</f>
        <v/>
      </c>
      <c r="I88" s="18">
        <f>I74-$D$56</f>
        <v/>
      </c>
      <c r="J88" s="18">
        <f>J74-$D$56</f>
        <v/>
      </c>
      <c r="K88" s="18">
        <f>K74-$D$56</f>
        <v/>
      </c>
      <c r="L88" s="18">
        <f>L74-$D$56</f>
        <v/>
      </c>
      <c r="M88" s="18">
        <f>M74-$D$56</f>
        <v/>
      </c>
      <c r="N88" s="18">
        <f>N74-$D$56</f>
        <v/>
      </c>
    </row>
    <row r="89">
      <c r="A89" s="5" t="inlineStr">
        <is>
          <t>Taxes</t>
        </is>
      </c>
      <c r="B89" s="6" t="inlineStr">
        <is>
          <t>$mm</t>
        </is>
      </c>
      <c r="C89" s="6" t="inlineStr">
        <is>
          <t>MAX(0, EBIT) × Tax Rate</t>
        </is>
      </c>
      <c r="E89" s="18">
        <f>MAX(0,E78)*$D$47</f>
        <v/>
      </c>
      <c r="F89" s="18">
        <f>MAX(0,F78)*$D$47</f>
        <v/>
      </c>
      <c r="G89" s="18">
        <f>MAX(0,G78)*$D$47</f>
        <v/>
      </c>
      <c r="H89" s="18">
        <f>MAX(0,H78)*$D$47</f>
        <v/>
      </c>
      <c r="I89" s="18">
        <f>MAX(0,I78)*$D$47</f>
        <v/>
      </c>
      <c r="J89" s="18">
        <f>MAX(0,J78)*$D$47</f>
        <v/>
      </c>
      <c r="K89" s="18">
        <f>MAX(0,K78)*$D$47</f>
        <v/>
      </c>
      <c r="L89" s="18">
        <f>MAX(0,L78)*$D$47</f>
        <v/>
      </c>
      <c r="M89" s="18">
        <f>MAX(0,M78)*$D$47</f>
        <v/>
      </c>
      <c r="N89" s="18">
        <f>MAX(0,N78)*$D$47</f>
        <v/>
      </c>
    </row>
    <row r="90">
      <c r="A90" s="5" t="inlineStr">
        <is>
          <t>CFADS</t>
        </is>
      </c>
      <c r="B90" s="6" t="inlineStr">
        <is>
          <t>$mm</t>
        </is>
      </c>
      <c r="C90" s="6" t="inlineStr">
        <is>
          <t>EBITDA - Taxes</t>
        </is>
      </c>
      <c r="E90" s="7">
        <f>E74-E79</f>
        <v/>
      </c>
      <c r="F90" s="7">
        <f>F74-F79</f>
        <v/>
      </c>
      <c r="G90" s="7">
        <f>G74-G79</f>
        <v/>
      </c>
      <c r="H90" s="7">
        <f>H74-H79</f>
        <v/>
      </c>
      <c r="I90" s="7">
        <f>I74-I79</f>
        <v/>
      </c>
      <c r="J90" s="7">
        <f>J74-J79</f>
        <v/>
      </c>
      <c r="K90" s="7">
        <f>K74-K79</f>
        <v/>
      </c>
      <c r="L90" s="7">
        <f>L74-L79</f>
        <v/>
      </c>
      <c r="M90" s="7">
        <f>M74-M79</f>
        <v/>
      </c>
      <c r="N90" s="7">
        <f>N74-N79</f>
        <v/>
      </c>
    </row>
    <row r="93">
      <c r="A93" s="3" t="inlineStr">
        <is>
          <t>DEBT SCHEDULE (75% Cash Sweep)</t>
        </is>
      </c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</row>
    <row r="94">
      <c r="A94" s="5" t="inlineStr">
        <is>
          <t>Beginning Balance</t>
        </is>
      </c>
      <c r="B94" s="6" t="inlineStr">
        <is>
          <t>$mm</t>
        </is>
      </c>
      <c r="C94" s="6" t="inlineStr"/>
      <c r="E94" s="18">
        <f>$D$55</f>
        <v/>
      </c>
      <c r="F94" s="18">
        <f>E91</f>
        <v/>
      </c>
      <c r="G94" s="18">
        <f>F91</f>
        <v/>
      </c>
      <c r="H94" s="18">
        <f>G91</f>
        <v/>
      </c>
      <c r="I94" s="18">
        <f>H91</f>
        <v/>
      </c>
      <c r="J94" s="18">
        <f>I91</f>
        <v/>
      </c>
      <c r="K94" s="18">
        <f>J91</f>
        <v/>
      </c>
      <c r="L94" s="18">
        <f>K91</f>
        <v/>
      </c>
      <c r="M94" s="18">
        <f>L91</f>
        <v/>
      </c>
      <c r="N94" s="18">
        <f>M91</f>
        <v/>
      </c>
    </row>
    <row r="95">
      <c r="A95" s="5" t="inlineStr">
        <is>
          <t>Interest</t>
        </is>
      </c>
      <c r="B95" s="6" t="inlineStr">
        <is>
          <t>$mm</t>
        </is>
      </c>
      <c r="C95" s="6" t="inlineStr">
        <is>
          <t>Beg Bal × Int Rate</t>
        </is>
      </c>
      <c r="E95" s="18">
        <f>E84*$D$40</f>
        <v/>
      </c>
      <c r="F95" s="18">
        <f>F84*$D$40</f>
        <v/>
      </c>
      <c r="G95" s="18">
        <f>G84*$D$40</f>
        <v/>
      </c>
      <c r="H95" s="18">
        <f>H84*$D$40</f>
        <v/>
      </c>
      <c r="I95" s="18">
        <f>I84*$D$40</f>
        <v/>
      </c>
      <c r="J95" s="18">
        <f>J84*$D$40</f>
        <v/>
      </c>
      <c r="K95" s="18">
        <f>K84*$D$40</f>
        <v/>
      </c>
      <c r="L95" s="18">
        <f>L84*$D$40</f>
        <v/>
      </c>
      <c r="M95" s="18">
        <f>M84*$D$40</f>
        <v/>
      </c>
      <c r="N95" s="18">
        <f>N84*$D$40</f>
        <v/>
      </c>
    </row>
    <row r="96">
      <c r="A96" s="5" t="inlineStr">
        <is>
          <t>Scheduled Principal</t>
        </is>
      </c>
      <c r="B96" s="6" t="inlineStr">
        <is>
          <t>$mm</t>
        </is>
      </c>
      <c r="C96" s="6" t="inlineStr">
        <is>
          <t>MIN(Sched, Beg Bal)</t>
        </is>
      </c>
      <c r="E96" s="18">
        <f>MIN($D$57,E84)</f>
        <v/>
      </c>
      <c r="F96" s="18">
        <f>MIN($D$57,F84)</f>
        <v/>
      </c>
      <c r="G96" s="18">
        <f>MIN($D$57,G84)</f>
        <v/>
      </c>
      <c r="H96" s="18">
        <f>MIN($D$57,H84)</f>
        <v/>
      </c>
      <c r="I96" s="18">
        <f>MIN($D$57,I84)</f>
        <v/>
      </c>
      <c r="J96" s="18">
        <f>MIN($D$57,J84)</f>
        <v/>
      </c>
      <c r="K96" s="18">
        <f>MIN($D$57,K84)</f>
        <v/>
      </c>
      <c r="L96" s="18">
        <f>MIN($D$57,L84)</f>
        <v/>
      </c>
      <c r="M96" s="18">
        <f>MIN($D$57,M84)</f>
        <v/>
      </c>
      <c r="N96" s="18">
        <f>MIN($D$57,N84)</f>
        <v/>
      </c>
    </row>
    <row r="97">
      <c r="A97" s="5" t="inlineStr">
        <is>
          <t>Debt Service (Pre-Sweep)</t>
        </is>
      </c>
      <c r="B97" s="6" t="inlineStr">
        <is>
          <t>$mm</t>
        </is>
      </c>
      <c r="C97" s="6" t="inlineStr">
        <is>
          <t>Interest + Sched Prin</t>
        </is>
      </c>
      <c r="E97" s="18">
        <f>E85+E86</f>
        <v/>
      </c>
      <c r="F97" s="18">
        <f>F85+F86</f>
        <v/>
      </c>
      <c r="G97" s="18">
        <f>G85+G86</f>
        <v/>
      </c>
      <c r="H97" s="18">
        <f>H85+H86</f>
        <v/>
      </c>
      <c r="I97" s="18">
        <f>I85+I86</f>
        <v/>
      </c>
      <c r="J97" s="18">
        <f>J85+J86</f>
        <v/>
      </c>
      <c r="K97" s="18">
        <f>K85+K86</f>
        <v/>
      </c>
      <c r="L97" s="18">
        <f>L85+L86</f>
        <v/>
      </c>
      <c r="M97" s="18">
        <f>M85+M86</f>
        <v/>
      </c>
      <c r="N97" s="18">
        <f>N85+N86</f>
        <v/>
      </c>
    </row>
    <row r="98">
      <c r="A98" s="5" t="inlineStr">
        <is>
          <t>Excess Cash</t>
        </is>
      </c>
      <c r="B98" s="6" t="inlineStr">
        <is>
          <t>$mm</t>
        </is>
      </c>
      <c r="C98" s="6" t="inlineStr">
        <is>
          <t>CFADS - DS - DSRA Funding</t>
        </is>
      </c>
      <c r="E98" s="18">
        <f>MAX(0,E80-E87-E98)</f>
        <v/>
      </c>
      <c r="F98" s="18">
        <f>MAX(0,F80-F87-F98)</f>
        <v/>
      </c>
      <c r="G98" s="18">
        <f>MAX(0,G80-G87-G98)</f>
        <v/>
      </c>
      <c r="H98" s="18">
        <f>MAX(0,H80-H87-H98)</f>
        <v/>
      </c>
      <c r="I98" s="18">
        <f>MAX(0,I80-I87-I98)</f>
        <v/>
      </c>
      <c r="J98" s="18">
        <f>MAX(0,J80-J87-J98)</f>
        <v/>
      </c>
      <c r="K98" s="18">
        <f>MAX(0,K80-K87-K98)</f>
        <v/>
      </c>
      <c r="L98" s="18">
        <f>MAX(0,L80-L87-L98)</f>
        <v/>
      </c>
      <c r="M98" s="18">
        <f>MAX(0,M80-M87-M98)</f>
        <v/>
      </c>
      <c r="N98" s="18">
        <f>MAX(0,N80-N87-N98)</f>
        <v/>
      </c>
    </row>
    <row r="99">
      <c r="A99" s="5" t="inlineStr">
        <is>
          <t>Cash Sweep</t>
        </is>
      </c>
      <c r="B99" s="6" t="inlineStr">
        <is>
          <t>$mm</t>
        </is>
      </c>
      <c r="C99" s="6" t="inlineStr">
        <is>
          <t>MIN(Excess×Sweep%, Beg-Sched)</t>
        </is>
      </c>
      <c r="E99" s="21">
        <f>MIN(MAX(0,E88)*$D$43,MAX(0,E84-E86))</f>
        <v/>
      </c>
      <c r="F99" s="21">
        <f>MIN(MAX(0,F88)*$D$43,MAX(0,F84-F86))</f>
        <v/>
      </c>
      <c r="G99" s="21">
        <f>MIN(MAX(0,G88)*$D$43,MAX(0,G84-G86))</f>
        <v/>
      </c>
      <c r="H99" s="21">
        <f>MIN(MAX(0,H88)*$D$43,MAX(0,H84-H86))</f>
        <v/>
      </c>
      <c r="I99" s="21">
        <f>MIN(MAX(0,I88)*$D$43,MAX(0,I84-I86))</f>
        <v/>
      </c>
      <c r="J99" s="21">
        <f>MIN(MAX(0,J88)*$D$43,MAX(0,J84-J86))</f>
        <v/>
      </c>
      <c r="K99" s="21">
        <f>MIN(MAX(0,K88)*$D$43,MAX(0,K84-K86))</f>
        <v/>
      </c>
      <c r="L99" s="21">
        <f>MIN(MAX(0,L88)*$D$43,MAX(0,L84-L86))</f>
        <v/>
      </c>
      <c r="M99" s="21">
        <f>MIN(MAX(0,M88)*$D$43,MAX(0,M84-M86))</f>
        <v/>
      </c>
      <c r="N99" s="21">
        <f>MIN(MAX(0,N88)*$D$43,MAX(0,N84-N86))</f>
        <v/>
      </c>
    </row>
    <row r="100">
      <c r="A100" s="5" t="inlineStr">
        <is>
          <t>Total Principal</t>
        </is>
      </c>
      <c r="B100" s="6" t="inlineStr">
        <is>
          <t>$mm</t>
        </is>
      </c>
      <c r="C100" s="6" t="inlineStr">
        <is>
          <t>Scheduled + Sweep</t>
        </is>
      </c>
      <c r="E100" s="18">
        <f>E86+E89</f>
        <v/>
      </c>
      <c r="F100" s="18">
        <f>F86+F89</f>
        <v/>
      </c>
      <c r="G100" s="18">
        <f>G86+G89</f>
        <v/>
      </c>
      <c r="H100" s="18">
        <f>H86+H89</f>
        <v/>
      </c>
      <c r="I100" s="18">
        <f>I86+I89</f>
        <v/>
      </c>
      <c r="J100" s="18">
        <f>J86+J89</f>
        <v/>
      </c>
      <c r="K100" s="18">
        <f>K86+K89</f>
        <v/>
      </c>
      <c r="L100" s="18">
        <f>L86+L89</f>
        <v/>
      </c>
      <c r="M100" s="18">
        <f>M86+M89</f>
        <v/>
      </c>
      <c r="N100" s="18">
        <f>N86+N89</f>
        <v/>
      </c>
    </row>
    <row r="101">
      <c r="A101" s="5" t="inlineStr">
        <is>
          <t>Ending Balance</t>
        </is>
      </c>
      <c r="B101" s="6" t="inlineStr">
        <is>
          <t>$mm</t>
        </is>
      </c>
      <c r="C101" s="6" t="inlineStr">
        <is>
          <t>MAX(0, Beg - Total Prin)</t>
        </is>
      </c>
      <c r="E101" s="18">
        <f>MAX(0,E84-E90)</f>
        <v/>
      </c>
      <c r="F101" s="18">
        <f>MAX(0,F84-F90)</f>
        <v/>
      </c>
      <c r="G101" s="18">
        <f>MAX(0,G84-G90)</f>
        <v/>
      </c>
      <c r="H101" s="18">
        <f>MAX(0,H84-H90)</f>
        <v/>
      </c>
      <c r="I101" s="18">
        <f>MAX(0,I84-I90)</f>
        <v/>
      </c>
      <c r="J101" s="18">
        <f>MAX(0,J84-J90)</f>
        <v/>
      </c>
      <c r="K101" s="18">
        <f>MAX(0,K84-K90)</f>
        <v/>
      </c>
      <c r="L101" s="18">
        <f>MAX(0,L84-L90)</f>
        <v/>
      </c>
      <c r="M101" s="18">
        <f>MAX(0,M84-M90)</f>
        <v/>
      </c>
      <c r="N101" s="18">
        <f>MAX(0,N84-N90)</f>
        <v/>
      </c>
    </row>
    <row r="102">
      <c r="A102" s="5" t="inlineStr">
        <is>
          <t>DSCR</t>
        </is>
      </c>
      <c r="B102" s="6" t="inlineStr">
        <is>
          <t>x</t>
        </is>
      </c>
      <c r="C102" s="6" t="inlineStr">
        <is>
          <t>CFADS / Debt Service</t>
        </is>
      </c>
      <c r="E102" s="30">
        <f>IF(E87&gt;0,E80/E87,0)</f>
        <v/>
      </c>
      <c r="F102" s="30">
        <f>IF(F87&gt;0,F80/F87,0)</f>
        <v/>
      </c>
      <c r="G102" s="30">
        <f>IF(G87&gt;0,G80/G87,0)</f>
        <v/>
      </c>
      <c r="H102" s="30">
        <f>IF(H87&gt;0,H80/H87,0)</f>
        <v/>
      </c>
      <c r="I102" s="30">
        <f>IF(I87&gt;0,I80/I87,0)</f>
        <v/>
      </c>
      <c r="J102" s="30">
        <f>IF(J87&gt;0,J80/J87,0)</f>
        <v/>
      </c>
      <c r="K102" s="30">
        <f>IF(K87&gt;0,K80/K87,0)</f>
        <v/>
      </c>
      <c r="L102" s="30">
        <f>IF(L87&gt;0,L80/L87,0)</f>
        <v/>
      </c>
      <c r="M102" s="30">
        <f>IF(M87&gt;0,M80/M87,0)</f>
        <v/>
      </c>
      <c r="N102" s="30">
        <f>IF(N87&gt;0,N80/N87,0)</f>
        <v/>
      </c>
    </row>
    <row r="103">
      <c r="A103" s="5" t="inlineStr">
        <is>
          <t>Scheduled DS (for DSRA)</t>
        </is>
      </c>
      <c r="B103" s="6" t="inlineStr">
        <is>
          <t>$mm</t>
        </is>
      </c>
      <c r="C103" s="6" t="inlineStr">
        <is>
          <t>Based on straight-line amort, no sweep</t>
        </is>
      </c>
      <c r="E103" s="18">
        <f>MAX(0,$D$55-(1-1)*$D$57)*$D$40+$D$57</f>
        <v/>
      </c>
      <c r="F103" s="18">
        <f>MAX(0,$D$55-(2-1)*$D$57)*$D$40+$D$57</f>
        <v/>
      </c>
      <c r="G103" s="18">
        <f>MAX(0,$D$55-(3-1)*$D$57)*$D$40+$D$57</f>
        <v/>
      </c>
      <c r="H103" s="18">
        <f>MAX(0,$D$55-(4-1)*$D$57)*$D$40+$D$57</f>
        <v/>
      </c>
      <c r="I103" s="18">
        <f>MAX(0,$D$55-(5-1)*$D$57)*$D$40+$D$57</f>
        <v/>
      </c>
      <c r="J103" s="18">
        <f>MAX(0,$D$55-(6-1)*$D$57)*$D$40+$D$57</f>
        <v/>
      </c>
      <c r="K103" s="18">
        <f>MAX(0,$D$55-(7-1)*$D$57)*$D$40+$D$57</f>
        <v/>
      </c>
      <c r="L103" s="18">
        <f>MAX(0,$D$55-(8-1)*$D$57)*$D$40+$D$57</f>
        <v/>
      </c>
      <c r="M103" s="18">
        <f>MAX(0,$D$55-(9-1)*$D$57)*$D$40+$D$57</f>
        <v/>
      </c>
      <c r="N103" s="18">
        <f>MAX(0,$D$55-(10-1)*$D$57)*$D$40+$D$57</f>
        <v/>
      </c>
    </row>
    <row r="105">
      <c r="A105" s="3" t="inlineStr">
        <is>
          <t>DSRA (Debt Service Reserve Account)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5" t="inlineStr">
        <is>
          <t>DSRA Target</t>
        </is>
      </c>
      <c r="B106" s="6" t="inlineStr">
        <is>
          <t>$mm</t>
        </is>
      </c>
      <c r="C106" s="6" t="inlineStr">
        <is>
          <t>Next Yr Scheduled DS × DSRA Months / 12</t>
        </is>
      </c>
      <c r="D106" s="18">
        <f>E93*$D$42/12</f>
        <v/>
      </c>
      <c r="E106" s="18">
        <f>F93*$D$42/12</f>
        <v/>
      </c>
      <c r="F106" s="18">
        <f>G93*$D$42/12</f>
        <v/>
      </c>
      <c r="G106" s="18">
        <f>H93*$D$42/12</f>
        <v/>
      </c>
      <c r="H106" s="18">
        <f>I93*$D$42/12</f>
        <v/>
      </c>
      <c r="I106" s="18">
        <f>J93*$D$42/12</f>
        <v/>
      </c>
      <c r="J106" s="18">
        <f>K93*$D$42/12</f>
        <v/>
      </c>
      <c r="K106" s="18">
        <f>L93*$D$42/12</f>
        <v/>
      </c>
      <c r="L106" s="18">
        <f>M93*$D$42/12</f>
        <v/>
      </c>
      <c r="M106" s="18">
        <f>N93*$D$42/12</f>
        <v/>
      </c>
      <c r="N106" s="18">
        <f>0</f>
        <v/>
      </c>
    </row>
    <row r="107">
      <c r="A107" s="5" t="inlineStr">
        <is>
          <t>DSRA Beginning</t>
        </is>
      </c>
      <c r="B107" s="6" t="inlineStr">
        <is>
          <t>$mm</t>
        </is>
      </c>
      <c r="C107" s="6" t="inlineStr"/>
      <c r="D107" s="18">
        <f>0</f>
        <v/>
      </c>
      <c r="E107" s="18">
        <f>D99</f>
        <v/>
      </c>
      <c r="F107" s="18">
        <f>E99</f>
        <v/>
      </c>
      <c r="G107" s="18">
        <f>F99</f>
        <v/>
      </c>
      <c r="H107" s="18">
        <f>G99</f>
        <v/>
      </c>
      <c r="I107" s="18">
        <f>H99</f>
        <v/>
      </c>
      <c r="J107" s="18">
        <f>I99</f>
        <v/>
      </c>
      <c r="K107" s="18">
        <f>J99</f>
        <v/>
      </c>
      <c r="L107" s="18">
        <f>K99</f>
        <v/>
      </c>
      <c r="M107" s="18">
        <f>L99</f>
        <v/>
      </c>
      <c r="N107" s="18">
        <f>M99</f>
        <v/>
      </c>
    </row>
    <row r="108">
      <c r="A108" s="5" t="inlineStr">
        <is>
          <t>DSRA Funding/(Release)</t>
        </is>
      </c>
      <c r="B108" s="6" t="inlineStr">
        <is>
          <t>$mm</t>
        </is>
      </c>
      <c r="C108" s="6" t="inlineStr">
        <is>
          <t>Target - Beginning</t>
        </is>
      </c>
      <c r="D108" s="18">
        <f>D96-D97</f>
        <v/>
      </c>
      <c r="E108" s="18">
        <f>E96-E97</f>
        <v/>
      </c>
      <c r="F108" s="18">
        <f>F96-F97</f>
        <v/>
      </c>
      <c r="G108" s="18">
        <f>G96-G97</f>
        <v/>
      </c>
      <c r="H108" s="18">
        <f>H96-H97</f>
        <v/>
      </c>
      <c r="I108" s="18">
        <f>I96-I97</f>
        <v/>
      </c>
      <c r="J108" s="18">
        <f>J96-J97</f>
        <v/>
      </c>
      <c r="K108" s="18">
        <f>K96-K97</f>
        <v/>
      </c>
      <c r="L108" s="18">
        <f>L96-L97</f>
        <v/>
      </c>
      <c r="M108" s="18">
        <f>M96-M97</f>
        <v/>
      </c>
      <c r="N108" s="18">
        <f>N96-N97</f>
        <v/>
      </c>
    </row>
    <row r="109">
      <c r="A109" s="5" t="inlineStr">
        <is>
          <t>DSRA Ending</t>
        </is>
      </c>
      <c r="B109" s="6" t="inlineStr">
        <is>
          <t>$mm</t>
        </is>
      </c>
      <c r="C109" s="6" t="inlineStr">
        <is>
          <t>Beginning + Funding</t>
        </is>
      </c>
      <c r="D109" s="18">
        <f>D97+D98</f>
        <v/>
      </c>
      <c r="E109" s="18">
        <f>E97+E98</f>
        <v/>
      </c>
      <c r="F109" s="18">
        <f>F97+F98</f>
        <v/>
      </c>
      <c r="G109" s="18">
        <f>G97+G98</f>
        <v/>
      </c>
      <c r="H109" s="18">
        <f>H97+H98</f>
        <v/>
      </c>
      <c r="I109" s="18">
        <f>I97+I98</f>
        <v/>
      </c>
      <c r="J109" s="18">
        <f>J97+J98</f>
        <v/>
      </c>
      <c r="K109" s="18">
        <f>K97+K98</f>
        <v/>
      </c>
      <c r="L109" s="18">
        <f>L97+L98</f>
        <v/>
      </c>
      <c r="M109" s="18">
        <f>M97+M98</f>
        <v/>
      </c>
      <c r="N109" s="18">
        <f>N97+N98</f>
        <v/>
      </c>
    </row>
    <row r="112">
      <c r="A112" s="3" t="inlineStr">
        <is>
          <t>DISTRIBUTION WATERFALL</t>
        </is>
      </c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</row>
    <row r="113">
      <c r="A113" s="5" t="inlineStr">
        <is>
          <t>Cash Available for Distribution</t>
        </is>
      </c>
      <c r="B113" s="6" t="inlineStr">
        <is>
          <t>$mm</t>
        </is>
      </c>
      <c r="C113" s="6" t="inlineStr">
        <is>
          <t>CFADS - Total DS - DSRA Fund</t>
        </is>
      </c>
      <c r="E113" s="18">
        <f>E80-(E85+E90)-E98</f>
        <v/>
      </c>
      <c r="F113" s="18">
        <f>F80-(F85+F90)-F98</f>
        <v/>
      </c>
      <c r="G113" s="18">
        <f>G80-(G85+G90)-G98</f>
        <v/>
      </c>
      <c r="H113" s="18">
        <f>H80-(H85+H90)-H98</f>
        <v/>
      </c>
      <c r="I113" s="18">
        <f>I80-(I85+I90)-I98</f>
        <v/>
      </c>
      <c r="J113" s="18">
        <f>J80-(J85+J90)-J98</f>
        <v/>
      </c>
      <c r="K113" s="18">
        <f>K80-(K85+K90)-K98</f>
        <v/>
      </c>
      <c r="L113" s="18">
        <f>L80-(L85+L90)-L98</f>
        <v/>
      </c>
      <c r="M113" s="18">
        <f>M80-(M85+M90)-M98</f>
        <v/>
      </c>
      <c r="N113" s="18">
        <f>N80-(N85+N90)-N98</f>
        <v/>
      </c>
    </row>
    <row r="114">
      <c r="A114" s="5" t="inlineStr">
        <is>
          <t>Lock-up Test</t>
        </is>
      </c>
      <c r="B114" s="6" t="inlineStr"/>
      <c r="C114" s="6" t="inlineStr">
        <is>
          <t>PASS if DSCR ≥ Lock-up</t>
        </is>
      </c>
      <c r="E114" s="22">
        <f>IF(E92&gt;=$D$44,"PASS","LOCKED")</f>
        <v/>
      </c>
      <c r="F114" s="22">
        <f>IF(F92&gt;=$D$44,"PASS","LOCKED")</f>
        <v/>
      </c>
      <c r="G114" s="22">
        <f>IF(G92&gt;=$D$44,"PASS","LOCKED")</f>
        <v/>
      </c>
      <c r="H114" s="22">
        <f>IF(H92&gt;=$D$44,"PASS","LOCKED")</f>
        <v/>
      </c>
      <c r="I114" s="22">
        <f>IF(I92&gt;=$D$44,"PASS","LOCKED")</f>
        <v/>
      </c>
      <c r="J114" s="22">
        <f>IF(J92&gt;=$D$44,"PASS","LOCKED")</f>
        <v/>
      </c>
      <c r="K114" s="22">
        <f>IF(K92&gt;=$D$44,"PASS","LOCKED")</f>
        <v/>
      </c>
      <c r="L114" s="22">
        <f>IF(L92&gt;=$D$44,"PASS","LOCKED")</f>
        <v/>
      </c>
      <c r="M114" s="22">
        <f>IF(M92&gt;=$D$44,"PASS","LOCKED")</f>
        <v/>
      </c>
      <c r="N114" s="22">
        <f>IF(N92&gt;=$D$44,"PASS","LOCKED")</f>
        <v/>
      </c>
    </row>
    <row r="115">
      <c r="A115" s="5" t="inlineStr">
        <is>
          <t>Distributable Cash</t>
        </is>
      </c>
      <c r="B115" s="6" t="inlineStr">
        <is>
          <t>$mm</t>
        </is>
      </c>
      <c r="C115" s="6" t="inlineStr">
        <is>
          <t>If PASS, MAX(0, Cash Avail)</t>
        </is>
      </c>
      <c r="E115" s="7">
        <f>IF(E104="PASS",MAX(0,E103),0)</f>
        <v/>
      </c>
      <c r="F115" s="7">
        <f>IF(F104="PASS",MAX(0,F103),0)</f>
        <v/>
      </c>
      <c r="G115" s="7">
        <f>IF(G104="PASS",MAX(0,G103),0)</f>
        <v/>
      </c>
      <c r="H115" s="7">
        <f>IF(H104="PASS",MAX(0,H103),0)</f>
        <v/>
      </c>
      <c r="I115" s="7">
        <f>IF(I104="PASS",MAX(0,I103),0)</f>
        <v/>
      </c>
      <c r="J115" s="7">
        <f>IF(J104="PASS",MAX(0,J103),0)</f>
        <v/>
      </c>
      <c r="K115" s="7">
        <f>IF(K104="PASS",MAX(0,K103),0)</f>
        <v/>
      </c>
      <c r="L115" s="7">
        <f>IF(L104="PASS",MAX(0,L103),0)</f>
        <v/>
      </c>
      <c r="M115" s="7">
        <f>IF(M104="PASS",MAX(0,M103),0)</f>
        <v/>
      </c>
      <c r="N115" s="7">
        <f>IF(N104="PASS",MAX(0,N103),0)</f>
        <v/>
      </c>
    </row>
    <row r="118">
      <c r="A118" s="3" t="inlineStr">
        <is>
          <t>SOURCES &amp; USES (Year 0)</t>
        </is>
      </c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</row>
    <row r="119">
      <c r="A119" s="23" t="inlineStr">
        <is>
          <t>USES</t>
        </is>
      </c>
      <c r="B119" s="6" t="inlineStr"/>
      <c r="C119" s="6" t="inlineStr"/>
    </row>
    <row r="120">
      <c r="A120" s="38" t="inlineStr">
        <is>
          <t>─────────── PROJECT FINANCE COVERAGE ───────────</t>
        </is>
      </c>
    </row>
    <row r="121">
      <c r="A121" t="inlineStr">
        <is>
          <t>LLCR (Loan Life Coverage)</t>
        </is>
      </c>
      <c r="B121" t="inlineStr">
        <is>
          <t>x</t>
        </is>
      </c>
      <c r="C121" t="inlineStr">
        <is>
          <t>[WHAT] NPV(CFADS over loan life) / Debt; [WHY] Total debt capacity</t>
        </is>
      </c>
      <c r="D121" s="46">
        <f>NPV(D45,E82:K82)/D100</f>
        <v/>
      </c>
    </row>
    <row r="122">
      <c r="A122" t="inlineStr">
        <is>
          <t>PLCR (Project Life Coverage)</t>
        </is>
      </c>
      <c r="B122" t="inlineStr">
        <is>
          <t>x</t>
        </is>
      </c>
      <c r="C122" t="inlineStr">
        <is>
          <t>[WHAT] NPV(CFADS over project life) / Debt; [WHY] Full asset capacity</t>
        </is>
      </c>
      <c r="D122" s="46">
        <f>NPV(D45,E82:N82)/D100</f>
        <v/>
      </c>
    </row>
    <row r="123">
      <c r="A123" t="inlineStr">
        <is>
          <t>─────────────────────────────────────────────────</t>
        </is>
      </c>
    </row>
    <row r="126">
      <c r="A126" s="5" t="inlineStr">
        <is>
          <t xml:space="preserve">  Purchase Price</t>
        </is>
      </c>
      <c r="B126" s="6" t="inlineStr">
        <is>
          <t>$mm</t>
        </is>
      </c>
      <c r="C126" s="6" t="inlineStr"/>
      <c r="D126" s="18">
        <f>$D$17</f>
        <v/>
      </c>
    </row>
    <row r="127">
      <c r="A127" s="5" t="inlineStr">
        <is>
          <t xml:space="preserve">  Transaction Fees</t>
        </is>
      </c>
      <c r="B127" s="6" t="inlineStr">
        <is>
          <t>$mm</t>
        </is>
      </c>
      <c r="C127" s="6" t="inlineStr"/>
      <c r="D127" s="18">
        <f>$D$17*$D$18</f>
        <v/>
      </c>
    </row>
    <row r="128">
      <c r="A128" s="5" t="inlineStr">
        <is>
          <t xml:space="preserve">  DSRA Funding</t>
        </is>
      </c>
      <c r="B128" s="6" t="inlineStr">
        <is>
          <t>$mm</t>
        </is>
      </c>
      <c r="C128" s="6" t="inlineStr"/>
      <c r="D128" s="18">
        <f>D96</f>
        <v/>
      </c>
    </row>
    <row r="129">
      <c r="A129" s="5" t="inlineStr">
        <is>
          <t>Total Uses</t>
        </is>
      </c>
      <c r="B129" s="6" t="inlineStr">
        <is>
          <t>$mm</t>
        </is>
      </c>
      <c r="C129" s="6" t="inlineStr"/>
      <c r="D129" s="7">
        <f>D110+D111+D112</f>
        <v/>
      </c>
    </row>
    <row r="131">
      <c r="A131" s="23" t="inlineStr">
        <is>
          <t>SOURCES</t>
        </is>
      </c>
      <c r="B131" s="6" t="inlineStr"/>
      <c r="C131" s="6" t="inlineStr"/>
    </row>
    <row r="132">
      <c r="A132" s="5" t="inlineStr">
        <is>
          <t xml:space="preserve">  Debt</t>
        </is>
      </c>
      <c r="B132" s="6" t="inlineStr">
        <is>
          <t>$mm</t>
        </is>
      </c>
      <c r="C132" s="6" t="inlineStr"/>
      <c r="D132" s="18">
        <f>$D$55</f>
        <v/>
      </c>
    </row>
    <row r="133">
      <c r="A133" s="5" t="inlineStr">
        <is>
          <t xml:space="preserve">  Equity</t>
        </is>
      </c>
      <c r="B133" s="6" t="inlineStr">
        <is>
          <t>$mm</t>
        </is>
      </c>
      <c r="C133" s="6" t="inlineStr">
        <is>
          <t>Plug to balance</t>
        </is>
      </c>
      <c r="D133" s="18">
        <f>D113-D116</f>
        <v/>
      </c>
    </row>
    <row r="134">
      <c r="A134" s="5" t="inlineStr">
        <is>
          <t>Total Sources</t>
        </is>
      </c>
      <c r="B134" s="6" t="inlineStr">
        <is>
          <t>$mm</t>
        </is>
      </c>
      <c r="C134" s="6" t="inlineStr"/>
      <c r="D134" s="7">
        <f>D116+D117</f>
        <v/>
      </c>
    </row>
    <row r="135">
      <c r="A135" s="5" t="inlineStr">
        <is>
          <t>Balance Check</t>
        </is>
      </c>
      <c r="B135" s="6" t="inlineStr"/>
      <c r="C135" s="6" t="inlineStr"/>
      <c r="D135" s="10">
        <f>IF(ABS(D113-D118)&lt;0.01,"PASS","FAIL")</f>
        <v/>
      </c>
    </row>
    <row r="138">
      <c r="A138" s="3" t="inlineStr">
        <is>
          <t>EXIT CALCULATIONS</t>
        </is>
      </c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</row>
    <row r="139">
      <c r="A139" s="5" t="inlineStr">
        <is>
          <t>Exit EV</t>
        </is>
      </c>
      <c r="B139" s="6" t="inlineStr">
        <is>
          <t>$mm</t>
        </is>
      </c>
      <c r="C139" s="6" t="inlineStr">
        <is>
          <t>Exit Multiple × Exit Yr EBITDA</t>
        </is>
      </c>
      <c r="K139" s="18">
        <f>$D$19*K74</f>
        <v/>
      </c>
    </row>
    <row r="140">
      <c r="A140" s="5" t="inlineStr">
        <is>
          <t>Exit Debt Payoff</t>
        </is>
      </c>
      <c r="B140" s="6" t="inlineStr">
        <is>
          <t>$mm</t>
        </is>
      </c>
      <c r="C140" s="6" t="inlineStr">
        <is>
          <t>Ending Bal at Exit</t>
        </is>
      </c>
      <c r="K140" s="18">
        <f>K91</f>
        <v/>
      </c>
    </row>
    <row r="141">
      <c r="A141" s="5" t="inlineStr">
        <is>
          <t>DSRA Release</t>
        </is>
      </c>
      <c r="B141" s="6" t="inlineStr">
        <is>
          <t>$mm</t>
        </is>
      </c>
      <c r="C141" s="6" t="inlineStr">
        <is>
          <t>DSRA Ending at Exit</t>
        </is>
      </c>
      <c r="K141" s="18">
        <f>K99</f>
        <v/>
      </c>
    </row>
    <row r="142">
      <c r="A142" s="5" t="inlineStr">
        <is>
          <t>Exit Equity Proceeds</t>
        </is>
      </c>
      <c r="B142" s="6" t="inlineStr">
        <is>
          <t>$mm</t>
        </is>
      </c>
      <c r="C142" s="6" t="inlineStr">
        <is>
          <t>Exit EV - Debt + DSRA</t>
        </is>
      </c>
      <c r="K142" s="7">
        <f>K123-K124+K125</f>
        <v/>
      </c>
    </row>
    <row r="144">
      <c r="A144" s="3" t="inlineStr">
        <is>
          <t>EQUITY RETURNS</t>
        </is>
      </c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</row>
    <row r="145">
      <c r="A145" s="5" t="inlineStr">
        <is>
          <t>Equity Cash Flow</t>
        </is>
      </c>
      <c r="B145" s="6" t="inlineStr">
        <is>
          <t>$mm</t>
        </is>
      </c>
      <c r="C145" s="6" t="inlineStr"/>
      <c r="D145" s="18">
        <f>-D117</f>
        <v/>
      </c>
      <c r="E145" s="18">
        <f>E105</f>
        <v/>
      </c>
      <c r="F145" s="18">
        <f>F105</f>
        <v/>
      </c>
      <c r="G145" s="18">
        <f>G105</f>
        <v/>
      </c>
      <c r="H145" s="18">
        <f>H105</f>
        <v/>
      </c>
      <c r="I145" s="18">
        <f>I105</f>
        <v/>
      </c>
      <c r="J145" s="18">
        <f>J105</f>
        <v/>
      </c>
      <c r="K145" s="18">
        <f>K105+K126</f>
        <v/>
      </c>
      <c r="L145" s="18">
        <f>0</f>
        <v/>
      </c>
      <c r="M145" s="18">
        <f>0</f>
        <v/>
      </c>
      <c r="N145" s="18">
        <f>0</f>
        <v/>
      </c>
    </row>
    <row r="146">
      <c r="A146" s="5" t="inlineStr">
        <is>
          <t>Levered IRR</t>
        </is>
      </c>
      <c r="B146" s="6" t="inlineStr">
        <is>
          <t>%</t>
        </is>
      </c>
      <c r="C146" s="6" t="inlineStr"/>
      <c r="D146" s="31">
        <f>IRR(D129:K129)</f>
        <v/>
      </c>
    </row>
    <row r="147">
      <c r="A147" s="5" t="inlineStr">
        <is>
          <t>MOIC</t>
        </is>
      </c>
      <c r="B147" s="6" t="inlineStr">
        <is>
          <t>x</t>
        </is>
      </c>
      <c r="C147" s="6" t="inlineStr">
        <is>
          <t>Sum inflows / outflow</t>
        </is>
      </c>
      <c r="D147" s="30">
        <f>SUMIF(D129:K129,"&gt;0")/ABS(D129)</f>
        <v/>
      </c>
    </row>
    <row r="149">
      <c r="A149" s="23" t="inlineStr">
        <is>
          <t>Unlevered Returns (for reference)</t>
        </is>
      </c>
      <c r="B149" s="6" t="inlineStr"/>
      <c r="C149" s="6" t="inlineStr"/>
    </row>
    <row r="150">
      <c r="A150" s="5" t="inlineStr">
        <is>
          <t>Unlevered Cash Flow</t>
        </is>
      </c>
      <c r="B150" s="6" t="inlineStr">
        <is>
          <t>$mm</t>
        </is>
      </c>
      <c r="C150" s="6" t="inlineStr"/>
      <c r="D150" s="18">
        <f>-$D$17-D111</f>
        <v/>
      </c>
      <c r="E150" s="18">
        <f>E80</f>
        <v/>
      </c>
      <c r="F150" s="18">
        <f>F80</f>
        <v/>
      </c>
      <c r="G150" s="18">
        <f>G80</f>
        <v/>
      </c>
      <c r="H150" s="18">
        <f>H80</f>
        <v/>
      </c>
      <c r="I150" s="18">
        <f>I80</f>
        <v/>
      </c>
      <c r="J150" s="18">
        <f>J80</f>
        <v/>
      </c>
      <c r="K150" s="18">
        <f>K80+K123</f>
        <v/>
      </c>
      <c r="L150" s="18">
        <f>0</f>
        <v/>
      </c>
      <c r="M150" s="18">
        <f>0</f>
        <v/>
      </c>
      <c r="N150" s="18">
        <f>0</f>
        <v/>
      </c>
    </row>
    <row r="151">
      <c r="A151" s="5" t="inlineStr">
        <is>
          <t>Unlevered IRR</t>
        </is>
      </c>
      <c r="B151" s="6" t="inlineStr">
        <is>
          <t>%</t>
        </is>
      </c>
      <c r="C151" s="6" t="inlineStr"/>
      <c r="D151" s="31">
        <f>IRR(D134:K134)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2026-01-20T03:00:01Z</dcterms:created>
  <dcterms:modified xmlns:dcterms="http://purl.org/dc/terms/" xmlns:xsi="http://www.w3.org/2001/XMLSchema-instance" xsi:type="dcterms:W3CDTF">2026-01-20T22:00:49Z</dcterms:modified>
</cp:coreProperties>
</file>