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21">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
      <b val="1"/>
      <sz val="12"/>
    </font>
    <font>
      <b val="1"/>
      <sz val="11"/>
    </font>
    <font>
      <b val="1"/>
      <color rgb="001F4E79"/>
      <sz val="14"/>
    </font>
    <font>
      <sz val="10"/>
    </font>
    <font>
      <b val="1"/>
      <color rgb="001F4E79"/>
      <sz val="12"/>
    </font>
    <font/>
    <font>
      <b val="1"/>
      <i val="1"/>
      <color rgb="00666666"/>
    </font>
    <font>
      <b val="1"/>
      <sz val="9"/>
    </font>
    <font>
      <color rgb="00666666"/>
      <sz val="9"/>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2"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7" fillId="0" borderId="0" pivotButton="0" quotePrefix="0" xfId="0"/>
    <xf numFmtId="0" fontId="18" fillId="0" borderId="0" pivotButton="0" quotePrefix="0" xfId="0"/>
    <xf numFmtId="164" fontId="17" fillId="0" borderId="1" pivotButton="0" quotePrefix="0" xfId="0"/>
    <xf numFmtId="165" fontId="17" fillId="0" borderId="1" pivotButton="0" quotePrefix="0" xfId="0"/>
    <xf numFmtId="166" fontId="17" fillId="0" borderId="1" pivotButton="0" quotePrefix="0" xfId="0"/>
    <xf numFmtId="0" fontId="10"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9" fillId="0" borderId="0" pivotButton="0" quotePrefix="0" xfId="0"/>
    <xf numFmtId="0" fontId="2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38" authorId="0" shapeId="0">
      <text>
        <t>Return to equity after debt service. Should exceed cost of equity (12-15% for infra).</t>
      </text>
    </comment>
    <comment ref="C139" authorId="0" shapeId="0">
      <text>
        <t>Multiple on Invested Capital. Cash-on-cash return. 2.0x = doubled money.</t>
      </text>
    </comment>
    <comment ref="C143" authorId="0" shapeId="0">
      <text>
        <t>Return to equity after debt service. Should exceed cost of equity (12-15% for infra).</t>
      </text>
    </comment>
  </commentList>
</comments>
</file>

<file path=xl/comments/comment2.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44" authorId="0" shapeId="0">
      <text>
        <t>Return to equity after debt service. Should exceed cost of equity (12-15% for infra).</t>
      </text>
    </comment>
    <comment ref="C145" authorId="0" shapeId="0">
      <text>
        <t>Multiple on Invested Capital. Cash-on-cash return. 2.0x = doubled money.</t>
      </text>
    </comment>
    <comment ref="C149"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5" t="inlineStr">
        <is>
          <t>═══════════════════════════════════════════════════════════════════════</t>
        </is>
      </c>
    </row>
    <row r="97">
      <c r="A97" s="36" t="inlineStr">
        <is>
          <t>COLD START WORKFLOW (4-Hour Test)</t>
        </is>
      </c>
    </row>
    <row r="99">
      <c r="A99" s="35" t="inlineStr">
        <is>
          <t>Phase 1: Setup (15 min)</t>
        </is>
      </c>
    </row>
    <row r="100">
      <c r="A100" s="37" t="inlineStr">
        <is>
          <t>→ Create workbook, freeze panes at E2</t>
        </is>
      </c>
    </row>
    <row r="101">
      <c r="A101" s="37" t="inlineStr">
        <is>
          <t>→ Set column widths: A=32, B=12, C=38, D-N=14</t>
        </is>
      </c>
    </row>
    <row r="102">
      <c r="A102" s="37" t="inlineStr">
        <is>
          <t>→ Build year headers: Y0 (2025), Y1 (2026), ... Y10 (2035)</t>
        </is>
      </c>
    </row>
    <row r="103">
      <c r="A103" s="37" t="inlineStr">
        <is>
          <t>→ Create section placeholders with ═══ dividers</t>
        </is>
      </c>
    </row>
    <row r="105">
      <c r="A105" s="35" t="inlineStr">
        <is>
          <t>Phase 2: Inputs &amp; S&amp;U (30 min)</t>
        </is>
      </c>
    </row>
    <row r="106">
      <c r="A106" s="37" t="inlineStr">
        <is>
          <t>→ Transaction: Entry EV, Fees %, Exit Multiple, Exit Year</t>
        </is>
      </c>
    </row>
    <row r="107">
      <c r="A107" s="37" t="inlineStr">
        <is>
          <t>→ Asset: Capacity, CF/Dispatch, Prices, Escalation</t>
        </is>
      </c>
    </row>
    <row r="108">
      <c r="A108" s="37" t="inlineStr">
        <is>
          <t>→ Financing: Leverage, Rate, Tenor, DSRA months, Sweep %</t>
        </is>
      </c>
    </row>
    <row r="109">
      <c r="A109" s="37" t="inlineStr">
        <is>
          <t>→ Build Uses first, then Sources (balancing item = equity)</t>
        </is>
      </c>
    </row>
    <row r="111">
      <c r="A111" s="35" t="inlineStr">
        <is>
          <t>Phase 3: Operating Model (45 min)</t>
        </is>
      </c>
    </row>
    <row r="112">
      <c r="A112" s="37" t="inlineStr">
        <is>
          <t>→ Generation = Capacity × CF × 8760 (baseload) OR Capacity × Dispatch × Avail (peaker)</t>
        </is>
      </c>
    </row>
    <row r="113">
      <c r="A113" s="37" t="inlineStr">
        <is>
          <t>→ Revenue = Generation × Price / 1E6  (careful: capacity $/kW needs ×1000)</t>
        </is>
      </c>
    </row>
    <row r="114">
      <c r="A114" s="37" t="inlineStr">
        <is>
          <t>→ Fuel = Gen × HR × Gas / 1E9  (CRITICAL: divide by BILLION)</t>
        </is>
      </c>
    </row>
    <row r="115">
      <c r="A115" s="37" t="inlineStr">
        <is>
          <t>→ EBITDA = Revenue - OpEx</t>
        </is>
      </c>
    </row>
    <row r="116">
      <c r="A116" s="37" t="inlineStr">
        <is>
          <t>→ Taxes = MAX(0, Taxable Income) × Rate  (no negative taxes!)</t>
        </is>
      </c>
    </row>
    <row r="118">
      <c r="A118" s="35" t="inlineStr">
        <is>
          <t>Phase 4: Debt Schedule (45 min)</t>
        </is>
      </c>
    </row>
    <row r="119">
      <c r="A119" s="37" t="inlineStr">
        <is>
          <t>→ Beginning Bal Y1 = Funded Debt; Yn = Prior Ending</t>
        </is>
      </c>
    </row>
    <row r="120">
      <c r="A120" s="37" t="inlineStr">
        <is>
          <t>→ Interest = Beg Bal × Rate</t>
        </is>
      </c>
    </row>
    <row r="121">
      <c r="A121" s="37" t="inlineStr">
        <is>
          <t>→ Principal: Straight-line OR Sculpted OR Sweep</t>
        </is>
      </c>
    </row>
    <row r="122">
      <c r="A122" s="37" t="inlineStr">
        <is>
          <t>→ DSCR = CFADS / Debt Service</t>
        </is>
      </c>
    </row>
    <row r="123">
      <c r="A123" s="37" t="inlineStr">
        <is>
          <t>→ DSRA Target = NEXT year's DS × (months/12)  [TRAP: not current year!]</t>
        </is>
      </c>
    </row>
    <row r="125">
      <c r="A125" s="35" t="inlineStr">
        <is>
          <t>Phase 5: Exit &amp; Returns (30 min)</t>
        </is>
      </c>
    </row>
    <row r="126">
      <c r="A126" s="37" t="inlineStr">
        <is>
          <t>→ Exit EV = Exit EBITDA × Multiple</t>
        </is>
      </c>
    </row>
    <row r="127">
      <c r="A127" s="37" t="inlineStr">
        <is>
          <t>→ Exit Equity = Exit EV - Debt Payoff + DSRA Release</t>
        </is>
      </c>
    </row>
    <row r="128">
      <c r="A128" s="37" t="inlineStr">
        <is>
          <t>→ Equity CF row: Y0 = -Entry Equity, Y1-n = Distributions, Exit Year += Exit Equity</t>
        </is>
      </c>
    </row>
    <row r="129">
      <c r="A129" s="37" t="inlineStr">
        <is>
          <t>→ IRR = IRR(Y0:Y10 equity CFs)</t>
        </is>
      </c>
    </row>
    <row r="130">
      <c r="A130" s="37" t="inlineStr">
        <is>
          <t>→ MOIC = (Distributions + Exit) / Entry Equity</t>
        </is>
      </c>
    </row>
    <row r="132">
      <c r="A132" s="35" t="inlineStr">
        <is>
          <t>Phase 6: QA &amp; Polish (15 min)</t>
        </is>
      </c>
    </row>
    <row r="133">
      <c r="A133" s="37" t="inlineStr">
        <is>
          <t>→ S&amp;U Balance Check = PASS</t>
        </is>
      </c>
    </row>
    <row r="134">
      <c r="A134" s="37" t="inlineStr">
        <is>
          <t>→ Debt Payoff Check = PASS (ending bal &lt; $1mm)</t>
        </is>
      </c>
    </row>
    <row r="135">
      <c r="A135" s="37" t="inlineStr">
        <is>
          <t>→ Min DSCR Check = PASS (≥1.25x merchant, ≥1.30x contracted)</t>
        </is>
      </c>
    </row>
    <row r="136">
      <c r="A136" s="37" t="inlineStr">
        <is>
          <t>→ Sanity: DSCR 1.2-2.5x, IRR 12-25%, Fuel $30-50mm (CCGT)</t>
        </is>
      </c>
    </row>
    <row r="139">
      <c r="A139" s="38"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1" t="inlineStr">
        <is>
          <t>TOTAL</t>
        </is>
      </c>
      <c r="B152" s="31" t="inlineStr">
        <is>
          <t>4:00</t>
        </is>
      </c>
    </row>
    <row r="155">
      <c r="A155" s="38" t="inlineStr">
        <is>
          <t>DEBT SIZING APPROACHES</t>
        </is>
      </c>
    </row>
    <row r="157">
      <c r="A157" s="35" t="inlineStr">
        <is>
          <t>1. STRAIGHT-LINE (Simplest)</t>
        </is>
      </c>
    </row>
    <row r="158">
      <c r="A158" s="37" t="inlineStr">
        <is>
          <t xml:space="preserve">  Principal = Debt Amount / Tenor</t>
        </is>
      </c>
    </row>
    <row r="159">
      <c r="A159" s="37" t="inlineStr">
        <is>
          <t xml:space="preserve">  Best for: Quick models, Model_Quick, when told 'ignore sweep'</t>
        </is>
      </c>
    </row>
    <row r="160">
      <c r="A160" s="37" t="inlineStr">
        <is>
          <t xml:space="preserve">  Pros: No circularity, fast to build</t>
        </is>
      </c>
    </row>
    <row r="161">
      <c r="A161" s="37" t="inlineStr">
        <is>
          <t xml:space="preserve">  Cons: May not reflect economic reality</t>
        </is>
      </c>
    </row>
    <row r="163">
      <c r="A163" s="35" t="inlineStr">
        <is>
          <t>2. CASH SWEEP (Merchant)</t>
        </is>
      </c>
    </row>
    <row r="164">
      <c r="A164" s="37" t="inlineStr">
        <is>
          <t xml:space="preserve">  Sweep = Excess Cash × Sweep%  (Excess = CFADS - DS - DSRA)</t>
        </is>
      </c>
    </row>
    <row r="165">
      <c r="A165" s="37" t="inlineStr">
        <is>
          <t xml:space="preserve">  Best for: Merchant assets, volatile CFADS</t>
        </is>
      </c>
    </row>
    <row r="166">
      <c r="A166" s="37" t="inlineStr">
        <is>
          <t xml:space="preserve">  Pros: Realistic for bank debt, de-levers faster</t>
        </is>
      </c>
    </row>
    <row r="167">
      <c r="A167" s="37" t="inlineStr">
        <is>
          <t xml:space="preserve">  Cons: Requires DSRA logic, near-circular (use scheduled_ds trick)</t>
        </is>
      </c>
    </row>
    <row r="169">
      <c r="A169" s="35" t="inlineStr">
        <is>
          <t>3. SCULPTED (Contracted)</t>
        </is>
      </c>
    </row>
    <row r="170">
      <c r="A170" s="37" t="inlineStr">
        <is>
          <t xml:space="preserve">  Target DS = CFADS / Target DSCR; Principal = Target DS - Interest</t>
        </is>
      </c>
    </row>
    <row r="171">
      <c r="A171" s="37" t="inlineStr">
        <is>
          <t xml:space="preserve">  Best for: PPAs, regulated assets, predictable CFADS</t>
        </is>
      </c>
    </row>
    <row r="172">
      <c r="A172" s="37" t="inlineStr">
        <is>
          <t xml:space="preserve">  Pros: Maximizes debt capacity, matches CF profile</t>
        </is>
      </c>
    </row>
    <row r="173">
      <c r="A173" s="37" t="inlineStr">
        <is>
          <t xml:space="preserve">  Cons: More complex, requires CFADS forecast first</t>
        </is>
      </c>
    </row>
    <row r="176">
      <c r="A176" s="38" t="inlineStr">
        <is>
          <t>KEY FORMULA CONCEPTS</t>
        </is>
      </c>
    </row>
    <row r="178">
      <c r="A178" s="35" t="inlineStr">
        <is>
          <t>SPARK SPREAD (Thermal Plants)</t>
        </is>
      </c>
    </row>
    <row r="179">
      <c r="A179" s="37" t="inlineStr">
        <is>
          <t xml:space="preserve">  = Power Price ($/MWh) - Fuel Cost per MWh</t>
        </is>
      </c>
    </row>
    <row r="180">
      <c r="A180" s="37" t="inlineStr">
        <is>
          <t xml:space="preserve">  = Power Price - (Heat Rate × Gas Price / 1000)</t>
        </is>
      </c>
    </row>
    <row r="181">
      <c r="A181" s="37" t="inlineStr">
        <is>
          <t xml:space="preserve">  Example: $45/MWh - (7000 Btu/kWh × $3/mmBtu / 1000) = $45 - $21 = $24/MWh</t>
        </is>
      </c>
    </row>
    <row r="182">
      <c r="A182" s="37" t="inlineStr">
        <is>
          <t xml:space="preserve">  Core margin driver for CCGT/Peaker dispatch economics</t>
        </is>
      </c>
    </row>
    <row r="184">
      <c r="A184" s="35" t="inlineStr">
        <is>
          <t>UCAP (Unforced Capacity)</t>
        </is>
      </c>
    </row>
    <row r="185">
      <c r="A185" s="37" t="inlineStr">
        <is>
          <t xml:space="preserve">  = Nameplate Capacity × (1 - Forced Outage Rate)</t>
        </is>
      </c>
    </row>
    <row r="186">
      <c r="A186" s="37" t="inlineStr">
        <is>
          <t xml:space="preserve">  = 365 MW × (1 - 5%) = 346.75 MW</t>
        </is>
      </c>
    </row>
    <row r="187">
      <c r="A187" s="37" t="inlineStr">
        <is>
          <t xml:space="preserve">  Capacity revenue uses UCAP, not nameplate</t>
        </is>
      </c>
    </row>
    <row r="188">
      <c r="A188" s="37" t="inlineStr">
        <is>
          <t xml:space="preserve">  Capacity Price is $/kW-yr, so: UCAP × Price × 1000 / 1E6</t>
        </is>
      </c>
    </row>
    <row r="190">
      <c r="A190" s="35" t="inlineStr">
        <is>
          <t>LLCR / PLCR (Project Finance)</t>
        </is>
      </c>
    </row>
    <row r="191">
      <c r="A191" s="37" t="inlineStr">
        <is>
          <t xml:space="preserve">  LLCR = NPV(CFADS over loan life) / Debt Outstanding</t>
        </is>
      </c>
    </row>
    <row r="192">
      <c r="A192" s="37" t="inlineStr">
        <is>
          <t xml:space="preserve">  PLCR = NPV(CFADS over project life) / Debt Outstanding</t>
        </is>
      </c>
    </row>
    <row r="193">
      <c r="A193" s="37" t="inlineStr">
        <is>
          <t xml:space="preserve">  LLCR ~1.4x+ typical for investment grade</t>
        </is>
      </c>
    </row>
    <row r="194">
      <c r="A194" s="37"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39" t="inlineStr">
        <is>
          <t>Model_Quick - Peaker (90-min build)</t>
        </is>
      </c>
    </row>
    <row r="2">
      <c r="D2" s="31" t="inlineStr">
        <is>
          <t>Y0 (2025)</t>
        </is>
      </c>
      <c r="E2" s="31" t="inlineStr">
        <is>
          <t>Y1 (2026)</t>
        </is>
      </c>
      <c r="F2" s="31" t="inlineStr">
        <is>
          <t>Y2 (2027)</t>
        </is>
      </c>
      <c r="G2" s="31" t="inlineStr">
        <is>
          <t>Y3 (2028)</t>
        </is>
      </c>
      <c r="H2" s="31" t="inlineStr">
        <is>
          <t>Y4 (2029)</t>
        </is>
      </c>
      <c r="I2" s="31" t="inlineStr">
        <is>
          <t>Y5 (2030)</t>
        </is>
      </c>
      <c r="J2" s="31" t="inlineStr">
        <is>
          <t>Y6 (2031)</t>
        </is>
      </c>
      <c r="K2" s="31" t="inlineStr">
        <is>
          <t>Y7 (2032)</t>
        </is>
      </c>
      <c r="L2" s="31" t="inlineStr">
        <is>
          <t>Y8 (2033)</t>
        </is>
      </c>
      <c r="M2" s="31" t="inlineStr">
        <is>
          <t>Y9 (2034)</t>
        </is>
      </c>
      <c r="N2" s="31" t="inlineStr">
        <is>
          <t>Y10 (2035)</t>
        </is>
      </c>
    </row>
    <row r="4">
      <c r="A4" s="35" t="inlineStr">
        <is>
          <t>═══ KEY METRICS ═══</t>
        </is>
      </c>
    </row>
    <row r="5">
      <c r="A5" t="inlineStr">
        <is>
          <t>Entry EV</t>
        </is>
      </c>
      <c r="B5" t="inlineStr">
        <is>
          <t>$mm</t>
        </is>
      </c>
      <c r="D5" s="40">
        <f>D12</f>
        <v/>
      </c>
    </row>
    <row r="6">
      <c r="A6" t="inlineStr">
        <is>
          <t>Debt %</t>
        </is>
      </c>
      <c r="B6" t="inlineStr">
        <is>
          <t>%</t>
        </is>
      </c>
      <c r="D6" s="41">
        <f>D35/D12</f>
        <v/>
      </c>
    </row>
    <row r="7">
      <c r="A7" t="inlineStr">
        <is>
          <t>Y1 EBITDA</t>
        </is>
      </c>
      <c r="B7" t="inlineStr">
        <is>
          <t>$mm</t>
        </is>
      </c>
      <c r="D7" s="42">
        <f>E41</f>
        <v/>
      </c>
    </row>
    <row r="8">
      <c r="A8" t="inlineStr">
        <is>
          <t>Levered IRR</t>
        </is>
      </c>
      <c r="B8" t="inlineStr">
        <is>
          <t>%</t>
        </is>
      </c>
      <c r="D8" s="41">
        <f>D57</f>
        <v/>
      </c>
    </row>
    <row r="9">
      <c r="A9" t="inlineStr">
        <is>
          <t>MOIC</t>
        </is>
      </c>
      <c r="B9" t="inlineStr">
        <is>
          <t>x</t>
        </is>
      </c>
      <c r="D9" s="43">
        <f>D58</f>
        <v/>
      </c>
    </row>
    <row r="11">
      <c r="A11" s="35" t="inlineStr">
        <is>
          <t>═══ TRANSACTION INPUTS ═══</t>
        </is>
      </c>
    </row>
    <row r="12">
      <c r="A12" t="inlineStr">
        <is>
          <t>Entry EV</t>
        </is>
      </c>
      <c r="B12" t="inlineStr">
        <is>
          <t>$mm</t>
        </is>
      </c>
      <c r="D12" s="44" t="n">
        <v>150</v>
      </c>
    </row>
    <row r="13">
      <c r="A13" t="inlineStr">
        <is>
          <t>Transaction Fees</t>
        </is>
      </c>
      <c r="B13" t="inlineStr">
        <is>
          <t>%</t>
        </is>
      </c>
      <c r="D13" s="44" t="n">
        <v>0.015</v>
      </c>
    </row>
    <row r="14">
      <c r="A14" t="inlineStr">
        <is>
          <t>Exit Multiple</t>
        </is>
      </c>
      <c r="B14" t="inlineStr">
        <is>
          <t>x</t>
        </is>
      </c>
      <c r="D14" s="44" t="n">
        <v>6.5</v>
      </c>
    </row>
    <row r="15">
      <c r="A15" t="inlineStr">
        <is>
          <t>Exit Year</t>
        </is>
      </c>
      <c r="B15" t="inlineStr">
        <is>
          <t>yr</t>
        </is>
      </c>
      <c r="D15" s="44" t="n">
        <v>5</v>
      </c>
    </row>
    <row r="17">
      <c r="A17" s="35" t="inlineStr">
        <is>
          <t>═══ ASSET INPUTS ═══</t>
        </is>
      </c>
    </row>
    <row r="18">
      <c r="A18" t="inlineStr">
        <is>
          <t>Capacity</t>
        </is>
      </c>
      <c r="B18" t="inlineStr">
        <is>
          <t>MW</t>
        </is>
      </c>
      <c r="D18" s="44" t="n">
        <v>365</v>
      </c>
    </row>
    <row r="19">
      <c r="A19" t="inlineStr">
        <is>
          <t>Capacity Factor</t>
        </is>
      </c>
      <c r="B19" t="inlineStr">
        <is>
          <t>%</t>
        </is>
      </c>
      <c r="D19" s="44" t="n">
        <v>0.55</v>
      </c>
    </row>
    <row r="20">
      <c r="A20" t="inlineStr">
        <is>
          <t>Y1 EBITDA</t>
        </is>
      </c>
      <c r="B20" t="inlineStr">
        <is>
          <t>$mm</t>
        </is>
      </c>
      <c r="D20" s="44" t="n">
        <v>22</v>
      </c>
    </row>
    <row r="21">
      <c r="A21" t="inlineStr">
        <is>
          <t>EBITDA Escalation</t>
        </is>
      </c>
      <c r="B21" t="inlineStr">
        <is>
          <t>%</t>
        </is>
      </c>
      <c r="D21" s="44" t="n">
        <v>0.02</v>
      </c>
    </row>
    <row r="23">
      <c r="A23" s="35" t="inlineStr">
        <is>
          <t>═══ FINANCING INPUTS ═══</t>
        </is>
      </c>
    </row>
    <row r="24">
      <c r="A24" t="inlineStr">
        <is>
          <t>Leverage</t>
        </is>
      </c>
      <c r="B24" t="inlineStr">
        <is>
          <t>%</t>
        </is>
      </c>
      <c r="D24" s="44" t="n">
        <v>0.6</v>
      </c>
    </row>
    <row r="25">
      <c r="A25" t="inlineStr">
        <is>
          <t>Interest Rate</t>
        </is>
      </c>
      <c r="B25" t="inlineStr">
        <is>
          <t>%</t>
        </is>
      </c>
      <c r="D25" s="44" t="n">
        <v>0.07000000000000001</v>
      </c>
    </row>
    <row r="26">
      <c r="A26" t="inlineStr">
        <is>
          <t>Debt Tenor</t>
        </is>
      </c>
      <c r="B26" t="inlineStr">
        <is>
          <t>yrs</t>
        </is>
      </c>
      <c r="D26" s="44" t="n">
        <v>5</v>
      </c>
    </row>
    <row r="28">
      <c r="A28" s="35" t="inlineStr">
        <is>
          <t>═══ SOURCES &amp; USES ═══</t>
        </is>
      </c>
    </row>
    <row r="29">
      <c r="A29" s="31" t="inlineStr">
        <is>
          <t>USES:</t>
        </is>
      </c>
    </row>
    <row r="30">
      <c r="A30" t="inlineStr">
        <is>
          <t>Purchase Price</t>
        </is>
      </c>
      <c r="D30">
        <f>D12</f>
        <v/>
      </c>
    </row>
    <row r="31">
      <c r="A31" t="inlineStr">
        <is>
          <t>Transaction Fees</t>
        </is>
      </c>
      <c r="D31">
        <f>D12*D13</f>
        <v/>
      </c>
    </row>
    <row r="32">
      <c r="A32" s="31" t="inlineStr">
        <is>
          <t>Total Uses</t>
        </is>
      </c>
      <c r="D32" s="40">
        <f>D30+D31</f>
        <v/>
      </c>
    </row>
    <row r="34">
      <c r="A34" s="31" t="inlineStr">
        <is>
          <t>SOURCES:</t>
        </is>
      </c>
    </row>
    <row r="35">
      <c r="A35" t="inlineStr">
        <is>
          <t>Funded Debt</t>
        </is>
      </c>
      <c r="D35">
        <f>D12*D24</f>
        <v/>
      </c>
    </row>
    <row r="36">
      <c r="A36" t="inlineStr">
        <is>
          <t>Entry Equity</t>
        </is>
      </c>
      <c r="D36">
        <f>D32-D35</f>
        <v/>
      </c>
    </row>
    <row r="37">
      <c r="A37" s="31" t="inlineStr">
        <is>
          <t>Total Sources</t>
        </is>
      </c>
      <c r="D37" s="40">
        <f>D35+D36</f>
        <v/>
      </c>
    </row>
    <row r="38">
      <c r="A38" t="inlineStr">
        <is>
          <t>Balance Check</t>
        </is>
      </c>
      <c r="D38" s="40">
        <f>IF(ABS(D32-D37)&lt;0.01,"PASS","FAIL")</f>
        <v/>
      </c>
    </row>
    <row r="40">
      <c r="A40" s="35" t="inlineStr">
        <is>
          <t>═══ OPERATING MODEL ═══</t>
        </is>
      </c>
    </row>
    <row r="41">
      <c r="A41" t="inlineStr">
        <is>
          <t>EBITDA</t>
        </is>
      </c>
      <c r="B41" t="inlineStr">
        <is>
          <t>$mm</t>
        </is>
      </c>
      <c r="C41" t="inlineStr">
        <is>
          <t>Y1 input, then escalated</t>
        </is>
      </c>
      <c r="E41" s="42">
        <f>$D$20*(1+$D$21)^(1-1)</f>
        <v/>
      </c>
      <c r="F41" s="42">
        <f>$D$20*(1+$D$21)^(2-1)</f>
        <v/>
      </c>
      <c r="G41" s="42">
        <f>$D$20*(1+$D$21)^(3-1)</f>
        <v/>
      </c>
      <c r="H41" s="42">
        <f>$D$20*(1+$D$21)^(4-1)</f>
        <v/>
      </c>
      <c r="I41" s="42">
        <f>$D$20*(1+$D$21)^(5-1)</f>
        <v/>
      </c>
      <c r="J41" s="42">
        <f>$D$20*(1+$D$21)^(6-1)</f>
        <v/>
      </c>
      <c r="K41" s="42">
        <f>$D$20*(1+$D$21)^(7-1)</f>
        <v/>
      </c>
      <c r="L41" s="42">
        <f>$D$20*(1+$D$21)^(8-1)</f>
        <v/>
      </c>
      <c r="M41" s="42">
        <f>$D$20*(1+$D$21)^(9-1)</f>
        <v/>
      </c>
      <c r="N41" s="42">
        <f>$D$20*(1+$D$21)^(10-1)</f>
        <v/>
      </c>
    </row>
    <row r="43">
      <c r="A43" s="35"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5">
        <f>E44*$D$25</f>
        <v/>
      </c>
      <c r="F45" s="45">
        <f>F44*$D$25</f>
        <v/>
      </c>
      <c r="G45" s="45">
        <f>G44*$D$25</f>
        <v/>
      </c>
      <c r="H45" s="45">
        <f>H44*$D$25</f>
        <v/>
      </c>
      <c r="I45" s="45">
        <f>I44*$D$25</f>
        <v/>
      </c>
      <c r="J45" s="45">
        <f>J44*$D$25</f>
        <v/>
      </c>
      <c r="K45" s="45">
        <f>K44*$D$25</f>
        <v/>
      </c>
      <c r="L45" s="45">
        <f>L44*$D$25</f>
        <v/>
      </c>
      <c r="M45" s="45">
        <f>M44*$D$25</f>
        <v/>
      </c>
      <c r="N45" s="45">
        <f>N44*$D$25</f>
        <v/>
      </c>
    </row>
    <row r="46">
      <c r="A46" t="inlineStr">
        <is>
          <t>Principal</t>
        </is>
      </c>
      <c r="B46" t="inlineStr">
        <is>
          <t>$mm</t>
        </is>
      </c>
      <c r="C46" t="inlineStr">
        <is>
          <t>Straight-line: Debt / Tenor</t>
        </is>
      </c>
      <c r="E46" s="45">
        <f>MIN($D$35/$D$26,E44)</f>
        <v/>
      </c>
      <c r="F46" s="45">
        <f>MIN($D$35/$D$26,F44)</f>
        <v/>
      </c>
      <c r="G46" s="45">
        <f>MIN($D$35/$D$26,G44)</f>
        <v/>
      </c>
      <c r="H46" s="45">
        <f>MIN($D$35/$D$26,H44)</f>
        <v/>
      </c>
      <c r="I46" s="45">
        <f>MIN($D$35/$D$26,I44)</f>
        <v/>
      </c>
      <c r="J46" s="45">
        <f>MIN($D$35/$D$26,J44)</f>
        <v/>
      </c>
      <c r="K46" s="45">
        <f>MIN($D$35/$D$26,K44)</f>
        <v/>
      </c>
      <c r="L46" s="45">
        <f>MIN($D$35/$D$26,L44)</f>
        <v/>
      </c>
      <c r="M46" s="45">
        <f>MIN($D$35/$D$26,M44)</f>
        <v/>
      </c>
      <c r="N46" s="45">
        <f>MIN($D$35/$D$26,N44)</f>
        <v/>
      </c>
    </row>
    <row r="47">
      <c r="A47" t="inlineStr">
        <is>
          <t>Ending Balance</t>
        </is>
      </c>
      <c r="B47" t="inlineStr">
        <is>
          <t>$mm</t>
        </is>
      </c>
      <c r="E47" s="45">
        <f>MAX(0,E44-E46)</f>
        <v/>
      </c>
      <c r="F47" s="45">
        <f>MAX(0,F44-F46)</f>
        <v/>
      </c>
      <c r="G47" s="45">
        <f>MAX(0,G44-G46)</f>
        <v/>
      </c>
      <c r="H47" s="45">
        <f>MAX(0,H44-H46)</f>
        <v/>
      </c>
      <c r="I47" s="45">
        <f>MAX(0,I44-I46)</f>
        <v/>
      </c>
      <c r="J47" s="45">
        <f>MAX(0,J44-J46)</f>
        <v/>
      </c>
      <c r="K47" s="45">
        <f>MAX(0,K44-K46)</f>
        <v/>
      </c>
      <c r="L47" s="45">
        <f>MAX(0,L44-L46)</f>
        <v/>
      </c>
      <c r="M47" s="45">
        <f>MAX(0,M44-M46)</f>
        <v/>
      </c>
      <c r="N47" s="45">
        <f>MAX(0,N44-N46)</f>
        <v/>
      </c>
    </row>
    <row r="49">
      <c r="A49" s="35" t="inlineStr">
        <is>
          <t>═══ RETURNS ═══</t>
        </is>
      </c>
    </row>
    <row r="50">
      <c r="A50" t="inlineStr">
        <is>
          <t>Exit Year EBITDA</t>
        </is>
      </c>
      <c r="B50" t="inlineStr">
        <is>
          <t>$mm</t>
        </is>
      </c>
      <c r="D50" s="45">
        <f>OFFSET(E41,0,$D$15-1)</f>
        <v/>
      </c>
    </row>
    <row r="51">
      <c r="A51" t="inlineStr">
        <is>
          <t>Exit EV</t>
        </is>
      </c>
      <c r="B51" t="inlineStr">
        <is>
          <t>$mm</t>
        </is>
      </c>
      <c r="D51" s="42">
        <f>D50*$D$14</f>
        <v/>
      </c>
    </row>
    <row r="52">
      <c r="A52" t="inlineStr">
        <is>
          <t>Exit Debt Payoff</t>
        </is>
      </c>
      <c r="B52" t="inlineStr">
        <is>
          <t>$mm</t>
        </is>
      </c>
      <c r="D52" s="45">
        <f>OFFSET(E47,0,$D$15-1)</f>
        <v/>
      </c>
    </row>
    <row r="53">
      <c r="A53" t="inlineStr">
        <is>
          <t>Exit Equity Proceeds</t>
        </is>
      </c>
      <c r="B53" t="inlineStr">
        <is>
          <t>$mm</t>
        </is>
      </c>
      <c r="D53" s="42">
        <f>D51-D52</f>
        <v/>
      </c>
    </row>
    <row r="55">
      <c r="A55" t="inlineStr">
        <is>
          <t>Equity Cash Flow</t>
        </is>
      </c>
      <c r="B55" t="inlineStr">
        <is>
          <t>$mm</t>
        </is>
      </c>
      <c r="D55">
        <f>-D36</f>
        <v/>
      </c>
      <c r="E55" s="45">
        <f>IF(1=$D$15,D53,0)</f>
        <v/>
      </c>
      <c r="F55" s="45">
        <f>IF(2=$D$15,D53,0)</f>
        <v/>
      </c>
      <c r="G55" s="45">
        <f>IF(3=$D$15,D53,0)</f>
        <v/>
      </c>
      <c r="H55" s="45">
        <f>IF(4=$D$15,D53,0)</f>
        <v/>
      </c>
      <c r="I55" s="45">
        <f>IF(5=$D$15,D53,0)</f>
        <v/>
      </c>
      <c r="J55" s="45">
        <f>IF(6=$D$15,D53,0)</f>
        <v/>
      </c>
      <c r="K55" s="45">
        <f>IF(7=$D$15,D53,0)</f>
        <v/>
      </c>
      <c r="L55" s="45">
        <f>IF(8=$D$15,D53,0)</f>
        <v/>
      </c>
      <c r="M55" s="45">
        <f>IF(9=$D$15,D53,0)</f>
        <v/>
      </c>
      <c r="N55" s="45">
        <f>IF(10=$D$15,D53,0)</f>
        <v/>
      </c>
    </row>
    <row r="57">
      <c r="A57" s="31" t="inlineStr">
        <is>
          <t>Levered IRR</t>
        </is>
      </c>
      <c r="B57" t="inlineStr">
        <is>
          <t>%</t>
        </is>
      </c>
      <c r="D57" s="41">
        <f>IRR(D55:N55)</f>
        <v/>
      </c>
    </row>
    <row r="58">
      <c r="A58" s="31" t="inlineStr">
        <is>
          <t>MOIC</t>
        </is>
      </c>
      <c r="B58" t="inlineStr">
        <is>
          <t>x</t>
        </is>
      </c>
      <c r="D58" s="43">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M3" s="54" t="inlineStr">
        <is>
          <t>IRR Sensitivity:</t>
        </is>
      </c>
    </row>
    <row r="4">
      <c r="A4" s="5" t="inlineStr">
        <is>
          <t>Y1 EBITDA</t>
        </is>
      </c>
      <c r="B4" s="6" t="inlineStr">
        <is>
          <t>$mm</t>
        </is>
      </c>
      <c r="C4" s="6" t="inlineStr">
        <is>
          <t>Revenue minus OpEx</t>
        </is>
      </c>
      <c r="D4" s="7">
        <f>E87</f>
        <v/>
      </c>
      <c r="M4" s="55" t="inlineStr">
        <is>
          <t>+/- 5% Entry → ~+/- 1% IRR</t>
        </is>
      </c>
    </row>
    <row r="5">
      <c r="A5" s="35" t="inlineStr">
        <is>
          <t>═══════════ CONTROL PANEL ═══════════</t>
        </is>
      </c>
      <c r="B5" s="46" t="n"/>
      <c r="C5" s="46" t="n"/>
      <c r="D5" s="46" t="n"/>
      <c r="M5" s="55" t="inlineStr">
        <is>
          <t>+/- 0.5x Exit → ~+/- 1.5% IRR</t>
        </is>
      </c>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7">
      <c r="A77" s="5" t="inlineStr">
        <is>
          <t>Energy Revenue</t>
        </is>
      </c>
      <c r="B77" s="6" t="inlineStr">
        <is>
          <t>$mm</t>
        </is>
      </c>
      <c r="C77" s="6" t="inlineStr">
        <is>
          <t>Generation × Power Price / 1M</t>
        </is>
      </c>
      <c r="E77" s="18">
        <f>$D$67*E73/1000000</f>
        <v/>
      </c>
      <c r="F77" s="18">
        <f>$D$67*F73/1000000</f>
        <v/>
      </c>
      <c r="G77" s="18">
        <f>$D$67*G73/1000000</f>
        <v/>
      </c>
      <c r="H77" s="18">
        <f>$D$67*H73/1000000</f>
        <v/>
      </c>
      <c r="I77" s="18">
        <f>$D$67*I73/1000000</f>
        <v/>
      </c>
      <c r="J77" s="18">
        <f>$D$67*J73/1000000</f>
        <v/>
      </c>
      <c r="K77" s="18">
        <f>$D$67*K73/1000000</f>
        <v/>
      </c>
      <c r="L77" s="18">
        <f>$D$67*L73/1000000</f>
        <v/>
      </c>
      <c r="M77" s="18">
        <f>$D$67*M73/1000000</f>
        <v/>
      </c>
      <c r="N77" s="18">
        <f>$D$67*N73/1000000</f>
        <v/>
      </c>
    </row>
    <row r="78">
      <c r="A78" s="5" t="inlineStr">
        <is>
          <t>Capacity Revenue</t>
        </is>
      </c>
      <c r="B78" s="6" t="inlineStr">
        <is>
          <t>$mm</t>
        </is>
      </c>
      <c r="C78" s="6" t="inlineStr">
        <is>
          <t>UCAP × Cap Price × 1000 / 1M</t>
        </is>
      </c>
      <c r="E78" s="18">
        <f>$D$34*E74*1000/1000000</f>
        <v/>
      </c>
      <c r="F78" s="18">
        <f>$D$34*F74*1000/1000000</f>
        <v/>
      </c>
      <c r="G78" s="18">
        <f>$D$34*G74*1000/1000000</f>
        <v/>
      </c>
      <c r="H78" s="18">
        <f>$D$34*H74*1000/1000000</f>
        <v/>
      </c>
      <c r="I78" s="18">
        <f>$D$34*I74*1000/1000000</f>
        <v/>
      </c>
      <c r="J78" s="18">
        <f>$D$34*J74*1000/1000000</f>
        <v/>
      </c>
      <c r="K78" s="18">
        <f>$D$34*K74*1000/1000000</f>
        <v/>
      </c>
      <c r="L78" s="18">
        <f>$D$34*L74*1000/1000000</f>
        <v/>
      </c>
      <c r="M78" s="18">
        <f>$D$34*M74*1000/1000000</f>
        <v/>
      </c>
      <c r="N78" s="18">
        <f>$D$34*N74*1000/1000000</f>
        <v/>
      </c>
    </row>
    <row r="79">
      <c r="A79" s="5" t="inlineStr">
        <is>
          <t>Total Revenue</t>
        </is>
      </c>
      <c r="B79" s="6" t="inlineStr">
        <is>
          <t>$mm</t>
        </is>
      </c>
      <c r="C79" s="6" t="inlineStr"/>
      <c r="E79" s="20">
        <f>E77+E78</f>
        <v/>
      </c>
      <c r="F79" s="20">
        <f>F77+F78</f>
        <v/>
      </c>
      <c r="G79" s="20">
        <f>G77+G78</f>
        <v/>
      </c>
      <c r="H79" s="20">
        <f>H77+H78</f>
        <v/>
      </c>
      <c r="I79" s="20">
        <f>I77+I78</f>
        <v/>
      </c>
      <c r="J79" s="20">
        <f>J77+J78</f>
        <v/>
      </c>
      <c r="K79" s="20">
        <f>K77+K78</f>
        <v/>
      </c>
      <c r="L79" s="20">
        <f>L77+L78</f>
        <v/>
      </c>
      <c r="M79" s="20">
        <f>M77+M78</f>
        <v/>
      </c>
      <c r="N79" s="20">
        <f>N77+N78</f>
        <v/>
      </c>
    </row>
    <row r="81">
      <c r="A81" s="5" t="inlineStr">
        <is>
          <t>Fuel Cost</t>
        </is>
      </c>
      <c r="B81" s="6" t="inlineStr">
        <is>
          <t>$mm</t>
        </is>
      </c>
      <c r="C81" s="6" t="inlineStr">
        <is>
          <t>Gen × HR × Gas / 1B</t>
        </is>
      </c>
      <c r="E81" s="18">
        <f>$D$67*$D$35*E75/1000000000</f>
        <v/>
      </c>
      <c r="F81" s="18">
        <f>$D$67*$D$35*F75/1000000000</f>
        <v/>
      </c>
      <c r="G81" s="18">
        <f>$D$67*$D$35*G75/1000000000</f>
        <v/>
      </c>
      <c r="H81" s="18">
        <f>$D$67*$D$35*H75/1000000000</f>
        <v/>
      </c>
      <c r="I81" s="18">
        <f>$D$67*$D$35*I75/1000000000</f>
        <v/>
      </c>
      <c r="J81" s="18">
        <f>$D$67*$D$35*J75/1000000000</f>
        <v/>
      </c>
      <c r="K81" s="18">
        <f>$D$67*$D$35*K75/1000000000</f>
        <v/>
      </c>
      <c r="L81" s="18">
        <f>$D$67*$D$35*L75/1000000000</f>
        <v/>
      </c>
      <c r="M81" s="18">
        <f>$D$67*$D$35*M75/1000000000</f>
        <v/>
      </c>
      <c r="N81" s="18">
        <f>$D$67*$D$35*N75/1000000000</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t>
        </is>
      </c>
      <c r="E82" s="53">
        <f>E73-($D$35/1000)*E75</f>
        <v/>
      </c>
      <c r="F82" s="53">
        <f>F73-($D$35/1000)*F75</f>
        <v/>
      </c>
      <c r="G82" s="53">
        <f>G73-($D$35/1000)*G75</f>
        <v/>
      </c>
      <c r="H82" s="53">
        <f>H73-($D$35/1000)*H75</f>
        <v/>
      </c>
      <c r="I82" s="53">
        <f>I73-($D$35/1000)*I75</f>
        <v/>
      </c>
      <c r="J82" s="53">
        <f>J73-($D$35/1000)*J75</f>
        <v/>
      </c>
      <c r="K82" s="53">
        <f>K73-($D$35/1000)*K75</f>
        <v/>
      </c>
      <c r="L82" s="53">
        <f>L73-($D$35/1000)*L75</f>
        <v/>
      </c>
      <c r="M82" s="53">
        <f>M73-($D$35/1000)*M75</f>
        <v/>
      </c>
      <c r="N82" s="53">
        <f>N73-($D$35/1000)*N75</f>
        <v/>
      </c>
    </row>
    <row r="83">
      <c r="A83" s="5" t="inlineStr">
        <is>
          <t>VOM</t>
        </is>
      </c>
      <c r="B83" s="6" t="inlineStr">
        <is>
          <t>$mm</t>
        </is>
      </c>
      <c r="C83" s="6" t="inlineStr">
        <is>
          <t>Generation × VOM rate / 1M</t>
        </is>
      </c>
      <c r="E83" s="18">
        <f>$D$67*$D$47/1000000</f>
        <v/>
      </c>
      <c r="F83" s="18">
        <f>$D$67*$D$47/1000000</f>
        <v/>
      </c>
      <c r="G83" s="18">
        <f>$D$67*$D$47/1000000</f>
        <v/>
      </c>
      <c r="H83" s="18">
        <f>$D$67*$D$47/1000000</f>
        <v/>
      </c>
      <c r="I83" s="18">
        <f>$D$67*$D$47/1000000</f>
        <v/>
      </c>
      <c r="J83" s="18">
        <f>$D$67*$D$47/1000000</f>
        <v/>
      </c>
      <c r="K83" s="18">
        <f>$D$67*$D$47/1000000</f>
        <v/>
      </c>
      <c r="L83" s="18">
        <f>$D$67*$D$47/1000000</f>
        <v/>
      </c>
      <c r="M83" s="18">
        <f>$D$67*$D$47/1000000</f>
        <v/>
      </c>
      <c r="N83" s="18">
        <f>$D$67*$D$47/1000000</f>
        <v/>
      </c>
    </row>
    <row r="84">
      <c r="A84" s="5" t="inlineStr">
        <is>
          <t>FOM</t>
        </is>
      </c>
      <c r="B84" s="6" t="inlineStr">
        <is>
          <t>$mm</t>
        </is>
      </c>
      <c r="C84" s="6" t="inlineStr">
        <is>
          <t>Capacity × FOM × esc × 1000 / 1M</t>
        </is>
      </c>
      <c r="E84" s="18">
        <f>$D$34*$D$48*1000/1000000</f>
        <v/>
      </c>
      <c r="F84" s="18">
        <f>$D$34*$D$48*1000/1000000</f>
        <v/>
      </c>
      <c r="G84" s="18">
        <f>$D$34*$D$48*1000/1000000</f>
        <v/>
      </c>
      <c r="H84" s="18">
        <f>$D$34*$D$48*1000/1000000</f>
        <v/>
      </c>
      <c r="I84" s="18">
        <f>$D$34*$D$48*1000/1000000</f>
        <v/>
      </c>
      <c r="J84" s="18">
        <f>$D$34*$D$48*1000/1000000</f>
        <v/>
      </c>
      <c r="K84" s="18">
        <f>$D$34*$D$48*1000/1000000</f>
        <v/>
      </c>
      <c r="L84" s="18">
        <f>$D$34*$D$48*1000/1000000</f>
        <v/>
      </c>
      <c r="M84" s="18">
        <f>$D$34*$D$48*1000/1000000</f>
        <v/>
      </c>
      <c r="N84" s="18">
        <f>$D$34*$D$48*1000/1000000</f>
        <v/>
      </c>
    </row>
    <row r="85">
      <c r="A85" s="5" t="inlineStr">
        <is>
          <t>Total Operating Costs</t>
        </is>
      </c>
      <c r="B85" s="6" t="inlineStr">
        <is>
          <t>$mm</t>
        </is>
      </c>
      <c r="C85" s="6" t="inlineStr"/>
      <c r="E85" s="18">
        <f>E81+E83+E84</f>
        <v/>
      </c>
      <c r="F85" s="18">
        <f>F81+F83+F84</f>
        <v/>
      </c>
      <c r="G85" s="18">
        <f>G81+G83+G84</f>
        <v/>
      </c>
      <c r="H85" s="18">
        <f>H81+H83+H84</f>
        <v/>
      </c>
      <c r="I85" s="18">
        <f>I81+I83+I84</f>
        <v/>
      </c>
      <c r="J85" s="18">
        <f>J81+J83+J84</f>
        <v/>
      </c>
      <c r="K85" s="18">
        <f>K81+K83+K84</f>
        <v/>
      </c>
      <c r="L85" s="18">
        <f>L81+L83+L84</f>
        <v/>
      </c>
      <c r="M85" s="18">
        <f>M81+M83+M84</f>
        <v/>
      </c>
      <c r="N85" s="18">
        <f>N81+N83+N84</f>
        <v/>
      </c>
    </row>
    <row r="87">
      <c r="A87" s="5" t="inlineStr">
        <is>
          <t>EBITDA</t>
        </is>
      </c>
      <c r="B87" s="6" t="inlineStr">
        <is>
          <t>$mm</t>
        </is>
      </c>
      <c r="C87" s="6" t="inlineStr">
        <is>
          <t>Revenue minus OpEx</t>
        </is>
      </c>
      <c r="E87" s="7">
        <f>E79-E85</f>
        <v/>
      </c>
      <c r="F87" s="7">
        <f>F79-F85</f>
        <v/>
      </c>
      <c r="G87" s="7">
        <f>G79-G85</f>
        <v/>
      </c>
      <c r="H87" s="7">
        <f>H79-H85</f>
        <v/>
      </c>
      <c r="I87" s="7">
        <f>I79-I85</f>
        <v/>
      </c>
      <c r="J87" s="7">
        <f>J79-J85</f>
        <v/>
      </c>
      <c r="K87" s="7">
        <f>K79-K85</f>
        <v/>
      </c>
      <c r="L87" s="7">
        <f>L79-L85</f>
        <v/>
      </c>
      <c r="M87" s="7">
        <f>M79-M85</f>
        <v/>
      </c>
      <c r="N87" s="7">
        <f>N79-N85</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f>MAX(0,E90)*$D$61</f>
        <v/>
      </c>
      <c r="F91" s="18">
        <f>MAX(0,F90)*$D$61</f>
        <v/>
      </c>
      <c r="G91" s="18">
        <f>MAX(0,G90)*$D$61</f>
        <v/>
      </c>
      <c r="H91" s="18">
        <f>MAX(0,H90)*$D$61</f>
        <v/>
      </c>
      <c r="I91" s="18">
        <f>MAX(0,I90)*$D$61</f>
        <v/>
      </c>
      <c r="J91" s="18">
        <f>MAX(0,J90)*$D$61</f>
        <v/>
      </c>
      <c r="K91" s="18">
        <f>MAX(0,K90)*$D$61</f>
        <v/>
      </c>
      <c r="L91" s="18">
        <f>MAX(0,L90)*$D$61</f>
        <v/>
      </c>
      <c r="M91" s="18">
        <f>MAX(0,M90)*$D$61</f>
        <v/>
      </c>
      <c r="N91" s="18">
        <f>MAX(0,N90)*$D$61</f>
        <v/>
      </c>
    </row>
    <row r="92">
      <c r="A92" s="5" t="inlineStr">
        <is>
          <t>Major Maintenance</t>
        </is>
      </c>
      <c r="B92" s="6" t="inlineStr">
        <is>
          <t>$mm</t>
        </is>
      </c>
      <c r="C92" s="6" t="inlineStr">
        <is>
          <t>HGP in specified year</t>
        </is>
      </c>
      <c r="E92" s="21">
        <f>IF(1=$D$49,$D$50,0)</f>
        <v/>
      </c>
      <c r="F92" s="21">
        <f>IF(2=$D$49,$D$50,0)</f>
        <v/>
      </c>
      <c r="G92" s="21">
        <f>IF(3=$D$49,$D$50,0)</f>
        <v/>
      </c>
      <c r="H92" s="21">
        <f>IF(4=$D$49,$D$50,0)</f>
        <v/>
      </c>
      <c r="I92" s="21">
        <f>IF(5=$D$49,$D$50,0)</f>
        <v/>
      </c>
      <c r="J92" s="21">
        <f>IF(6=$D$49,$D$50,0)</f>
        <v/>
      </c>
      <c r="K92" s="21">
        <f>IF(7=$D$49,$D$50,0)</f>
        <v/>
      </c>
      <c r="L92" s="21">
        <f>IF(8=$D$49,$D$50,0)</f>
        <v/>
      </c>
      <c r="M92" s="21">
        <f>IF(9=$D$49,$D$50,0)</f>
        <v/>
      </c>
      <c r="N92" s="21">
        <f>IF(10=$D$49,$D$50,0)</f>
        <v/>
      </c>
    </row>
    <row r="93">
      <c r="A93" s="5" t="inlineStr">
        <is>
          <t>CFADS</t>
        </is>
      </c>
      <c r="B93" s="6" t="inlineStr">
        <is>
          <t>$mm</t>
        </is>
      </c>
      <c r="C93" s="6" t="inlineStr">
        <is>
          <t>EBITDA - Taxes - Maint</t>
        </is>
      </c>
      <c r="E93" s="7">
        <f>E87-E91-E92</f>
        <v/>
      </c>
      <c r="F93" s="7">
        <f>F87-F91-F92</f>
        <v/>
      </c>
      <c r="G93" s="7">
        <f>G87-G91-G92</f>
        <v/>
      </c>
      <c r="H93" s="7">
        <f>H87-H91-H92</f>
        <v/>
      </c>
      <c r="I93" s="7">
        <f>I87-I91-I92</f>
        <v/>
      </c>
      <c r="J93" s="7">
        <f>J87-J91-J92</f>
        <v/>
      </c>
      <c r="K93" s="7">
        <f>K87-K91-K92</f>
        <v/>
      </c>
      <c r="L93" s="7">
        <f>L87-L91-L92</f>
        <v/>
      </c>
      <c r="M93" s="7">
        <f>M87-M91-M92</f>
        <v/>
      </c>
      <c r="N93" s="7">
        <f>N87-N91-N92</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D96"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f>E96*$D$54</f>
        <v/>
      </c>
      <c r="F97" s="18">
        <f>F96*$D$54</f>
        <v/>
      </c>
      <c r="G97" s="18">
        <f>G96*$D$54</f>
        <v/>
      </c>
      <c r="H97" s="18">
        <f>H96*$D$54</f>
        <v/>
      </c>
      <c r="I97" s="18">
        <f>I96*$D$54</f>
        <v/>
      </c>
      <c r="J97" s="18">
        <f>J96*$D$54</f>
        <v/>
      </c>
      <c r="K97" s="18">
        <f>K96*$D$54</f>
        <v/>
      </c>
      <c r="L97" s="18">
        <f>L96*$D$54</f>
        <v/>
      </c>
      <c r="M97" s="18">
        <f>M96*$D$54</f>
        <v/>
      </c>
      <c r="N97" s="18">
        <f>N96*$D$54</f>
        <v/>
      </c>
    </row>
    <row r="98">
      <c r="A98" s="5" t="inlineStr">
        <is>
          <t>Scheduled Principal</t>
        </is>
      </c>
      <c r="B98" s="6" t="inlineStr">
        <is>
          <t>$mm</t>
        </is>
      </c>
      <c r="C98" s="6" t="inlineStr">
        <is>
          <t>MIN(Sched, Beg Bal)</t>
        </is>
      </c>
      <c r="E98" s="18">
        <f>MIN($D$70,E96)</f>
        <v/>
      </c>
      <c r="F98" s="18">
        <f>MIN($D$70,F96)</f>
        <v/>
      </c>
      <c r="G98" s="18">
        <f>MIN($D$70,G96)</f>
        <v/>
      </c>
      <c r="H98" s="18">
        <f>MIN($D$70,H96)</f>
        <v/>
      </c>
      <c r="I98" s="18">
        <f>MIN($D$70,I96)</f>
        <v/>
      </c>
      <c r="J98" s="18">
        <f>MIN($D$70,J96)</f>
        <v/>
      </c>
      <c r="K98" s="18">
        <f>MIN($D$70,K96)</f>
        <v/>
      </c>
      <c r="L98" s="18">
        <f>MIN($D$70,L96)</f>
        <v/>
      </c>
      <c r="M98" s="18">
        <f>MIN($D$70,M96)</f>
        <v/>
      </c>
      <c r="N98" s="18">
        <f>MIN($D$70,N96)</f>
        <v/>
      </c>
    </row>
    <row r="99">
      <c r="A99" s="5" t="inlineStr">
        <is>
          <t>Debt Service (Pre-Sweep)</t>
        </is>
      </c>
      <c r="B99" s="6" t="inlineStr">
        <is>
          <t>$mm</t>
        </is>
      </c>
      <c r="C99" s="6" t="inlineStr">
        <is>
          <t>Interest + Sched Prin</t>
        </is>
      </c>
      <c r="E99" s="18">
        <f>E97+E98</f>
        <v/>
      </c>
      <c r="F99" s="18">
        <f>F97+F98</f>
        <v/>
      </c>
      <c r="G99" s="18">
        <f>G97+G98</f>
        <v/>
      </c>
      <c r="H99" s="18">
        <f>H97+H98</f>
        <v/>
      </c>
      <c r="I99" s="18">
        <f>I97+I98</f>
        <v/>
      </c>
      <c r="J99" s="18">
        <f>J97+J98</f>
        <v/>
      </c>
      <c r="K99" s="18">
        <f>K97+K98</f>
        <v/>
      </c>
      <c r="L99" s="18">
        <f>L97+L98</f>
        <v/>
      </c>
      <c r="M99" s="18">
        <f>M97+M98</f>
        <v/>
      </c>
      <c r="N99" s="18">
        <f>N97+N98</f>
        <v/>
      </c>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f>MIN(E100*$D$57,MAX(0,E96-E98))</f>
        <v/>
      </c>
      <c r="F101" s="21">
        <f>MIN(F100*$D$57,MAX(0,F96-F98))</f>
        <v/>
      </c>
      <c r="G101" s="21">
        <f>MIN(G100*$D$57,MAX(0,G96-G98))</f>
        <v/>
      </c>
      <c r="H101" s="21">
        <f>MIN(H100*$D$57,MAX(0,H96-H98))</f>
        <v/>
      </c>
      <c r="I101" s="21">
        <f>MIN(I100*$D$57,MAX(0,I96-I98))</f>
        <v/>
      </c>
      <c r="J101" s="21">
        <f>MIN(J100*$D$57,MAX(0,J96-J98))</f>
        <v/>
      </c>
      <c r="K101" s="21">
        <f>MIN(K100*$D$57,MAX(0,K96-K98))</f>
        <v/>
      </c>
      <c r="L101" s="21">
        <f>MIN(L100*$D$57,MAX(0,L96-L98))</f>
        <v/>
      </c>
      <c r="M101" s="21">
        <f>MIN(M100*$D$57,MAX(0,M96-M98))</f>
        <v/>
      </c>
      <c r="N101" s="21">
        <f>MIN(N100*$D$57,MAX(0,N96-N98))</f>
        <v/>
      </c>
    </row>
    <row r="102">
      <c r="A102" s="5" t="inlineStr">
        <is>
          <t>Total Principal</t>
        </is>
      </c>
      <c r="B102" s="6" t="inlineStr">
        <is>
          <t>$mm</t>
        </is>
      </c>
      <c r="C102" s="6" t="inlineStr">
        <is>
          <t>Scheduled + Sweep</t>
        </is>
      </c>
      <c r="E102" s="18">
        <f>E98+E101</f>
        <v/>
      </c>
      <c r="F102" s="18">
        <f>F98+F101</f>
        <v/>
      </c>
      <c r="G102" s="18">
        <f>G98+G101</f>
        <v/>
      </c>
      <c r="H102" s="18">
        <f>H98+H101</f>
        <v/>
      </c>
      <c r="I102" s="18">
        <f>I98+I101</f>
        <v/>
      </c>
      <c r="J102" s="18">
        <f>J98+J101</f>
        <v/>
      </c>
      <c r="K102" s="18">
        <f>K98+K101</f>
        <v/>
      </c>
      <c r="L102" s="18">
        <f>L98+L101</f>
        <v/>
      </c>
      <c r="M102" s="18">
        <f>M98+M101</f>
        <v/>
      </c>
      <c r="N102" s="18">
        <f>N98+N101</f>
        <v/>
      </c>
    </row>
    <row r="103">
      <c r="A103" s="5" t="inlineStr">
        <is>
          <t>Ending Balance</t>
        </is>
      </c>
      <c r="B103" s="6" t="inlineStr">
        <is>
          <t>$mm</t>
        </is>
      </c>
      <c r="C103" s="6" t="inlineStr">
        <is>
          <t>MAX(0, Beg - Total Prin)</t>
        </is>
      </c>
      <c r="D103">
        <f>$D$68</f>
        <v/>
      </c>
      <c r="E103" s="18">
        <f>MAX(0,E96-E102)</f>
        <v/>
      </c>
      <c r="F103" s="18">
        <f>MAX(0,F96-F102)</f>
        <v/>
      </c>
      <c r="G103" s="18">
        <f>MAX(0,G96-G102)</f>
        <v/>
      </c>
      <c r="H103" s="18">
        <f>MAX(0,H96-H102)</f>
        <v/>
      </c>
      <c r="I103" s="18">
        <f>MAX(0,I96-I102)</f>
        <v/>
      </c>
      <c r="J103" s="18">
        <f>MAX(0,J96-J102)</f>
        <v/>
      </c>
      <c r="K103" s="18">
        <f>MAX(0,K96-K102)</f>
        <v/>
      </c>
      <c r="L103" s="18">
        <f>MAX(0,L96-L102)</f>
        <v/>
      </c>
      <c r="M103" s="18">
        <f>MAX(0,M96-M102)</f>
        <v/>
      </c>
      <c r="N103" s="18">
        <f>MAX(0,N96-N102)</f>
        <v/>
      </c>
    </row>
    <row r="104">
      <c r="A104" s="5" t="inlineStr">
        <is>
          <t>DSCR</t>
        </is>
      </c>
      <c r="B104" s="6" t="inlineStr">
        <is>
          <t>x</t>
        </is>
      </c>
      <c r="C104" s="6" t="inlineStr">
        <is>
          <t>CFADS / Debt Service</t>
        </is>
      </c>
      <c r="E104" s="24">
        <f>IF(E99&gt;0,E93/E99,0)</f>
        <v/>
      </c>
      <c r="F104" s="24">
        <f>IF(F99&gt;0,F93/F99,0)</f>
        <v/>
      </c>
      <c r="G104" s="24">
        <f>IF(G99&gt;0,G93/G99,0)</f>
        <v/>
      </c>
      <c r="H104" s="24">
        <f>IF(H99&gt;0,H93/H99,0)</f>
        <v/>
      </c>
      <c r="I104" s="24">
        <f>IF(I99&gt;0,I93/I99,0)</f>
        <v/>
      </c>
      <c r="J104" s="24">
        <f>IF(J99&gt;0,J93/J99,0)</f>
        <v/>
      </c>
      <c r="K104" s="24">
        <f>IF(K99&gt;0,K93/K99,0)</f>
        <v/>
      </c>
      <c r="L104" s="24">
        <f>IF(L99&gt;0,L93/L99,0)</f>
        <v/>
      </c>
      <c r="M104" s="24">
        <f>IF(M99&gt;0,M93/M99,0)</f>
        <v/>
      </c>
      <c r="N104" s="24">
        <f>IF(N99&gt;0,N93/N99,0)</f>
        <v/>
      </c>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inlineStr"/>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inlineStr"/>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$D$28</f>
        <v/>
      </c>
    </row>
    <row r="120">
      <c r="A120" s="5" t="inlineStr">
        <is>
          <t xml:space="preserve">  Transaction Fees</t>
        </is>
      </c>
      <c r="B120" s="6" t="inlineStr">
        <is>
          <t>$mm</t>
        </is>
      </c>
      <c r="C120" s="6" t="inlineStr"/>
      <c r="D120" s="18">
        <f>$D$28*$D$29</f>
        <v/>
      </c>
    </row>
    <row r="121">
      <c r="A121" s="5" t="inlineStr">
        <is>
          <t xml:space="preserve">  DSRA Funding</t>
        </is>
      </c>
      <c r="B121" s="6" t="inlineStr">
        <is>
          <t>$mm</t>
        </is>
      </c>
      <c r="C121" s="6" t="inlineStr"/>
      <c r="D121" s="18">
        <f>E107</f>
        <v/>
      </c>
    </row>
    <row r="122">
      <c r="A122" s="5" t="inlineStr">
        <is>
          <t>Total Uses</t>
        </is>
      </c>
      <c r="B122" s="6" t="inlineStr">
        <is>
          <t>$mm</t>
        </is>
      </c>
      <c r="C122" s="6" t="inlineStr"/>
      <c r="D122" s="7">
        <f>D119+D120+D121</f>
        <v/>
      </c>
    </row>
    <row r="124">
      <c r="A124" s="23" t="inlineStr">
        <is>
          <t>SOURCES</t>
        </is>
      </c>
      <c r="B124" s="6" t="inlineStr"/>
      <c r="C124" s="6" t="inlineStr"/>
    </row>
    <row r="125">
      <c r="A125" s="5" t="inlineStr">
        <is>
          <t xml:space="preserve">  Debt</t>
        </is>
      </c>
      <c r="B125" s="6" t="inlineStr">
        <is>
          <t>$mm</t>
        </is>
      </c>
      <c r="C125" s="6" t="inlineStr"/>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inlineStr"/>
      <c r="D127" s="7">
        <f>D125+D126</f>
        <v/>
      </c>
    </row>
    <row r="128">
      <c r="A128" s="5" t="inlineStr">
        <is>
          <t>Balance Check</t>
        </is>
      </c>
      <c r="B128" s="6" t="inlineStr"/>
      <c r="C128" s="6" t="inlineStr"/>
      <c r="D128" s="10">
        <f>IF(ABS(D122-D127)&lt;0.01,"PASS","FAIL")</f>
        <v/>
      </c>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f>K87*$D$30</f>
        <v/>
      </c>
      <c r="K131" s="18">
        <f>$D$19*K75</f>
        <v/>
      </c>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inlineStr"/>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25">
        <f>IRR(D137:N137)</f>
        <v/>
      </c>
    </row>
    <row r="139">
      <c r="A139" s="5" t="inlineStr">
        <is>
          <t>MOIC</t>
        </is>
      </c>
      <c r="B139" s="6" t="inlineStr">
        <is>
          <t>x</t>
        </is>
      </c>
      <c r="C139" s="6" t="inlineStr">
        <is>
          <t>Sum inflows / outflow</t>
        </is>
      </c>
      <c r="D139" s="24">
        <f>(SUM(E137:K137))/-D137</f>
        <v/>
      </c>
    </row>
    <row r="141">
      <c r="A141" s="23" t="inlineStr">
        <is>
          <t>Unlevered Returns (for reference)</t>
        </is>
      </c>
      <c r="B141" s="6" t="inlineStr"/>
      <c r="C141" s="6" t="inlineStr"/>
    </row>
    <row r="142">
      <c r="A142" s="5" t="inlineStr">
        <is>
          <t>Unlevered Cash Flow</t>
        </is>
      </c>
      <c r="B142" s="6" t="inlineStr">
        <is>
          <t>$mm</t>
        </is>
      </c>
      <c r="C142" s="6" t="inlineStr"/>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25">
        <f>IRR(D142:N142)</f>
        <v/>
      </c>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c r="B5" s="46" t="n"/>
      <c r="C5" s="46" t="n"/>
      <c r="D5" s="46" t="n"/>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5" t="inlineStr">
        <is>
          <t>─────────── PROJECT FINANCE COVERAGE ───────────</t>
        </is>
      </c>
    </row>
    <row r="123">
      <c r="A123" t="inlineStr">
        <is>
          <t>LLCR (Loan Life Coverage)</t>
        </is>
      </c>
      <c r="B123" t="inlineStr">
        <is>
          <t>x</t>
        </is>
      </c>
      <c r="C123" t="inlineStr">
        <is>
          <t>[WHAT] NPV(CFADS over loan life) / Debt; [WHY] Total debt capacity</t>
        </is>
      </c>
      <c r="D123" s="43">
        <f>NPV(D45,E82:K82)/D100</f>
        <v/>
      </c>
    </row>
    <row r="124">
      <c r="A124" t="inlineStr">
        <is>
          <t>PLCR (Project Life Coverage)</t>
        </is>
      </c>
      <c r="B124" t="inlineStr">
        <is>
          <t>x</t>
        </is>
      </c>
      <c r="C124" t="inlineStr">
        <is>
          <t>[WHAT] NPV(CFADS over project life) / Debt; [WHY] Full asset capacity</t>
        </is>
      </c>
      <c r="D124" s="43">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is>
          <t>IRR of Equity CFs</t>
        </is>
      </c>
      <c r="D144" s="25">
        <f>IRR(D125:K125)</f>
        <v/>
      </c>
    </row>
    <row r="145">
      <c r="A145" s="5" t="inlineStr">
        <is>
          <t>MOIC</t>
        </is>
      </c>
      <c r="B145" s="6" t="inlineStr">
        <is>
          <t>x</t>
        </is>
      </c>
      <c r="C145" s="6" t="inlineStr">
        <is>
          <t>Sum inflows / outflow</t>
        </is>
      </c>
      <c r="D145" s="24">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is>
          <t>IRR of Equity CFs</t>
        </is>
      </c>
      <c r="D149" s="25">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2026-01-21T00:54:08Z</dcterms:modified>
</cp:coreProperties>
</file>