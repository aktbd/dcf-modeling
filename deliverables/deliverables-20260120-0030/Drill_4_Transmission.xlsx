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5" borderId="0" pivotButton="0" quotePrefix="0" xfId="0"/>
    <xf numFmtId="166" fontId="0" fillId="5" borderId="0" pivotButton="0" quotePrefix="0" xfId="0"/>
    <xf numFmtId="167" fontId="0" fillId="5" borderId="0" pivotButton="0" quotePrefix="0" xfId="0"/>
    <xf numFmtId="165" fontId="0" fillId="5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2" fillId="5" borderId="0" pivotButton="0" quotePrefix="0" xfId="0"/>
    <xf numFmtId="165" fontId="4" fillId="0" borderId="1" pivotButton="0" quotePrefix="0" xfId="0"/>
    <xf numFmtId="166" fontId="2" fillId="5" borderId="0" pivotButton="0" quotePrefix="0" xfId="0"/>
    <xf numFmtId="165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4" t="inlineStr">
        <is>
          <t>Intuition Guide - 4_Transmission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ELECTRIC TRANSMISSION LINE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Development costs; construction loan drawn</t>
        </is>
      </c>
    </row>
    <row r="10">
      <c r="A10" t="inlineStr">
        <is>
          <t>Year 1 (2026): Major construction; AFUDC accrues</t>
        </is>
      </c>
    </row>
    <row r="11">
      <c r="A11" t="inlineStr">
        <is>
          <t>Year 2 (2027): Construction completion</t>
        </is>
      </c>
    </row>
    <row r="12">
      <c r="A12" t="inlineStr">
        <is>
          <t>Year 3 (2028): COD - Term debt takeout; tariff revenue starts</t>
        </is>
      </c>
    </row>
    <row r="13">
      <c r="A13" t="inlineStr">
        <is>
          <t>Year 10 (2035): Model horizon (asset life 40+ years)</t>
        </is>
      </c>
    </row>
    <row r="15">
      <c r="A15" s="29" t="inlineStr">
        <is>
          <t>--- SITUATION ---</t>
        </is>
      </c>
    </row>
    <row r="16">
      <c r="A16" s="32" t="inlineStr">
        <is>
          <t>Lotus Infrastructure Partners is evaluating equity investment in a
150-mile, 345 kV transmission line under development in SPP. FERC has
approved 10.5% ROE with 50/50 regulatory capital structure.</t>
        </is>
      </c>
    </row>
    <row r="18">
      <c r="A18" s="32" t="inlineStr">
        <is>
          <t>Development began in 2025 (Y0), with construction in 2026-2027 and COD
expected in Year 3 (2028). Total project cost is ~$585mm including
development, construction, and AFUDC during construction.</t>
        </is>
      </c>
    </row>
    <row r="20">
      <c r="A20" s="32" t="inlineStr">
        <is>
          <t>Upon COD, revenue comes from FERC-approved tariff based on rate base and
allowed ROE. The line has 40+ years expected useful life.</t>
        </is>
      </c>
    </row>
    <row r="22">
      <c r="A22" s="32" t="inlineStr">
        <is>
          <t>Lotus is offered $180mm equity during construction. Commitment needed by
March 15, 2026.</t>
        </is>
      </c>
    </row>
    <row r="24">
      <c r="A24" s="29" t="inlineStr">
        <is>
          <t>--- KEY VALUE DRIVERS ---</t>
        </is>
      </c>
    </row>
    <row r="25">
      <c r="A25" t="inlineStr">
        <is>
          <t>* FERC ROE: Allowed return on equity sets revenue requirement</t>
        </is>
      </c>
    </row>
    <row r="26">
      <c r="A26" t="inlineStr">
        <is>
          <t>* Rate Base: Capital invested that earns the allowed return</t>
        </is>
      </c>
    </row>
    <row r="27">
      <c r="A27" t="inlineStr">
        <is>
          <t>* Construction Timing: Delays reduce returns; AFUDC accrues during build</t>
        </is>
      </c>
    </row>
    <row r="28">
      <c r="A28" t="inlineStr">
        <is>
          <t>* Regulatory Risk: ROE can change in FERC rate case proceedings</t>
        </is>
      </c>
    </row>
    <row r="30">
      <c r="A30" s="29" t="inlineStr">
        <is>
          <t>--- STEP-BY-STEP MODEL BUILDING GUIDE ---</t>
        </is>
      </c>
    </row>
    <row r="31">
      <c r="A31" s="32" t="inlineStr">
        <is>
          <t>STEP-BY-STEP MODEL BUILDING GUIDE FOR TRANSMISSION</t>
        </is>
      </c>
    </row>
    <row r="32">
      <c r="A32" s="32" t="inlineStr"/>
    </row>
    <row r="33">
      <c r="A33" s="32" t="inlineStr">
        <is>
          <t>KEY DIFFERENCES:</t>
        </is>
      </c>
    </row>
    <row r="34">
      <c r="A34" s="32" t="inlineStr">
        <is>
          <t>- CONSTRUCTION PERIOD before operations</t>
        </is>
      </c>
    </row>
    <row r="35">
      <c r="A35" s="32" t="inlineStr">
        <is>
          <t>- AFUDC (capitalized interest) accrues to rate base</t>
        </is>
      </c>
    </row>
    <row r="36">
      <c r="A36" s="32" t="inlineStr">
        <is>
          <t>- Revenue is REGULATED formula, not market prices</t>
        </is>
      </c>
    </row>
    <row r="37">
      <c r="A37" s="32" t="inlineStr">
        <is>
          <t>- Two financing events: Construction loan -&gt; Term debt takeout</t>
        </is>
      </c>
    </row>
    <row r="38">
      <c r="A38" s="32" t="inlineStr"/>
    </row>
    <row r="39">
      <c r="A39" s="32" t="inlineStr">
        <is>
          <t>1. CONSTRUCTION PERIOD (Years 0-2)</t>
        </is>
      </c>
    </row>
    <row r="40">
      <c r="A40" s="32" t="inlineStr">
        <is>
          <t xml:space="preserve">   Development Costs: $35mm</t>
        </is>
      </c>
    </row>
    <row r="41">
      <c r="A41" s="32" t="inlineStr">
        <is>
          <t xml:space="preserve">   Construction Costs: $550mm</t>
        </is>
      </c>
    </row>
    <row r="42">
      <c r="A42" s="32" t="inlineStr">
        <is>
          <t xml:space="preserve">   Construction Loan: 85% of construction</t>
        </is>
      </c>
    </row>
    <row r="43">
      <c r="A43" s="32" t="inlineStr">
        <is>
          <t xml:space="preserve">   AFUDC = Const Loan x Interest x Avg Period = ~$35mm</t>
        </is>
      </c>
    </row>
    <row r="44">
      <c r="A44" s="32" t="inlineStr">
        <is>
          <t xml:space="preserve">   AFUDC accrues to Rate Base (non-cash during construction)</t>
        </is>
      </c>
    </row>
    <row r="45">
      <c r="A45" s="32" t="inlineStr"/>
    </row>
    <row r="46">
      <c r="A46" s="32" t="inlineStr">
        <is>
          <t>2. RATE BASE AT COD (Year 3)</t>
        </is>
      </c>
    </row>
    <row r="47">
      <c r="A47" s="32" t="inlineStr">
        <is>
          <t xml:space="preserve">   Rate Base = Development + Construction + AFUDC</t>
        </is>
      </c>
    </row>
    <row r="48">
      <c r="A48" s="32" t="inlineStr">
        <is>
          <t xml:space="preserve">   = $35mm + $550mm + ~$35mm = ~$620mm</t>
        </is>
      </c>
    </row>
    <row r="49">
      <c r="A49" s="32" t="inlineStr"/>
    </row>
    <row r="50">
      <c r="A50" s="32" t="inlineStr">
        <is>
          <t>3. TERM DEBT TAKEOUT AT COD</t>
        </is>
      </c>
    </row>
    <row r="51">
      <c r="A51" s="32" t="inlineStr">
        <is>
          <t xml:space="preserve">   At COD, Construction Loan repaid by Term Debt</t>
        </is>
      </c>
    </row>
    <row r="52">
      <c r="A52" s="32" t="inlineStr">
        <is>
          <t xml:space="preserve">   Term Debt = Rate Base x Regulatory Debt % = $620mm x 50% = $310mm</t>
        </is>
      </c>
    </row>
    <row r="53">
      <c r="A53" s="32" t="inlineStr">
        <is>
          <t xml:space="preserve">   Use RATE BASE (not construction cost) for debt sizing</t>
        </is>
      </c>
    </row>
    <row r="54">
      <c r="A54" s="32" t="inlineStr"/>
    </row>
    <row r="55">
      <c r="A55" s="32" t="inlineStr">
        <is>
          <t>4. REVENUE CALCULATION (Years 3+)</t>
        </is>
      </c>
    </row>
    <row r="56">
      <c r="A56" s="32" t="inlineStr">
        <is>
          <t xml:space="preserve">   Revenue = Rate Base x (ROE + Depreciation/Life + O&amp;M/RB)</t>
        </is>
      </c>
    </row>
    <row r="57">
      <c r="A57" s="32" t="inlineStr"/>
    </row>
    <row r="58">
      <c r="A58" s="32" t="inlineStr">
        <is>
          <t>5. S&amp;U - TWO EVENTS</t>
        </is>
      </c>
    </row>
    <row r="59">
      <c r="A59" s="32" t="inlineStr">
        <is>
          <t xml:space="preserve">   At Close (Y0): Development costs, fees -&gt; Const loan, equity</t>
        </is>
      </c>
    </row>
    <row r="60">
      <c r="A60" s="32" t="inlineStr">
        <is>
          <t xml:space="preserve">   At COD (Y3): Const loan payoff -&gt; Term debt, permanent equity</t>
        </is>
      </c>
    </row>
    <row r="61">
      <c r="A61" s="32" t="inlineStr">
        <is>
          <t xml:space="preserve">   DSRA is a USE (funded by debt/equity), NOT a Source</t>
        </is>
      </c>
    </row>
    <row r="62">
      <c r="A62" s="32" t="inlineStr"/>
    </row>
    <row r="63">
      <c r="A63" s="32" t="inlineStr">
        <is>
          <t>6. SCULPTED DEBT</t>
        </is>
      </c>
    </row>
    <row r="64">
      <c r="A64" s="32" t="inlineStr">
        <is>
          <t xml:space="preserve">   Regulated cash flows support sculpted debt at 1.40x DSCR</t>
        </is>
      </c>
    </row>
    <row r="66">
      <c r="A66" s="29" t="inlineStr">
        <is>
          <t>--- HOW TO AVOID CIRCULARITY ---</t>
        </is>
      </c>
    </row>
    <row r="67">
      <c r="A67" t="inlineStr">
        <is>
          <t>TRANSMISSION - SPECIAL CONSIDERATIONS</t>
        </is>
      </c>
    </row>
    <row r="69">
      <c r="A69" t="inlineStr">
        <is>
          <t>No sweep mechanics - sculpted debt only.</t>
        </is>
      </c>
    </row>
    <row r="70">
      <c r="A70" t="inlineStr">
        <is>
          <t>AFUDC creates complexity but not circularity.</t>
        </is>
      </c>
    </row>
    <row r="72">
      <c r="A72" t="inlineStr">
        <is>
          <t>S&amp;U RULES:</t>
        </is>
      </c>
    </row>
    <row r="73">
      <c r="A73" t="inlineStr">
        <is>
          <t>- DSRA is a Use, NOT a Source</t>
        </is>
      </c>
    </row>
    <row r="74">
      <c r="A74" t="inlineStr">
        <is>
          <t>- Balance check compares Total Uses vs Total Sources</t>
        </is>
      </c>
    </row>
    <row r="75">
      <c r="A75" t="inlineStr">
        <is>
          <t>- Construction loan payoff must be included at COD</t>
        </is>
      </c>
    </row>
    <row r="77">
      <c r="A77" s="29" t="inlineStr">
        <is>
          <t>--- ALTERNATIVE SCENARIOS ---</t>
        </is>
      </c>
    </row>
    <row r="78">
      <c r="A78" t="inlineStr">
        <is>
          <t>ALTERNATIVE SCENARIOS</t>
        </is>
      </c>
    </row>
    <row r="80">
      <c r="A80" t="inlineStr">
        <is>
          <t>A. Acquisition at COD (No Construction):</t>
        </is>
      </c>
    </row>
    <row r="81">
      <c r="A81" t="inlineStr">
        <is>
          <t xml:space="preserve">   - Skip construction period</t>
        </is>
      </c>
    </row>
    <row r="82">
      <c r="A82" t="inlineStr">
        <is>
          <t xml:space="preserve">   - Buy operating asset at Rate Base multiple</t>
        </is>
      </c>
    </row>
    <row r="84">
      <c r="A84" t="inlineStr">
        <is>
          <t>B. Rate Case During Hold:</t>
        </is>
      </c>
    </row>
    <row r="85">
      <c r="A85" t="inlineStr">
        <is>
          <t xml:space="preserve">   - ROE may change in rate proceedings</t>
        </is>
      </c>
    </row>
    <row r="86">
      <c r="A86" t="inlineStr">
        <is>
          <t xml:space="preserve">   - Model +/- 50bp ROE sensitivity</t>
        </is>
      </c>
    </row>
    <row r="88">
      <c r="A88" t="inlineStr">
        <is>
          <t>C. Rate Base Growth:</t>
        </is>
      </c>
    </row>
    <row r="89">
      <c r="A89" t="inlineStr">
        <is>
          <t xml:space="preserve">   - Capital additions over time</t>
        </is>
      </c>
    </row>
    <row r="90">
      <c r="A90" t="inlineStr">
        <is>
          <t xml:space="preserve">   - Growing rate base = growing earnings</t>
        </is>
      </c>
    </row>
    <row r="92">
      <c r="A92" s="29" t="inlineStr">
        <is>
          <t>--- QA CHECKS ---</t>
        </is>
      </c>
    </row>
    <row r="93">
      <c r="A93" t="inlineStr">
        <is>
          <t>QA CHECKS</t>
        </is>
      </c>
    </row>
    <row r="95">
      <c r="A95" t="inlineStr">
        <is>
          <t>1. AFUDC included in Rate Base at COD</t>
        </is>
      </c>
    </row>
    <row r="96">
      <c r="A96" t="inlineStr">
        <is>
          <t>2. S&amp;U balances at BOTH close and COD</t>
        </is>
      </c>
    </row>
    <row r="97">
      <c r="A97" t="inlineStr">
        <is>
          <t>3. DSRA is only a Use, never a Source</t>
        </is>
      </c>
    </row>
    <row r="98">
      <c r="A98" t="inlineStr">
        <is>
          <t>4. Revenue ties to rate base x allowed returns</t>
        </is>
      </c>
    </row>
    <row r="99">
      <c r="A99" t="inlineStr">
        <is>
          <t>5. ROE sensitivity shows material impact</t>
        </is>
      </c>
    </row>
    <row r="101">
      <c r="A101" s="29" t="inlineStr">
        <is>
          <t>--- HINTS &amp; PITFALLS ---</t>
        </is>
      </c>
    </row>
    <row r="102">
      <c r="A102" s="30" t="inlineStr">
        <is>
          <t>* AFUDC is often $20-40mm - don't forget to capitalize it</t>
        </is>
      </c>
    </row>
    <row r="103">
      <c r="A103" s="30" t="inlineStr">
        <is>
          <t>* 50bp ROE change at 10x rate base = 5% equity value impact</t>
        </is>
      </c>
    </row>
    <row r="104">
      <c r="A104" s="30" t="inlineStr">
        <is>
          <t>* Construction delays kill returns - model delay scenarios</t>
        </is>
      </c>
    </row>
    <row r="105">
      <c r="A105" s="30" t="inlineStr">
        <is>
          <t>* DSRA is a Use funded by debt/equity, NOT a source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AFUDC and how it affects rate base at COD.</t>
        </is>
      </c>
    </row>
    <row r="109">
      <c r="A109" t="inlineStr">
        <is>
          <t>Q: How does a 50bp ROE change affect your equity returns?</t>
        </is>
      </c>
    </row>
    <row r="110">
      <c r="A110" t="inlineStr">
        <is>
          <t>Q: What construction risks would you prioritize in diligence?</t>
        </is>
      </c>
    </row>
    <row r="111">
      <c r="A111" t="inlineStr">
        <is>
          <t>Q: How would you structure the construction loan takeout?</t>
        </is>
      </c>
    </row>
    <row r="113">
      <c r="A113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4" t="inlineStr">
        <is>
          <t>COLD START WORKFLOW (4-Hour Test)</t>
        </is>
      </c>
    </row>
    <row r="116">
      <c r="A116" s="33" t="inlineStr">
        <is>
          <t>Phase 1: Setup (15 min)</t>
        </is>
      </c>
    </row>
    <row r="117">
      <c r="A117" s="35" t="inlineStr">
        <is>
          <t>→ Create workbook, freeze panes at E2</t>
        </is>
      </c>
    </row>
    <row r="118">
      <c r="A118" s="35" t="inlineStr">
        <is>
          <t>→ Set column widths: A=32, B=12, C=38, D-N=14</t>
        </is>
      </c>
    </row>
    <row r="119">
      <c r="A119" s="35" t="inlineStr">
        <is>
          <t>→ Build year headers: Y0 (2025), Y1 (2026), ... Y10 (2035)</t>
        </is>
      </c>
    </row>
    <row r="120">
      <c r="A120" s="35" t="inlineStr">
        <is>
          <t>→ Create section placeholders with ═══ dividers</t>
        </is>
      </c>
    </row>
    <row r="122">
      <c r="A122" s="33" t="inlineStr">
        <is>
          <t>Phase 2: Inputs &amp; S&amp;U (30 min)</t>
        </is>
      </c>
    </row>
    <row r="123">
      <c r="A123" s="35" t="inlineStr">
        <is>
          <t>→ Transaction: Entry EV, Fees %, Exit Multiple, Exit Year</t>
        </is>
      </c>
    </row>
    <row r="124">
      <c r="A124" s="35" t="inlineStr">
        <is>
          <t>→ Asset: Capacity, CF/Dispatch, Prices, Escalation</t>
        </is>
      </c>
    </row>
    <row r="125">
      <c r="A125" s="35" t="inlineStr">
        <is>
          <t>→ Financing: Leverage, Rate, Tenor, DSRA months, Sweep %</t>
        </is>
      </c>
    </row>
    <row r="126">
      <c r="A126" s="35" t="inlineStr">
        <is>
          <t>→ Build Uses first, then Sources (balancing item = equity)</t>
        </is>
      </c>
    </row>
    <row r="128">
      <c r="A128" s="33" t="inlineStr">
        <is>
          <t>Phase 3: Operating Model (45 min)</t>
        </is>
      </c>
    </row>
    <row r="129">
      <c r="A129" s="35" t="inlineStr">
        <is>
          <t>→ Generation = Capacity × CF × 8760 (baseload) OR Capacity × Dispatch × Avail (peaker)</t>
        </is>
      </c>
    </row>
    <row r="130">
      <c r="A130" s="35" t="inlineStr">
        <is>
          <t>→ Revenue = Generation × Price / 1E6  (careful: capacity $/kW needs ×1000)</t>
        </is>
      </c>
    </row>
    <row r="131">
      <c r="A131" s="35" t="inlineStr">
        <is>
          <t>→ Fuel = Gen × HR × Gas / 1E9  (CRITICAL: divide by BILLION)</t>
        </is>
      </c>
    </row>
    <row r="132">
      <c r="A132" s="35" t="inlineStr">
        <is>
          <t>→ EBITDA = Revenue - OpEx</t>
        </is>
      </c>
    </row>
    <row r="133">
      <c r="A133" s="35" t="inlineStr">
        <is>
          <t>→ Taxes = MAX(0, Taxable Income) × Rate  (no negative taxes!)</t>
        </is>
      </c>
    </row>
    <row r="135">
      <c r="A135" s="33" t="inlineStr">
        <is>
          <t>Phase 4: Debt Schedule (45 min)</t>
        </is>
      </c>
    </row>
    <row r="136">
      <c r="A136" s="35" t="inlineStr">
        <is>
          <t>→ Beginning Bal Y1 = Funded Debt; Yn = Prior Ending</t>
        </is>
      </c>
    </row>
    <row r="137">
      <c r="A137" s="35" t="inlineStr">
        <is>
          <t>→ Interest = Beg Bal × Rate</t>
        </is>
      </c>
    </row>
    <row r="138">
      <c r="A138" s="35" t="inlineStr">
        <is>
          <t>→ Principal: Straight-line OR Sculpted OR Sweep</t>
        </is>
      </c>
    </row>
    <row r="139">
      <c r="A139" s="35" t="inlineStr">
        <is>
          <t>→ DSCR = CFADS / Debt Service</t>
        </is>
      </c>
    </row>
    <row r="140">
      <c r="A140" s="35" t="inlineStr">
        <is>
          <t>→ DSRA Target = NEXT year's DS × (months/12)  [TRAP: not current year!]</t>
        </is>
      </c>
    </row>
    <row r="142">
      <c r="A142" s="33" t="inlineStr">
        <is>
          <t>Phase 5: Exit &amp; Returns (30 min)</t>
        </is>
      </c>
    </row>
    <row r="143">
      <c r="A143" s="35" t="inlineStr">
        <is>
          <t>→ Exit EV = Exit EBITDA × Multiple</t>
        </is>
      </c>
    </row>
    <row r="144">
      <c r="A144" s="35" t="inlineStr">
        <is>
          <t>→ Exit Equity = Exit EV - Debt Payoff + DSRA Release</t>
        </is>
      </c>
    </row>
    <row r="145">
      <c r="A145" s="35" t="inlineStr">
        <is>
          <t>→ Equity CF row: Y0 = -Entry Equity, Y1-n = Distributions, Exit Year += Exit Equity</t>
        </is>
      </c>
    </row>
    <row r="146">
      <c r="A146" s="35" t="inlineStr">
        <is>
          <t>→ IRR = IRR(Y0:Y10 equity CFs)</t>
        </is>
      </c>
    </row>
    <row r="147">
      <c r="A147" s="35" t="inlineStr">
        <is>
          <t>→ MOIC = (Distributions + Exit) / Entry Equity</t>
        </is>
      </c>
    </row>
    <row r="149">
      <c r="A149" s="33" t="inlineStr">
        <is>
          <t>Phase 6: QA &amp; Polish (15 min)</t>
        </is>
      </c>
    </row>
    <row r="150">
      <c r="A150" s="35" t="inlineStr">
        <is>
          <t>→ S&amp;U Balance Check = PASS</t>
        </is>
      </c>
    </row>
    <row r="151">
      <c r="A151" s="35" t="inlineStr">
        <is>
          <t>→ Debt Payoff Check = PASS (ending bal &lt; $1mm)</t>
        </is>
      </c>
    </row>
    <row r="152">
      <c r="A152" s="35" t="inlineStr">
        <is>
          <t>→ Min DSCR Check = PASS (≥1.25x merchant, ≥1.30x contracted)</t>
        </is>
      </c>
    </row>
    <row r="153">
      <c r="A153" s="35" t="inlineStr">
        <is>
          <t>→ Sanity: DSCR 1.2-2.5x, IRR 12-25%, Fuel $30-50mm (CCGT)</t>
        </is>
      </c>
    </row>
    <row r="156">
      <c r="A156" s="36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9" t="inlineStr">
        <is>
          <t>TOTAL</t>
        </is>
      </c>
      <c r="B169" s="29" t="inlineStr">
        <is>
          <t>4:00</t>
        </is>
      </c>
    </row>
    <row r="172">
      <c r="A172" s="36" t="inlineStr">
        <is>
          <t>DEBT SIZING APPROACHES</t>
        </is>
      </c>
    </row>
    <row r="174">
      <c r="A174" s="33" t="inlineStr">
        <is>
          <t>1. STRAIGHT-LINE (Simplest)</t>
        </is>
      </c>
    </row>
    <row r="175">
      <c r="A175" s="35" t="inlineStr">
        <is>
          <t xml:space="preserve">  Principal = Debt Amount / Tenor</t>
        </is>
      </c>
    </row>
    <row r="176">
      <c r="A176" s="35" t="inlineStr">
        <is>
          <t xml:space="preserve">  Best for: Quick models, Model_Quick, when told 'ignore sweep'</t>
        </is>
      </c>
    </row>
    <row r="177">
      <c r="A177" s="35" t="inlineStr">
        <is>
          <t xml:space="preserve">  Pros: No circularity, fast to build</t>
        </is>
      </c>
    </row>
    <row r="178">
      <c r="A178" s="35" t="inlineStr">
        <is>
          <t xml:space="preserve">  Cons: May not reflect economic reality</t>
        </is>
      </c>
    </row>
    <row r="180">
      <c r="A180" s="33" t="inlineStr">
        <is>
          <t>2. CASH SWEEP (Merchant)</t>
        </is>
      </c>
    </row>
    <row r="181">
      <c r="A181" s="35" t="inlineStr">
        <is>
          <t xml:space="preserve">  Sweep = Excess Cash × Sweep%  (Excess = CFADS - DS - DSRA)</t>
        </is>
      </c>
    </row>
    <row r="182">
      <c r="A182" s="35" t="inlineStr">
        <is>
          <t xml:space="preserve">  Best for: Merchant assets, volatile CFADS</t>
        </is>
      </c>
    </row>
    <row r="183">
      <c r="A183" s="35" t="inlineStr">
        <is>
          <t xml:space="preserve">  Pros: Realistic for bank debt, de-levers faster</t>
        </is>
      </c>
    </row>
    <row r="184">
      <c r="A184" s="35" t="inlineStr">
        <is>
          <t xml:space="preserve">  Cons: Requires DSRA logic, near-circular (use scheduled_ds trick)</t>
        </is>
      </c>
    </row>
    <row r="186">
      <c r="A186" s="33" t="inlineStr">
        <is>
          <t>3. SCULPTED (Contracted)</t>
        </is>
      </c>
    </row>
    <row r="187">
      <c r="A187" s="35" t="inlineStr">
        <is>
          <t xml:space="preserve">  Target DS = CFADS / Target DSCR; Principal = Target DS - Interest</t>
        </is>
      </c>
    </row>
    <row r="188">
      <c r="A188" s="35" t="inlineStr">
        <is>
          <t xml:space="preserve">  Best for: PPAs, regulated assets, predictable CFADS</t>
        </is>
      </c>
    </row>
    <row r="189">
      <c r="A189" s="35" t="inlineStr">
        <is>
          <t xml:space="preserve">  Pros: Maximizes debt capacity, matches CF profile</t>
        </is>
      </c>
    </row>
    <row r="190">
      <c r="A190" s="35" t="inlineStr">
        <is>
          <t xml:space="preserve">  Cons: More complex, requires CFADS forecast first</t>
        </is>
      </c>
    </row>
    <row r="193">
      <c r="A193" s="36" t="inlineStr">
        <is>
          <t>KEY FORMULA CONCEPTS</t>
        </is>
      </c>
    </row>
    <row r="195">
      <c r="A195" s="33" t="inlineStr">
        <is>
          <t>SPARK SPREAD (Thermal Plants)</t>
        </is>
      </c>
    </row>
    <row r="196">
      <c r="A196" s="35" t="inlineStr">
        <is>
          <t xml:space="preserve">  = Power Price ($/MWh) - Fuel Cost per MWh</t>
        </is>
      </c>
    </row>
    <row r="197">
      <c r="A197" s="35" t="inlineStr">
        <is>
          <t xml:space="preserve">  = Power Price - (Heat Rate × Gas Price / 1000)</t>
        </is>
      </c>
    </row>
    <row r="198">
      <c r="A198" s="35" t="inlineStr">
        <is>
          <t xml:space="preserve">  Example: $45/MWh - (7000 Btu/kWh × $3/mmBtu / 1000) = $45 - $21 = $24/MWh</t>
        </is>
      </c>
    </row>
    <row r="199">
      <c r="A199" s="35" t="inlineStr">
        <is>
          <t xml:space="preserve">  Core margin driver for CCGT/Peaker dispatch economics</t>
        </is>
      </c>
    </row>
    <row r="201">
      <c r="A201" s="33" t="inlineStr">
        <is>
          <t>UCAP (Unforced Capacity)</t>
        </is>
      </c>
    </row>
    <row r="202">
      <c r="A202" s="35" t="inlineStr">
        <is>
          <t xml:space="preserve">  = Nameplate Capacity × (1 - Forced Outage Rate)</t>
        </is>
      </c>
    </row>
    <row r="203">
      <c r="A203" s="35" t="inlineStr">
        <is>
          <t xml:space="preserve">  = 365 MW × (1 - 5%) = 346.75 MW</t>
        </is>
      </c>
    </row>
    <row r="204">
      <c r="A204" s="35" t="inlineStr">
        <is>
          <t xml:space="preserve">  Capacity revenue uses UCAP, not nameplate</t>
        </is>
      </c>
    </row>
    <row r="205">
      <c r="A205" s="35" t="inlineStr">
        <is>
          <t xml:space="preserve">  Capacity Price is $/kW-yr, so: UCAP × Price × 1000 / 1E6</t>
        </is>
      </c>
    </row>
    <row r="207">
      <c r="A207" s="33" t="inlineStr">
        <is>
          <t>LLCR / PLCR (Project Finance)</t>
        </is>
      </c>
    </row>
    <row r="208">
      <c r="A208" s="35" t="inlineStr">
        <is>
          <t xml:space="preserve">  LLCR = NPV(CFADS over loan life) / Debt Outstanding</t>
        </is>
      </c>
    </row>
    <row r="209">
      <c r="A209" s="35" t="inlineStr">
        <is>
          <t xml:space="preserve">  PLCR = NPV(CFADS over project life) / Debt Outstanding</t>
        </is>
      </c>
    </row>
    <row r="210">
      <c r="A210" s="35" t="inlineStr">
        <is>
          <t xml:space="preserve">  LLCR ~1.4x+ typical for investment grade</t>
        </is>
      </c>
    </row>
    <row r="211">
      <c r="A211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150-mile 345kV line, $180mm equity.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29" t="inlineStr">
        <is>
          <t>1. EXECUTIVE SUMMARY</t>
        </is>
      </c>
    </row>
    <row r="4">
      <c r="A4" s="30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29" t="inlineStr">
        <is>
          <t>2. TRANSACTION OVERVIEW</t>
        </is>
      </c>
    </row>
    <row r="7">
      <c r="A7" s="30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29" t="inlineStr">
        <is>
          <t>3. INVESTMENT THESIS</t>
        </is>
      </c>
    </row>
    <row r="10">
      <c r="A10" s="30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29" t="inlineStr">
        <is>
          <t>4. KEY RISKS</t>
        </is>
      </c>
    </row>
    <row r="13">
      <c r="A13" s="30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29" t="inlineStr">
        <is>
          <t>5. MITIGANTS</t>
        </is>
      </c>
    </row>
    <row r="16">
      <c r="A16" s="30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29" t="inlineStr">
        <is>
          <t>6. SENSITIVITIES</t>
        </is>
      </c>
    </row>
    <row r="19">
      <c r="A19" s="30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29" t="inlineStr">
        <is>
          <t>7. RECOMMENDATION</t>
        </is>
      </c>
    </row>
    <row r="22">
      <c r="A22" s="30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Transmission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850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9</v>
      </c>
    </row>
    <row r="15">
      <c r="A15" t="inlineStr">
        <is>
          <t>Exit Year</t>
        </is>
      </c>
      <c r="B15" t="inlineStr">
        <is>
          <t>yr</t>
        </is>
      </c>
      <c r="D15" s="42" t="n">
        <v>20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112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0.75</v>
      </c>
    </row>
    <row r="25">
      <c r="A25" t="inlineStr">
        <is>
          <t>Interest Rate</t>
        </is>
      </c>
      <c r="B25" t="inlineStr">
        <is>
          <t>%</t>
        </is>
      </c>
      <c r="D25" s="42" t="n">
        <v>0.05</v>
      </c>
    </row>
    <row r="26">
      <c r="A26" t="inlineStr">
        <is>
          <t>Debt Tenor</t>
        </is>
      </c>
      <c r="B26" t="inlineStr">
        <is>
          <t>yrs</t>
        </is>
      </c>
      <c r="D26" s="42" t="n">
        <v>20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31" t="inlineStr">
        <is>
          <t>Y0 (2025)</t>
        </is>
      </c>
      <c r="E1" s="31" t="inlineStr">
        <is>
          <t>Y1 (2026)</t>
        </is>
      </c>
      <c r="F1" s="31" t="inlineStr">
        <is>
          <t>Y2 (2027)</t>
        </is>
      </c>
      <c r="G1" s="31" t="inlineStr">
        <is>
          <t>Y3 (2028)</t>
        </is>
      </c>
      <c r="H1" s="31" t="inlineStr">
        <is>
          <t>Y4 (2029)</t>
        </is>
      </c>
      <c r="I1" s="31" t="inlineStr">
        <is>
          <t>Y5 (2030)</t>
        </is>
      </c>
      <c r="J1" s="31" t="inlineStr">
        <is>
          <t>Y6 (2031)</t>
        </is>
      </c>
      <c r="K1" s="31" t="inlineStr">
        <is>
          <t>Y7 (2032)</t>
        </is>
      </c>
      <c r="L1" s="31" t="inlineStr">
        <is>
          <t>Y8 (2033)</t>
        </is>
      </c>
      <c r="M1" s="31" t="inlineStr">
        <is>
          <t>Y9 (2034)</t>
        </is>
      </c>
      <c r="N1" s="31" t="inlineStr">
        <is>
          <t>Y10 (2035)</t>
        </is>
      </c>
    </row>
    <row r="2">
      <c r="A2" s="3" t="inlineStr">
        <is>
          <t>═══ DRILL MODE - Fill in yellow cells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n"/>
      <c r="D3" s="7">
        <f>$D$63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1" t="inlineStr">
        <is>
          <t>IRR Sensitivity:</t>
        </is>
      </c>
      <c r="N3" s="4" t="n"/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G80</f>
        <v/>
      </c>
      <c r="M4" s="52" t="inlineStr">
        <is>
          <t>+/- 5% Entry → ~+/- 1% IRR</t>
        </is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  <c r="M5" s="52" t="inlineStr">
        <is>
          <t>+/- 0.5x Exit → ~+/- 1.5% IRR</t>
        </is>
      </c>
    </row>
    <row r="6">
      <c r="A6" s="44" t="inlineStr">
        <is>
          <t>Min DSCR</t>
        </is>
      </c>
      <c r="B6" s="44" t="inlineStr">
        <is>
          <t>x</t>
        </is>
      </c>
      <c r="C6" s="44" t="inlineStr">
        <is>
          <t>Minimum debt service coverage ratio</t>
        </is>
      </c>
      <c r="D6" s="56">
        <f>IF(COUNTIF(G95:N95,"&gt;0")&gt;0,MINIFS(G95:N95,G95:N95,"&gt;0"),0)</f>
        <v/>
      </c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8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7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n"/>
      <c r="C21" s="6" t="n"/>
      <c r="D21" s="1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5" t="inlineStr">
        <is>
          <t>Debt Payoff Y10</t>
        </is>
      </c>
      <c r="B22" s="6" t="n"/>
      <c r="C22" s="6" t="n"/>
      <c r="D22" s="10">
        <f>IF(N94&lt;1,"PASS","FAIL")</f>
        <v/>
      </c>
    </row>
    <row r="23">
      <c r="A23" s="5" t="inlineStr">
        <is>
          <t>Min DSCR ≥ 1.35x</t>
        </is>
      </c>
      <c r="B23" s="6" t="n"/>
      <c r="C23" s="6" t="inlineStr">
        <is>
          <t>CFADS / Debt Service</t>
        </is>
      </c>
      <c r="D23" s="10">
        <f>IF(D6&gt;=1.35,"PASS","FAIL")</f>
        <v/>
      </c>
    </row>
    <row r="24">
      <c r="A24" s="5" t="n"/>
      <c r="B24" s="6" t="n"/>
      <c r="C24" s="6" t="n"/>
      <c r="D24" s="10" t="n"/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1">
      <c r="A31" s="5" t="n"/>
      <c r="B31" s="6" t="n"/>
      <c r="C31" s="6" t="n"/>
      <c r="D31" s="12" t="n"/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7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6">
      <c r="A36" s="5" t="n"/>
      <c r="B36" s="6" t="n"/>
      <c r="C36" s="6" t="n"/>
      <c r="D36" s="12" t="n"/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7" t="n">
        <v>0.02</v>
      </c>
    </row>
    <row r="40">
      <c r="A40" s="5" t="n"/>
      <c r="B40" s="6" t="n"/>
      <c r="C40" s="6" t="n"/>
      <c r="D40" s="27" t="n"/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7" t="n">
        <v>0.025</v>
      </c>
    </row>
    <row r="44">
      <c r="A44" s="5" t="n"/>
      <c r="B44" s="6" t="n"/>
      <c r="C44" s="6" t="n"/>
      <c r="D44" s="27" t="n"/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7" t="n">
        <v>0.85</v>
      </c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7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7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8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8" t="n">
        <v>1.15</v>
      </c>
    </row>
    <row r="52">
      <c r="A52" s="5" t="n"/>
      <c r="B52" s="6" t="n"/>
      <c r="C52" s="6" t="n"/>
      <c r="D52" s="28" t="n"/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8" t="n">
        <v>1.15</v>
      </c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6">
      <c r="A56" s="5" t="n"/>
      <c r="B56" s="6" t="n"/>
      <c r="C56" s="6" t="n"/>
      <c r="D56" s="12" t="n"/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7" t="n">
        <v>0.25</v>
      </c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n"/>
      <c r="B59" s="6" t="n"/>
      <c r="C59" s="6" t="n"/>
      <c r="D59" s="27" t="n"/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$D$29*$D$46</f>
        <v/>
      </c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$D$61*$D$48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$D$27+$D$28+$D$29+$D$62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$D$63*$D$47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$D$63/$D$35</f>
        <v/>
      </c>
    </row>
    <row r="66">
      <c r="A66" s="5" t="n"/>
      <c r="B66" s="6" t="n"/>
      <c r="C66" s="6" t="n"/>
      <c r="D66" s="15" t="n"/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n"/>
      <c r="D68" s="16">
        <f>$D$27</f>
        <v/>
      </c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Development Equity Y1</t>
        </is>
      </c>
      <c r="B69" s="6" t="inlineStr">
        <is>
          <t>$mm</t>
        </is>
      </c>
      <c r="C69" s="6" t="n"/>
      <c r="D69" s="16" t="n"/>
      <c r="E69" s="16">
        <f>$D$28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E70" s="16" t="n"/>
      <c r="F70" s="16">
        <f>$D$29-$D$61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F71" s="16" t="n"/>
      <c r="G71" s="16">
        <f>$D$61-$D$64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n"/>
      <c r="D72" s="7">
        <f>D68+E69+F70+G71</f>
        <v/>
      </c>
      <c r="G72" s="16" t="n"/>
    </row>
    <row r="73">
      <c r="A73" s="5" t="n"/>
      <c r="B73" s="6" t="n"/>
      <c r="C73" s="6" t="n"/>
      <c r="D73" s="7" t="n"/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D75" s="4" t="n"/>
      <c r="E75" s="15" t="n">
        <v>0</v>
      </c>
      <c r="F75" s="15" t="n">
        <v>0</v>
      </c>
      <c r="G75" s="15">
        <f>$D$38*(1+$D$39)^(1-1)</f>
        <v/>
      </c>
      <c r="H75" s="15">
        <f>$D$38*(1+$D$39)^(2-1)</f>
        <v/>
      </c>
      <c r="I75" s="15">
        <f>$D$38*(1+$D$39)^(3-1)</f>
        <v/>
      </c>
      <c r="J75" s="15">
        <f>$D$38*(1+$D$39)^(4-1)</f>
        <v/>
      </c>
      <c r="K75" s="15">
        <f>$D$38*(1+$D$39)^(5-1)</f>
        <v/>
      </c>
      <c r="L75" s="15">
        <f>$D$38*(1+$D$39)^(6-1)</f>
        <v/>
      </c>
      <c r="M75" s="15">
        <f>$D$38*(1+$D$39)^(7-1)</f>
        <v/>
      </c>
      <c r="N75" s="15">
        <f>$D$38*(1+$D$39)^(8-1)</f>
        <v/>
      </c>
    </row>
    <row r="76">
      <c r="A76" s="5" t="n"/>
      <c r="B76" s="6" t="n"/>
      <c r="C76" s="6" t="n"/>
      <c r="E76" s="15" t="n">
        <v>0</v>
      </c>
      <c r="F76" s="15" t="n">
        <v>0</v>
      </c>
      <c r="G76" s="15">
        <f>$D$33*$D$34*G75/1000</f>
        <v/>
      </c>
      <c r="H76" s="15">
        <f>$D$33*$D$34*H75/1000</f>
        <v/>
      </c>
      <c r="I76" s="15">
        <f>$D$33*$D$34*I75/1000</f>
        <v/>
      </c>
      <c r="J76" s="15">
        <f>$D$33*$D$34*J75/1000</f>
        <v/>
      </c>
      <c r="K76" s="15">
        <f>$D$33*$D$34*K75/1000</f>
        <v/>
      </c>
      <c r="L76" s="15">
        <f>$D$33*$D$34*L75/1000</f>
        <v/>
      </c>
      <c r="M76" s="15">
        <f>$D$33*$D$34*M75/1000</f>
        <v/>
      </c>
      <c r="N76" s="15">
        <f>$D$33*$D$34*N75/1000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</row>
    <row r="79">
      <c r="A79" s="5" t="n"/>
      <c r="B79" s="6" t="n"/>
      <c r="C79" s="6" t="n"/>
      <c r="E79" s="15" t="n">
        <v>0</v>
      </c>
      <c r="F79" s="15" t="n">
        <v>0</v>
      </c>
      <c r="G79" s="53">
        <f>G76-G77</f>
        <v/>
      </c>
      <c r="H79" s="53">
        <f>H76-H77</f>
        <v/>
      </c>
      <c r="I79" s="53">
        <f>I76-I77</f>
        <v/>
      </c>
      <c r="J79" s="53">
        <f>J76-J77</f>
        <v/>
      </c>
      <c r="K79" s="53">
        <f>K76-K77</f>
        <v/>
      </c>
      <c r="L79" s="53">
        <f>L76-L77</f>
        <v/>
      </c>
      <c r="M79" s="53">
        <f>M76-M77</f>
        <v/>
      </c>
      <c r="N79" s="53">
        <f>N76-N77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</row>
    <row r="81">
      <c r="A81" s="5" t="n"/>
      <c r="B81" s="6" t="n"/>
      <c r="C81" s="6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</row>
    <row r="82">
      <c r="A82" s="3" t="inlineStr">
        <is>
          <t>CASH FLOW</t>
        </is>
      </c>
      <c r="B82" s="4" t="n"/>
      <c r="C82" s="4" t="n"/>
      <c r="D82" s="4" t="n"/>
      <c r="E82" s="4" t="n">
        <v>0</v>
      </c>
      <c r="F82" s="4" t="n">
        <v>0</v>
      </c>
      <c r="G82" s="4">
        <f>MAX(0,G79-$D$65)*$D$58</f>
        <v/>
      </c>
      <c r="H82" s="4">
        <f>MAX(0,H79-$D$65)*$D$58</f>
        <v/>
      </c>
      <c r="I82" s="4">
        <f>MAX(0,I79-$D$65)*$D$58</f>
        <v/>
      </c>
      <c r="J82" s="4">
        <f>MAX(0,J79-$D$65)*$D$58</f>
        <v/>
      </c>
      <c r="K82" s="4">
        <f>MAX(0,K79-$D$65)*$D$58</f>
        <v/>
      </c>
      <c r="L82" s="4">
        <f>MAX(0,L79-$D$65)*$D$58</f>
        <v/>
      </c>
      <c r="M82" s="4">
        <f>MAX(0,M79-$D$65)*$D$58</f>
        <v/>
      </c>
      <c r="N82" s="4">
        <f>MAX(0,N79-$D$65)*$D$58</f>
        <v/>
      </c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D83" s="4" t="n"/>
      <c r="E83" s="15" t="n">
        <v>0</v>
      </c>
      <c r="F83" s="15" t="n">
        <v>0</v>
      </c>
      <c r="G83" s="7">
        <f>$D$65</f>
        <v/>
      </c>
      <c r="H83" s="7">
        <f>$D$65</f>
        <v/>
      </c>
      <c r="I83" s="7">
        <f>$D$65</f>
        <v/>
      </c>
      <c r="J83" s="7">
        <f>$D$65</f>
        <v/>
      </c>
      <c r="K83" s="7">
        <f>$D$65</f>
        <v/>
      </c>
      <c r="L83" s="7">
        <f>$D$65</f>
        <v/>
      </c>
      <c r="M83" s="7">
        <f>$D$65</f>
        <v/>
      </c>
      <c r="N83" s="7">
        <f>$D$65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 t="n">
        <v>0</v>
      </c>
      <c r="F84" s="15" t="n">
        <v>0</v>
      </c>
      <c r="G84" s="15">
        <f>G80-G83</f>
        <v/>
      </c>
      <c r="H84" s="15">
        <f>H80-H83</f>
        <v/>
      </c>
      <c r="I84" s="15">
        <f>I80-I83</f>
        <v/>
      </c>
      <c r="J84" s="15">
        <f>J80-J83</f>
        <v/>
      </c>
      <c r="K84" s="15">
        <f>K80-K83</f>
        <v/>
      </c>
      <c r="L84" s="15">
        <f>L80-L83</f>
        <v/>
      </c>
      <c r="M84" s="15">
        <f>M80-M83</f>
        <v/>
      </c>
      <c r="N84" s="15">
        <f>N80-N83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</row>
    <row r="87">
      <c r="A87" s="5" t="n"/>
      <c r="B87" s="6" t="n"/>
      <c r="C87" s="6" t="n"/>
      <c r="D87" t="n">
        <v>0</v>
      </c>
      <c r="E87" s="7" t="n">
        <v>0</v>
      </c>
      <c r="F87" s="7" t="n">
        <v>0</v>
      </c>
      <c r="G87" s="7">
        <f>$D$64</f>
        <v/>
      </c>
      <c r="H87" s="7">
        <f>G92</f>
        <v/>
      </c>
      <c r="I87" s="7">
        <f>H92</f>
        <v/>
      </c>
      <c r="J87" s="7">
        <f>I92</f>
        <v/>
      </c>
      <c r="K87" s="7">
        <f>J92</f>
        <v/>
      </c>
      <c r="L87" s="7">
        <f>K92</f>
        <v/>
      </c>
      <c r="M87" s="7">
        <f>L92</f>
        <v/>
      </c>
      <c r="N87" s="7">
        <f>M92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>
        <v>0</v>
      </c>
      <c r="F88" s="4" t="n">
        <v>0</v>
      </c>
      <c r="G88" s="4">
        <f>G87*$D$48</f>
        <v/>
      </c>
      <c r="H88" s="4">
        <f>H87*$D$48</f>
        <v/>
      </c>
      <c r="I88" s="4">
        <f>I87*$D$48</f>
        <v/>
      </c>
      <c r="J88" s="4">
        <f>J87*$D$48</f>
        <v/>
      </c>
      <c r="K88" s="4">
        <f>K87*$D$48</f>
        <v/>
      </c>
      <c r="L88" s="4">
        <f>L87*$D$48</f>
        <v/>
      </c>
      <c r="M88" s="4">
        <f>M87*$D$48</f>
        <v/>
      </c>
      <c r="N88" s="4">
        <f>N87*$D$48</f>
        <v/>
      </c>
    </row>
    <row r="89">
      <c r="A89" s="5" t="inlineStr">
        <is>
          <t>Beginning Balance</t>
        </is>
      </c>
      <c r="B89" s="6" t="inlineStr">
        <is>
          <t>$mm</t>
        </is>
      </c>
      <c r="C89" s="6" t="n"/>
      <c r="D89" s="4" t="n">
        <v>0</v>
      </c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 t="n"/>
      <c r="F93" s="15" t="n"/>
      <c r="G93" s="54" t="n"/>
      <c r="H93" s="54" t="n"/>
      <c r="I93" s="54" t="n"/>
      <c r="J93" s="54" t="n"/>
      <c r="K93" s="54" t="n"/>
      <c r="L93" s="54" t="n"/>
      <c r="M93" s="54" t="n"/>
      <c r="N93" s="54" t="n"/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</row>
    <row r="96">
      <c r="A96" s="5" t="n"/>
      <c r="B96" s="6" t="n"/>
      <c r="C96" s="6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>
        <v>0</v>
      </c>
      <c r="F97" s="4" t="n">
        <v>0</v>
      </c>
      <c r="G97" s="4">
        <f>H91*$D$49/12</f>
        <v/>
      </c>
      <c r="H97" s="4">
        <f>I91*$D$49/12</f>
        <v/>
      </c>
      <c r="I97" s="4">
        <f>J91*$D$49/12</f>
        <v/>
      </c>
      <c r="J97" s="4">
        <f>K91*$D$49/12</f>
        <v/>
      </c>
      <c r="K97" s="4">
        <f>L91*$D$49/12</f>
        <v/>
      </c>
      <c r="L97" s="4">
        <f>M91*$D$49/12</f>
        <v/>
      </c>
      <c r="M97" s="4">
        <f>N91*$D$49/12</f>
        <v/>
      </c>
      <c r="N97" s="4" t="n">
        <v>0</v>
      </c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 t="n">
        <v>0</v>
      </c>
      <c r="E98" s="15" t="n">
        <v>0</v>
      </c>
      <c r="F98" s="15" t="n">
        <v>0</v>
      </c>
      <c r="G98" s="15">
        <f>H93*$D$49/12</f>
        <v/>
      </c>
      <c r="H98" s="15">
        <f>I93*$D$49/12</f>
        <v/>
      </c>
      <c r="I98" s="15">
        <f>J93*$D$49/12</f>
        <v/>
      </c>
      <c r="J98" s="15">
        <f>K93*$D$49/12</f>
        <v/>
      </c>
      <c r="K98" s="15">
        <f>L93*$D$49/12</f>
        <v/>
      </c>
      <c r="L98" s="15">
        <f>M93*$D$49/12</f>
        <v/>
      </c>
      <c r="M98" s="15">
        <f>N93*$D$49/12</f>
        <v/>
      </c>
      <c r="N98" s="15" t="n">
        <v>0</v>
      </c>
    </row>
    <row r="99">
      <c r="A99" s="5" t="inlineStr">
        <is>
          <t>DSRA Beginning</t>
        </is>
      </c>
      <c r="B99" s="6" t="inlineStr">
        <is>
          <t>$mm</t>
        </is>
      </c>
      <c r="C99" s="6" t="n"/>
      <c r="D99" s="15" t="n">
        <v>0</v>
      </c>
      <c r="E99" s="15" t="n">
        <v>0</v>
      </c>
      <c r="F99" s="15" t="n">
        <v>0</v>
      </c>
      <c r="G99" s="15">
        <f>D114</f>
        <v/>
      </c>
      <c r="H99" s="15">
        <f>G101</f>
        <v/>
      </c>
      <c r="I99" s="15">
        <f>H101</f>
        <v/>
      </c>
      <c r="J99" s="15">
        <f>I101</f>
        <v/>
      </c>
      <c r="K99" s="15">
        <f>J101</f>
        <v/>
      </c>
      <c r="L99" s="15">
        <f>K101</f>
        <v/>
      </c>
      <c r="M99" s="15">
        <f>L101</f>
        <v/>
      </c>
      <c r="N99" s="15">
        <f>M101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 t="n">
        <v>0</v>
      </c>
      <c r="F100" s="15" t="n">
        <v>0</v>
      </c>
      <c r="G100" s="15">
        <f>G98-G99</f>
        <v/>
      </c>
      <c r="H100" s="15">
        <f>H98-H99</f>
        <v/>
      </c>
      <c r="I100" s="15">
        <f>I98-I99</f>
        <v/>
      </c>
      <c r="J100" s="15">
        <f>J98-J99</f>
        <v/>
      </c>
      <c r="K100" s="15">
        <f>K98-K99</f>
        <v/>
      </c>
      <c r="L100" s="15">
        <f>L98-L99</f>
        <v/>
      </c>
      <c r="M100" s="15">
        <f>M98-M99</f>
        <v/>
      </c>
      <c r="N100" s="15">
        <f>N98-N99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 t="n">
        <v>0</v>
      </c>
      <c r="F101" s="15" t="n">
        <v>0</v>
      </c>
      <c r="G101" s="15">
        <f>G99+G100</f>
        <v/>
      </c>
      <c r="H101" s="15">
        <f>H99+H100</f>
        <v/>
      </c>
      <c r="I101" s="15">
        <f>I99+I100</f>
        <v/>
      </c>
      <c r="J101" s="15">
        <f>J99+J100</f>
        <v/>
      </c>
      <c r="K101" s="15">
        <f>K99+K100</f>
        <v/>
      </c>
      <c r="L101" s="15">
        <f>L99+L100</f>
        <v/>
      </c>
      <c r="M101" s="15">
        <f>M99+M100</f>
        <v/>
      </c>
      <c r="N101" s="15">
        <f>N99+N100</f>
        <v/>
      </c>
    </row>
    <row r="102">
      <c r="A102" s="5" t="n"/>
      <c r="B102" s="6" t="n"/>
      <c r="C102" s="6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</row>
    <row r="103">
      <c r="A103" s="3" t="inlineStr">
        <is>
          <t>DISTRIBUTION WATERFALL</t>
        </is>
      </c>
      <c r="B103" s="4" t="n"/>
      <c r="C103" s="4" t="n"/>
      <c r="D103" s="4" t="n"/>
      <c r="E103" s="4" t="n">
        <v>0</v>
      </c>
      <c r="F103" s="4" t="n">
        <v>0</v>
      </c>
      <c r="G103" s="4">
        <f>G83-G91-G99</f>
        <v/>
      </c>
      <c r="H103" s="4">
        <f>H83-H91-H99</f>
        <v/>
      </c>
      <c r="I103" s="4">
        <f>I83-I91-I99</f>
        <v/>
      </c>
      <c r="J103" s="4">
        <f>J83-J91-J99</f>
        <v/>
      </c>
      <c r="K103" s="4">
        <f>K83-K91-K99</f>
        <v/>
      </c>
      <c r="L103" s="4">
        <f>L83-L91-L99</f>
        <v/>
      </c>
      <c r="M103" s="4">
        <f>M83-M91-M99</f>
        <v/>
      </c>
      <c r="N103" s="4">
        <f>N83-N91-N99</f>
        <v/>
      </c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D104" s="4" t="n"/>
      <c r="E104" s="15" t="n">
        <v>0</v>
      </c>
      <c r="F104" s="15" t="n">
        <v>0</v>
      </c>
      <c r="G104" s="15">
        <f>G86-G93-G100</f>
        <v/>
      </c>
      <c r="H104" s="15">
        <f>H86-H93-H100</f>
        <v/>
      </c>
      <c r="I104" s="15">
        <f>I86-I93-I100</f>
        <v/>
      </c>
      <c r="J104" s="15">
        <f>J86-J93-J100</f>
        <v/>
      </c>
      <c r="K104" s="15">
        <f>K86-K93-K100</f>
        <v/>
      </c>
      <c r="L104" s="15">
        <f>L86-L93-L100</f>
        <v/>
      </c>
      <c r="M104" s="15">
        <f>M86-M93-M100</f>
        <v/>
      </c>
      <c r="N104" s="15">
        <f>N86-N93-N100</f>
        <v/>
      </c>
    </row>
    <row r="105">
      <c r="A105" s="5" t="inlineStr">
        <is>
          <t>Lock-up Test</t>
        </is>
      </c>
      <c r="B105" s="6" t="n"/>
      <c r="C105" s="6" t="inlineStr">
        <is>
          <t>PASS if DSCR ≥ Lock-up</t>
        </is>
      </c>
      <c r="E105" s="17" t="inlineStr">
        <is>
          <t>N/A</t>
        </is>
      </c>
      <c r="F105" s="17" t="inlineStr">
        <is>
          <t>N/A</t>
        </is>
      </c>
      <c r="G105" s="17">
        <f>IF(G95&gt;=$D$51,"PASS","LOCKED")</f>
        <v/>
      </c>
      <c r="H105" s="17">
        <f>IF(H95&gt;=$D$51,"PASS","LOCKED")</f>
        <v/>
      </c>
      <c r="I105" s="17">
        <f>IF(I95&gt;=$D$51,"PASS","LOCKED")</f>
        <v/>
      </c>
      <c r="J105" s="17">
        <f>IF(J95&gt;=$D$51,"PASS","LOCKED")</f>
        <v/>
      </c>
      <c r="K105" s="17">
        <f>IF(K95&gt;=$D$51,"PASS","LOCKED")</f>
        <v/>
      </c>
      <c r="L105" s="17">
        <f>IF(L95&gt;=$D$51,"PASS","LOCKED")</f>
        <v/>
      </c>
      <c r="M105" s="17">
        <f>IF(M95&gt;=$D$51,"PASS","LOCKED")</f>
        <v/>
      </c>
      <c r="N105" s="17">
        <f>IF(N95&gt;=$D$51,"PASS","LOCKED")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 t="n">
        <v>0</v>
      </c>
      <c r="F106" s="7" t="n">
        <v>0</v>
      </c>
      <c r="G106" s="7">
        <f>IF(G105="PASS",MAX(0,G104),0)</f>
        <v/>
      </c>
      <c r="H106" s="7">
        <f>IF(H105="PASS",MAX(0,H104),0)</f>
        <v/>
      </c>
      <c r="I106" s="7">
        <f>IF(I105="PASS",MAX(0,I104),0)</f>
        <v/>
      </c>
      <c r="J106" s="7">
        <f>IF(J105="PASS",MAX(0,J104),0)</f>
        <v/>
      </c>
      <c r="K106" s="7">
        <f>IF(K105="PASS",MAX(0,K104),0)</f>
        <v/>
      </c>
      <c r="L106" s="7">
        <f>IF(L105="PASS",MAX(0,L104),0)</f>
        <v/>
      </c>
      <c r="M106" s="7">
        <f>IF(M105="PASS",MAX(0,M104),0)</f>
        <v/>
      </c>
      <c r="N106" s="7">
        <f>IF(N105="PASS",MAX(0,N104),0)</f>
        <v/>
      </c>
    </row>
    <row r="107">
      <c r="A107" s="5" t="n"/>
      <c r="B107" s="6" t="n"/>
      <c r="C107" s="6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n"/>
      <c r="C109" s="6" t="n"/>
      <c r="D109" s="4">
        <f>$D$27+$D$28+$D$29+$D$62</f>
        <v/>
      </c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n"/>
      <c r="D110" s="15">
        <f>$D$27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n"/>
      <c r="D111" s="15">
        <f>$D$28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n"/>
      <c r="D112" s="15">
        <f>$D$29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n"/>
      <c r="D113" s="15">
        <f>$D$62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n"/>
      <c r="D114" s="15">
        <f>G98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n"/>
      <c r="D115" s="7">
        <f>D110+D111+D112+D113+D114</f>
        <v/>
      </c>
    </row>
    <row r="116">
      <c r="A116" s="5" t="n"/>
      <c r="B116" s="6" t="n"/>
      <c r="C116" s="6" t="n"/>
      <c r="D116" s="7" t="n"/>
    </row>
    <row r="117">
      <c r="A117" s="18" t="inlineStr">
        <is>
          <t>SOURCES</t>
        </is>
      </c>
      <c r="B117" s="6" t="n"/>
      <c r="C117" s="6" t="n"/>
      <c r="D117">
        <f>IF(ABS(D111-D115)&lt;0.01,"PASS","FAIL")</f>
        <v/>
      </c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n"/>
      <c r="D118" s="15">
        <f>$D$61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n"/>
      <c r="D119" s="15">
        <f>$D$64</f>
        <v/>
      </c>
    </row>
    <row r="120">
      <c r="A120" s="5" t="inlineStr">
        <is>
          <t xml:space="preserve">  Total Equity</t>
        </is>
      </c>
      <c r="B120" s="6" t="inlineStr">
        <is>
          <t>$mm</t>
        </is>
      </c>
      <c r="C120" s="6" t="n"/>
      <c r="D120" s="15">
        <f>D115-D118-D119+D118</f>
        <v/>
      </c>
    </row>
    <row r="121">
      <c r="A121" s="5" t="inlineStr">
        <is>
          <t>Total Sources</t>
        </is>
      </c>
      <c r="B121" s="6" t="inlineStr">
        <is>
          <t>$mm</t>
        </is>
      </c>
      <c r="C121" s="6" t="n"/>
      <c r="D121" s="7">
        <f>D119+D120</f>
        <v/>
      </c>
    </row>
    <row r="122">
      <c r="A122" s="5" t="inlineStr">
        <is>
          <t>Balance Check</t>
        </is>
      </c>
      <c r="B122" s="6" t="n"/>
      <c r="C122" s="6" t="n"/>
      <c r="D122" s="10">
        <f>IF(ABS(D115-D121)&lt;0.01,"PASS","FAIL")</f>
        <v/>
      </c>
    </row>
    <row r="123">
      <c r="A123" s="5" t="n"/>
      <c r="B123" s="6" t="n"/>
      <c r="C123" s="6" t="n"/>
      <c r="D123" s="10">
        <f>N100</f>
        <v/>
      </c>
    </row>
    <row r="124">
      <c r="A124" s="3" t="inlineStr">
        <is>
          <t>EXIT CALCULATIONS</t>
        </is>
      </c>
      <c r="B124" s="4" t="n"/>
      <c r="C124" s="4" t="n"/>
      <c r="D124" s="4">
        <f>D121-D122+D123</f>
        <v/>
      </c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Cumulative Depreciation</t>
        </is>
      </c>
      <c r="B125" s="6" t="inlineStr">
        <is>
          <t>$mm</t>
        </is>
      </c>
      <c r="C125" s="6" t="inlineStr">
        <is>
          <t>Dep × Operating Years</t>
        </is>
      </c>
      <c r="D125" s="4">
        <f>$D$65*(10-3+1)</f>
        <v/>
      </c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15">
        <f>$D$55*8</f>
        <v/>
      </c>
    </row>
    <row r="126">
      <c r="A126" s="5" t="inlineStr">
        <is>
          <t>Exit RAB</t>
        </is>
      </c>
      <c r="B126" s="6" t="inlineStr">
        <is>
          <t>$mm</t>
        </is>
      </c>
      <c r="C126" s="6" t="inlineStr">
        <is>
          <t>RAB at COD - Cum Dep</t>
        </is>
      </c>
      <c r="D126">
        <f>$D$63-D125</f>
        <v/>
      </c>
      <c r="N126" s="15">
        <f>$D$53-N115</f>
        <v/>
      </c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RAB × xRAB Multiple</t>
        </is>
      </c>
      <c r="D127">
        <f>D126*$D$54</f>
        <v/>
      </c>
      <c r="E127">
        <f>-E69</f>
        <v/>
      </c>
      <c r="F127">
        <f>-F70</f>
        <v/>
      </c>
      <c r="G127">
        <f>-G71+G105</f>
        <v/>
      </c>
      <c r="H127">
        <f>H105</f>
        <v/>
      </c>
      <c r="I127">
        <f>I105</f>
        <v/>
      </c>
      <c r="J127">
        <f>J105</f>
        <v/>
      </c>
      <c r="K127">
        <f>K105</f>
        <v/>
      </c>
      <c r="L127">
        <f>L105</f>
        <v/>
      </c>
      <c r="M127">
        <f>M105</f>
        <v/>
      </c>
      <c r="N127" s="15">
        <f>N105+D124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D128" s="55">
        <f>N94</f>
        <v/>
      </c>
      <c r="N128" s="15">
        <f>N84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D129" s="56">
        <f>N101</f>
        <v/>
      </c>
      <c r="N129" s="15">
        <f>N91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D130">
        <f>D127-D128+D129</f>
        <v/>
      </c>
      <c r="N130" s="7">
        <f>N117-N118+N119</f>
        <v/>
      </c>
    </row>
    <row r="131">
      <c r="A131" s="5" t="n"/>
      <c r="B131" s="6" t="n"/>
      <c r="C131" s="6" t="n"/>
      <c r="N131" s="7" t="n"/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n"/>
      <c r="D133" s="15">
        <f>-D68</f>
        <v/>
      </c>
      <c r="E133" s="15">
        <f>-E69</f>
        <v/>
      </c>
      <c r="F133" s="15">
        <f>-F70</f>
        <v/>
      </c>
      <c r="G133" s="15">
        <f>-G71+G106</f>
        <v/>
      </c>
      <c r="H133" s="15">
        <f>H106</f>
        <v/>
      </c>
      <c r="I133" s="15">
        <f>I106</f>
        <v/>
      </c>
      <c r="J133" s="15">
        <f>J106</f>
        <v/>
      </c>
      <c r="K133" s="15">
        <f>K106</f>
        <v/>
      </c>
      <c r="L133" s="15">
        <f>L106</f>
        <v/>
      </c>
      <c r="M133" s="15">
        <f>M106</f>
        <v/>
      </c>
      <c r="N133" s="15">
        <f>N106+D130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6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outflows</t>
        </is>
      </c>
      <c r="D135" s="25" t="n"/>
    </row>
    <row r="136">
      <c r="A136" s="5" t="n"/>
      <c r="B136" s="6" t="n"/>
      <c r="C136" s="6" t="n"/>
      <c r="D136" s="25" t="n"/>
    </row>
    <row r="137">
      <c r="A137" s="18" t="inlineStr">
        <is>
          <t>Unlevered Returns (for reference)</t>
        </is>
      </c>
      <c r="B137" s="6" t="n"/>
      <c r="C137" s="6" t="n"/>
    </row>
    <row r="138">
      <c r="A138" s="5" t="inlineStr">
        <is>
          <t>Unlevered Cash Flow</t>
        </is>
      </c>
      <c r="B138" s="6" t="inlineStr">
        <is>
          <t>$mm</t>
        </is>
      </c>
      <c r="C138" s="6" t="n"/>
      <c r="D138" s="15">
        <f>-$D$63</f>
        <v/>
      </c>
      <c r="E138" s="15" t="n">
        <v>0</v>
      </c>
      <c r="F138" s="15" t="n">
        <v>0</v>
      </c>
      <c r="G138" s="15">
        <f>G86</f>
        <v/>
      </c>
      <c r="H138" s="15">
        <f>H86</f>
        <v/>
      </c>
      <c r="I138" s="15">
        <f>I86</f>
        <v/>
      </c>
      <c r="J138" s="15">
        <f>J86</f>
        <v/>
      </c>
      <c r="K138" s="15">
        <f>K86</f>
        <v/>
      </c>
      <c r="L138" s="15">
        <f>L86</f>
        <v/>
      </c>
      <c r="M138" s="15">
        <f>M86</f>
        <v/>
      </c>
      <c r="N138" s="15">
        <f>N86+D127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6">
        <f>IRR(D138:N138)</f>
        <v/>
      </c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</row>
    <row r="140">
      <c r="A140" s="5" t="n"/>
      <c r="B140" s="6" t="n"/>
      <c r="C140" s="6" t="n"/>
      <c r="D140" s="26" t="n"/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31" t="inlineStr">
        <is>
          <t>Y0 (2025)</t>
        </is>
      </c>
      <c r="E1" s="31" t="inlineStr">
        <is>
          <t>Y1 (2026)</t>
        </is>
      </c>
      <c r="F1" s="31" t="inlineStr">
        <is>
          <t>Y2 (2027)</t>
        </is>
      </c>
      <c r="G1" s="31" t="inlineStr">
        <is>
          <t>Y3 (2028)</t>
        </is>
      </c>
      <c r="H1" s="31" t="inlineStr">
        <is>
          <t>Y4 (2029)</t>
        </is>
      </c>
      <c r="I1" s="31" t="inlineStr">
        <is>
          <t>Y5 (2030)</t>
        </is>
      </c>
      <c r="J1" s="31" t="inlineStr">
        <is>
          <t>Y6 (2031)</t>
        </is>
      </c>
      <c r="K1" s="31" t="inlineStr">
        <is>
          <t>Y7 (2032)</t>
        </is>
      </c>
      <c r="L1" s="31" t="inlineStr">
        <is>
          <t>Y8 (2033)</t>
        </is>
      </c>
      <c r="M1" s="31" t="inlineStr">
        <is>
          <t>Y9 (2034)</t>
        </is>
      </c>
      <c r="N1" s="31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8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7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/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7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7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7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7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7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7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8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8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8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7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/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25">
        <f>IF(E83&gt;0,E76/E83,0)</f>
        <v/>
      </c>
      <c r="F95" s="25">
        <f>IF(F83&gt;0,F76/F83,0)</f>
        <v/>
      </c>
      <c r="G95" s="25">
        <f>IF(G83&gt;0,G76/G83,0)</f>
        <v/>
      </c>
      <c r="H95" s="25">
        <f>IF(H83&gt;0,H76/H83,0)</f>
        <v/>
      </c>
      <c r="I95" s="25">
        <f>IF(I83&gt;0,I76/I83,0)</f>
        <v/>
      </c>
      <c r="J95" s="25">
        <f>IF(J83&gt;0,J76/J83,0)</f>
        <v/>
      </c>
      <c r="K95" s="25">
        <f>IF(K83&gt;0,K76/K83,0)</f>
        <v/>
      </c>
      <c r="L95" s="25">
        <f>IF(L83&gt;0,L76/L83,0)</f>
        <v/>
      </c>
      <c r="M95" s="25">
        <f>IF(M83&gt;0,M76/M83,0)</f>
        <v/>
      </c>
      <c r="N95" s="25">
        <f>IF(N83&gt;0,N76/N83,0)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5" t="inlineStr">
        <is>
          <t xml:space="preserve">  Total Equity</t>
        </is>
      </c>
      <c r="B126" s="6" t="inlineStr">
        <is>
          <t>$mm</t>
        </is>
      </c>
      <c r="C126" s="6" t="inlineStr"/>
      <c r="D126" s="15">
        <f>D62</f>
        <v/>
      </c>
    </row>
    <row r="127">
      <c r="A127" s="5" t="inlineStr">
        <is>
          <t>Total Sources</t>
        </is>
      </c>
      <c r="B127" s="6" t="inlineStr">
        <is>
          <t>$mm</t>
        </is>
      </c>
      <c r="C127" s="6" t="inlineStr"/>
      <c r="D127" s="7">
        <f>D109+D110</f>
        <v/>
      </c>
    </row>
    <row r="128">
      <c r="A128" s="5" t="inlineStr">
        <is>
          <t>Balance Check</t>
        </is>
      </c>
      <c r="B128" s="6" t="inlineStr"/>
      <c r="C128" s="6" t="inlineStr"/>
      <c r="D128" s="10">
        <f>IF(ABS(D105-D111)&lt;0.01,"PASS","FAIL")</f>
        <v/>
      </c>
    </row>
    <row r="130">
      <c r="A130" s="3" t="inlineStr">
        <is>
          <t>EXIT CALCULATIONS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</row>
    <row r="131">
      <c r="A131" s="5" t="inlineStr">
        <is>
          <t>Cumulative Depreciation</t>
        </is>
      </c>
      <c r="B131" s="6" t="inlineStr">
        <is>
          <t>$mm</t>
        </is>
      </c>
      <c r="C131" s="6" t="inlineStr">
        <is>
          <t>Dep × Operating Years</t>
        </is>
      </c>
      <c r="N131" s="15">
        <f>$D$55*8</f>
        <v/>
      </c>
    </row>
    <row r="132">
      <c r="A132" s="5" t="inlineStr">
        <is>
          <t>Exit RAB</t>
        </is>
      </c>
      <c r="B132" s="6" t="inlineStr">
        <is>
          <t>$mm</t>
        </is>
      </c>
      <c r="C132" s="6" t="inlineStr">
        <is>
          <t>RAB at COD - Cum Dep</t>
        </is>
      </c>
      <c r="N132" s="15">
        <f>$D$53-N115</f>
        <v/>
      </c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RAB × xRAB Multiple</t>
        </is>
      </c>
      <c r="N133" s="15">
        <f>N116*$D$44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N134" s="15">
        <f>N84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N135" s="15">
        <f>N91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N136" s="7">
        <f>N117-N118+N119</f>
        <v/>
      </c>
    </row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5">
        <f>-D58</f>
        <v/>
      </c>
      <c r="E139" s="15">
        <f>-E59</f>
        <v/>
      </c>
      <c r="F139" s="15">
        <f>-F60</f>
        <v/>
      </c>
      <c r="G139" s="15">
        <f>-G61-G90+G96</f>
        <v/>
      </c>
      <c r="H139" s="15">
        <f>H96</f>
        <v/>
      </c>
      <c r="I139" s="15">
        <f>I96</f>
        <v/>
      </c>
      <c r="J139" s="15">
        <f>J96</f>
        <v/>
      </c>
      <c r="K139" s="15">
        <f>K96</f>
        <v/>
      </c>
      <c r="L139" s="15">
        <f>L96</f>
        <v/>
      </c>
      <c r="M139" s="15">
        <f>M96</f>
        <v/>
      </c>
      <c r="N139" s="15">
        <f>N96+N120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/>
      <c r="D140" s="26">
        <f>IRR(D123:N123)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outflows</t>
        </is>
      </c>
      <c r="D141" s="25">
        <f>SUMIF(D123:N123,"&gt;0")/-SUMIF(D123:N123,"&lt;0")</f>
        <v/>
      </c>
    </row>
    <row r="143">
      <c r="A143" s="18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5">
        <f>-$D$17</f>
        <v/>
      </c>
      <c r="E144" s="15">
        <f>-$D$18</f>
        <v/>
      </c>
      <c r="F144" s="15">
        <f>-$D$19</f>
        <v/>
      </c>
      <c r="G144" s="15">
        <f>G76</f>
        <v/>
      </c>
      <c r="H144" s="15">
        <f>H76</f>
        <v/>
      </c>
      <c r="I144" s="15">
        <f>I76</f>
        <v/>
      </c>
      <c r="J144" s="15">
        <f>J76</f>
        <v/>
      </c>
      <c r="K144" s="15">
        <f>K76</f>
        <v/>
      </c>
      <c r="L144" s="15">
        <f>L76</f>
        <v/>
      </c>
      <c r="M144" s="15">
        <f>M76</f>
        <v/>
      </c>
      <c r="N144" s="15">
        <f>N76+N117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/>
      <c r="D145" s="26">
        <f>IRR(D128:N128)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2026-01-21T03:03:37Z</dcterms:modified>
</cp:coreProperties>
</file>