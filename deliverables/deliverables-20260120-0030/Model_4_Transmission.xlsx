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40" authorId="0" shapeId="0">
      <text>
        <t>Debt Service Coverage Ratio. Key lender metric. Target: 1.25-1.40x.</t>
      </text>
    </comment>
    <comment ref="C41" authorId="0" shapeId="0">
      <text>
        <t>Debt Service Coverage Ratio. Key lender metric. Target: 1.25-1.40x.</t>
      </text>
    </comment>
    <comment ref="C70" authorId="0" shapeId="0">
      <text>
        <t>Cash earnings before financing. What is available to service debt and pay equity.</t>
      </text>
    </comment>
    <comment ref="C76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88" authorId="0" shapeId="0">
      <text>
        <t>Reserve sized to cover NEXT years debt service. Uses SCHEDULED DS to avoid circular reference.</t>
      </text>
    </comment>
    <comment ref="C124" authorId="0" shapeId="0">
      <text>
        <t>Return to equity after debt service. Should exceed cost of equity (12-15% for infra).</t>
      </text>
    </comment>
    <comment ref="C125" authorId="0" shapeId="0">
      <text>
        <t>Multiple on Invested Capital. Cash-on-cash return. 2.0x = doubled money.</t>
      </text>
    </comment>
    <comment ref="C12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>
        <is>
          <t>CFADS / Debt Service</t>
        </is>
      </c>
      <c r="D6" s="19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0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19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0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>
        <is>
          <t>CFADS / Debt Service</t>
        </is>
      </c>
      <c r="D13" s="10">
        <f>IF(D6&gt;=1.35,"PASS","FAIL")</f>
        <v/>
      </c>
    </row>
    <row r="14"/>
    <row r="15"/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1"/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1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6"/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1" t="n">
        <v>0.02</v>
      </c>
    </row>
    <row r="30"/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1" t="n">
        <v>0.025</v>
      </c>
    </row>
    <row r="34"/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1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1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1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2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2" t="n">
        <v>1.15</v>
      </c>
    </row>
    <row r="42"/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2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6"/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1" t="n">
        <v>0.25</v>
      </c>
    </row>
    <row r="49"/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6"/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3"/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6"/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69"/>
    <row r="70">
      <c r="A70" s="5" t="inlineStr">
        <is>
          <t>EBITDA</t>
        </is>
      </c>
      <c r="B70" s="6" t="inlineStr">
        <is>
          <t>$mm</t>
        </is>
      </c>
      <c r="C70" s="6" t="inlineStr">
        <is>
          <t>Revenue minus OpEx</t>
        </is>
      </c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1"/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7"/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19">
        <f>IF(E83&gt;0,E76/E83,0)</f>
        <v/>
      </c>
      <c r="F85" s="19">
        <f>IF(F83&gt;0,F76/F83,0)</f>
        <v/>
      </c>
      <c r="G85" s="19">
        <f>IF(G83&gt;0,G76/G83,0)</f>
        <v/>
      </c>
      <c r="H85" s="19">
        <f>IF(H83&gt;0,H76/H83,0)</f>
        <v/>
      </c>
      <c r="I85" s="19">
        <f>IF(I83&gt;0,I76/I83,0)</f>
        <v/>
      </c>
      <c r="J85" s="19">
        <f>IF(J83&gt;0,J76/J83,0)</f>
        <v/>
      </c>
      <c r="K85" s="19">
        <f>IF(K83&gt;0,K76/K83,0)</f>
        <v/>
      </c>
      <c r="L85" s="19">
        <f>IF(L83&gt;0,L76/L83,0)</f>
        <v/>
      </c>
      <c r="M85" s="19">
        <f>IF(M83&gt;0,M76/M83,0)</f>
        <v/>
      </c>
      <c r="N85" s="19">
        <f>IF(N83&gt;0,N76/N83,0)</f>
        <v/>
      </c>
    </row>
    <row r="86"/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2"/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7"/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6"/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3"/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1"/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>
        <is>
          <t>IRR of Equity CFs</t>
        </is>
      </c>
      <c r="D124" s="20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19">
        <f>SUMIF(D123:N123,"&gt;0")/-SUMIF(D123:N123,"&lt;0")</f>
        <v/>
      </c>
    </row>
    <row r="126"/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>
        <is>
          <t>IRR of Equity CFs</t>
        </is>
      </c>
      <c r="D129" s="20">
        <f>IRR(D128:N128)</f>
        <v/>
      </c>
    </row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2026-01-20T03:01:59Z</dcterms:modified>
</cp:coreProperties>
</file>