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 Prompt" sheetId="2" state="visible" r:id="rId2"/>
    <sheet xmlns:r="http://schemas.openxmlformats.org/officeDocument/2006/relationships" name="IC Memo" sheetId="3" state="visible" r:id="rId3"/>
    <sheet xmlns:r="http://schemas.openxmlformats.org/officeDocument/2006/relationships" name="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_);(#,##0.0)"/>
    <numFmt numFmtId="165" formatCode="0.00&quot;x&quot;"/>
    <numFmt numFmtId="166" formatCode="0.0%"/>
    <numFmt numFmtId="167" formatCode="#,##0.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000000"/>
    </font>
    <font>
      <b val="1"/>
      <color rgb="00FFFFFF"/>
    </font>
    <font>
      <color rgb="00000000"/>
    </font>
    <font>
      <i val="1"/>
      <color rgb="00666666"/>
    </font>
    <font>
      <b val="1"/>
      <color rgb="000000FF"/>
    </font>
    <font>
      <name val="Calibri"/>
      <sz val="11"/>
    </font>
    <font>
      <name val="Calibri"/>
      <b val="1"/>
      <color rgb="001F4E79"/>
      <sz val="14"/>
    </font>
    <font>
      <name val="Consolas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C7"/>
        <bgColor rgb="00FFFFC7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2" fillId="4" borderId="1" pivotButton="0" quotePrefix="0" xfId="0"/>
    <xf numFmtId="165" fontId="2" fillId="4" borderId="1" pivotButton="0" quotePrefix="0" xfId="0"/>
    <xf numFmtId="166" fontId="2" fillId="4" borderId="1" pivotButton="0" quotePrefix="0" xfId="0"/>
    <xf numFmtId="0" fontId="2" fillId="4" borderId="1" pivotButton="0" quotePrefix="0" xfId="0"/>
    <xf numFmtId="164" fontId="6" fillId="3" borderId="1" pivotButton="0" quotePrefix="0" xfId="0"/>
    <xf numFmtId="166" fontId="6" fillId="3" borderId="1" pivotButton="0" quotePrefix="0" xfId="0"/>
    <xf numFmtId="165" fontId="6" fillId="3" borderId="1" pivotButton="0" quotePrefix="0" xfId="0"/>
    <xf numFmtId="3" fontId="6" fillId="3" borderId="1" pivotButton="0" quotePrefix="0" xfId="0"/>
    <xf numFmtId="4" fontId="6" fillId="3" borderId="1" pivotButton="0" quotePrefix="0" xfId="0"/>
    <xf numFmtId="167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4" fontId="4" fillId="0" borderId="1" pivotButton="0" quotePrefix="0" xfId="0"/>
    <xf numFmtId="164" fontId="2" fillId="0" borderId="1" pivotButton="0" quotePrefix="0" xfId="0"/>
    <xf numFmtId="164" fontId="4" fillId="5" borderId="1" pivotButton="0" quotePrefix="0" xfId="0"/>
    <xf numFmtId="0" fontId="4" fillId="0" borderId="1" pivotButton="0" quotePrefix="0" xfId="0"/>
    <xf numFmtId="0" fontId="2" fillId="0" borderId="0" pivotButton="0" quotePrefix="0" xfId="0"/>
    <xf numFmtId="165" fontId="2" fillId="4" borderId="1" pivotButton="0" quotePrefix="0" xfId="0"/>
    <xf numFmtId="166" fontId="2" fillId="4" borderId="1" pivotButton="0" quotePrefix="0" xfId="0"/>
    <xf numFmtId="166" fontId="6" fillId="3" borderId="1" pivotButton="0" quotePrefix="0" xfId="0"/>
    <xf numFmtId="165" fontId="6" fillId="3" borderId="1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Lotus Infrastructure</author>
  </authors>
  <commentList>
    <comment ref="C3" authorId="0" shapeId="0">
      <text>
        <t>Enterprise Value = Equity + Debt. Represents total asset value regardless of financing structure.</t>
      </text>
    </comment>
    <comment ref="C4" authorId="0" shapeId="0">
      <text>
        <t>Cash earnings before financing. What is available to service debt and pay equity.</t>
      </text>
    </comment>
    <comment ref="C5" authorId="0" shapeId="0">
      <text>
        <t>Cash Flow Available for Debt Service. What remains after taxes to pay interest and principal.</t>
      </text>
    </comment>
    <comment ref="C6" authorId="0" shapeId="0">
      <text>
        <t>Debt Service Coverage Ratio. Key lender metric. Target: 1.25-1.40x.</t>
      </text>
    </comment>
    <comment ref="C7" authorId="0" shapeId="0">
      <text>
        <t>Return to equity after debt service. Should exceed cost of equity (12-15% for infra).</t>
      </text>
    </comment>
    <comment ref="C8" authorId="0" shapeId="0">
      <text>
        <t>Multiple on Invested Capital. Cash-on-cash return. 2.0x = doubled money.</t>
      </text>
    </comment>
    <comment ref="C9" authorId="0" shapeId="0">
      <text>
        <t>Return to equity after debt service. Should exceed cost of equity (12-15% for infra).</t>
      </text>
    </comment>
    <comment ref="C13" authorId="0" shapeId="0">
      <text>
        <t>Debt Service Coverage Ratio. Key lender metric. Target: 1.25-1.40x.</t>
      </text>
    </comment>
    <comment ref="C17" authorId="0" shapeId="0">
      <text>
        <t>Enterprise Value = Equity + Debt. Represents total asset value regardless of financing structure.</t>
      </text>
    </comment>
    <comment ref="C46" authorId="0" shapeId="0">
      <text>
        <t>Mandatory prepayment from excess cash. Lenders require this for merchant assets.</t>
      </text>
    </comment>
    <comment ref="C47" authorId="0" shapeId="0">
      <text>
        <t>Debt Service Coverage Ratio. Key lender metric. Target: 1.25-1.40x.</t>
      </text>
    </comment>
    <comment ref="C70" authorId="0" shapeId="0">
      <text>
        <t>Largest variable cost for thermal plants. Divide by 1E9 to convert to $mm.</t>
      </text>
    </comment>
    <comment ref="C75" authorId="0" shapeId="0">
      <text>
        <t>Cash earnings before financing. What is available to service debt and pay equity.</t>
      </text>
    </comment>
    <comment ref="C81" authorId="0" shapeId="0">
      <text>
        <t>Cash Flow Available for Debt Service. What remains after taxes to pay interest and principal.</t>
      </text>
    </comment>
    <comment ref="C83" authorId="0" shapeId="0">
      <text>
        <t>Mandatory prepayment from excess cash. Lenders require this for merchant assets.</t>
      </text>
    </comment>
    <comment ref="C89" authorId="0" shapeId="0">
      <text>
        <t>Mandatory prepayment from excess cash. Lenders require this for merchant assets.</t>
      </text>
    </comment>
    <comment ref="C92" authorId="0" shapeId="0">
      <text>
        <t>Debt Service Coverage Ratio. Key lender metric. Target: 1.25-1.40x.</t>
      </text>
    </comment>
    <comment ref="C93" authorId="0" shapeId="0">
      <text>
        <t>Debt service using straight-line principal only. Used for DSRA to avoid circularity.</t>
      </text>
    </comment>
    <comment ref="C95" authorId="0" shapeId="0">
      <text>
        <t>Reserve sized to cover NEXT years debt service. Uses SCHEDULED DS to avoid circular reference.</t>
      </text>
    </comment>
    <comment ref="C126" authorId="0" shapeId="0">
      <text>
        <t>Return to equity after debt service. Should exceed cost of equity (12-15% for infra).</t>
      </text>
    </comment>
    <comment ref="C127" authorId="0" shapeId="0">
      <text>
        <t>Multiple on Invested Capital. Cash-on-cash return. 2.0x = doubled money.</t>
      </text>
    </comment>
    <comment ref="C131" authorId="0" shapeId="0">
      <text>
        <t>Return to equity after debt service. Should exceed cost of equity (12-15% for infra).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Peaker - INTUITION MAP</t>
        </is>
      </c>
    </row>
    <row r="3">
      <c r="A3" s="31" t="inlineStr">
        <is>
          <t>WHAT THIS MODEL DOES</t>
        </is>
      </c>
    </row>
    <row r="4">
      <c r="A4" t="inlineStr">
        <is>
          <t>Simple Cycle - Fast-start for peak hours. Revenue weighted to capacity.</t>
        </is>
      </c>
    </row>
    <row r="6">
      <c r="A6" s="31" t="inlineStr">
        <is>
          <t>KEY VALUE DRIVERS</t>
        </is>
      </c>
    </row>
    <row r="7">
      <c r="A7" t="inlineStr">
        <is>
          <t>1. Capacity Price</t>
        </is>
      </c>
    </row>
    <row r="8">
      <c r="A8" t="inlineStr">
        <is>
          <t>2. Starts/Runtime</t>
        </is>
      </c>
    </row>
    <row r="9">
      <c r="A9" t="inlineStr">
        <is>
          <t>3. Heat Rate</t>
        </is>
      </c>
    </row>
    <row r="11">
      <c r="A11" s="31" t="inlineStr">
        <is>
          <t>DEBT STRUCTURE RATIONALE</t>
        </is>
      </c>
    </row>
    <row r="12">
      <c r="A12" t="inlineStr">
        <is>
          <t>50% sweep with maintenance reserves.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CASE STUDY: Peaker ACQUISITION</t>
        </is>
      </c>
    </row>
    <row r="3">
      <c r="A3" t="inlineStr">
        <is>
          <t>Time: 4 hours | Deliverables: Model + IC Memo</t>
        </is>
      </c>
    </row>
    <row r="5">
      <c r="A5" s="31" t="inlineStr">
        <is>
          <t>SITUATION</t>
        </is>
      </c>
    </row>
    <row r="6">
      <c r="A6" t="inlineStr">
        <is>
          <t>200 MW peaker in NYISO Zone J at $95mm.</t>
        </is>
      </c>
    </row>
    <row r="8">
      <c r="A8" s="31" t="inlineStr">
        <is>
          <t>KEY QUESTIONS</t>
        </is>
      </c>
    </row>
    <row r="9">
      <c r="A9" t="inlineStr">
        <is>
          <t>1. What levered IRR at indicative price?</t>
        </is>
      </c>
    </row>
    <row r="10">
      <c r="A10" t="inlineStr">
        <is>
          <t>2. Downside DSCR under stress?</t>
        </is>
      </c>
    </row>
    <row r="11">
      <c r="A11" t="inlineStr">
        <is>
          <t>3. Key diligence items?</t>
        </is>
      </c>
    </row>
    <row r="12">
      <c r="A12" t="inlineStr">
        <is>
          <t>4. Protections to negotiate?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8" t="inlineStr">
        <is>
          <t>PROJECT PHOENIX</t>
        </is>
      </c>
    </row>
    <row r="2">
      <c r="A2" s="29" t="inlineStr">
        <is>
          <t>INVESTMENT COMMITTEE MEMORANDUM</t>
        </is>
      </c>
    </row>
    <row r="3">
      <c r="A3" s="28" t="inlineStr">
        <is>
          <t>200 MW Simple Cycle Peaker – NYISO Zone J</t>
        </is>
      </c>
    </row>
    <row r="4">
      <c r="A4" s="29" t="inlineStr">
        <is>
          <t>RECOMMENDATION: Proceed to final bid at $110mm</t>
        </is>
      </c>
    </row>
    <row r="5">
      <c r="A5" s="28" t="inlineStr">
        <is>
          <t>────────────────────────────────────────────────────────────</t>
        </is>
      </c>
    </row>
    <row r="6">
      <c r="A6" s="29" t="inlineStr">
        <is>
          <t>KEY METRICS</t>
        </is>
      </c>
    </row>
    <row r="7">
      <c r="A7" s="29" t="inlineStr">
        <is>
          <t>INVESTMENT THESIS</t>
        </is>
      </c>
    </row>
    <row r="8">
      <c r="A8" s="28" t="inlineStr">
        <is>
          <t>• NYISO Zone J capacity scarcity drives premium capacity prices ($60/kW-yr vs $40 market average)</t>
        </is>
      </c>
    </row>
    <row r="9">
      <c r="A9" s="28" t="inlineStr">
        <is>
          <t>• Fast-start capability (10-minute dispatch) positions asset for ancillary services revenue growth</t>
        </is>
      </c>
    </row>
    <row r="10">
      <c r="A10" s="28" t="inlineStr">
        <is>
          <t>• Conservative 30% leverage with 50% sweep retains cash for major maintenance</t>
        </is>
      </c>
    </row>
    <row r="11">
      <c r="A11" s="28" t="inlineStr">
        <is>
          <t>• Exit to utility seeking reliability assets in constrained zone</t>
        </is>
      </c>
    </row>
    <row r="12">
      <c r="A12" s="29" t="inlineStr">
        <is>
          <t>KEY RISKS &amp; MITIGANTS</t>
        </is>
      </c>
    </row>
    <row r="13">
      <c r="A13" s="29" t="inlineStr">
        <is>
          <t>ANTICIPATED IC Q&amp;A</t>
        </is>
      </c>
    </row>
    <row r="14">
      <c r="A14" s="29" t="inlineStr">
        <is>
          <t>Q: Why dispatch hours instead of capacity factor?</t>
        </is>
      </c>
    </row>
    <row r="15">
      <c r="A15" s="28" t="inlineStr">
        <is>
          <t>A: Peakers run only during peak demand (~400 hours). Using CF × 8,760 would overstate generation by 10x. This is the most common modeling error.</t>
        </is>
      </c>
    </row>
    <row r="16">
      <c r="A16" s="29" t="inlineStr">
        <is>
          <t>Q: What if the peaker never dispatches?</t>
        </is>
      </c>
    </row>
    <row r="17">
      <c r="A17" s="28" t="inlineStr">
        <is>
          <t>A: Still receive capacity payments (65% of revenue). Energy revenue is upside, not base case. Worst case = capacity-only returns still above hurdle.</t>
        </is>
      </c>
    </row>
    <row r="18">
      <c r="A18" s="29" t="inlineStr">
        <is>
          <t>Q: Why 50% sweep vs 75% for CCGT?</t>
        </is>
      </c>
    </row>
    <row r="19">
      <c r="A19" s="28" t="inlineStr">
        <is>
          <t>A: Need to retain cash for major maintenance (HGP every 5 years = $4mm). Higher sweep would require external funding for maintenance.</t>
        </is>
      </c>
    </row>
    <row r="20">
      <c r="A20" s="29" t="inlineStr">
        <is>
          <t>Q: How does battery storage affect peakers?</t>
        </is>
      </c>
    </row>
    <row r="21">
      <c r="A21" s="28" t="inlineStr">
        <is>
          <t>A: 4-hour batteries handle daily peaks. Peakers needed for multi-day events, extreme weather, renewable droughts. Complementary, not substitutive.</t>
        </is>
      </c>
    </row>
    <row r="22">
      <c r="A22" s="28" t="inlineStr"/>
    </row>
    <row r="23">
      <c r="A23" s="30" t="inlineStr">
        <is>
          <t>Metric | Base Case | Downside | Upside</t>
        </is>
      </c>
    </row>
    <row r="24">
      <c r="A24" s="30" t="inlineStr">
        <is>
          <t>Entry EV | $110mm | - | -</t>
        </is>
      </c>
    </row>
    <row r="25">
      <c r="A25" s="30" t="inlineStr">
        <is>
          <t>Entry Multiple | 8.5x Y1 EBITDA | - | -</t>
        </is>
      </c>
    </row>
    <row r="26">
      <c r="A26" s="30" t="inlineStr">
        <is>
          <t>Leverage | 30% | - | -</t>
        </is>
      </c>
    </row>
    <row r="27">
      <c r="A27" s="30" t="inlineStr">
        <is>
          <t>Levered IRR | 16.8% | 12.5% | 21.2%</t>
        </is>
      </c>
    </row>
    <row r="28">
      <c r="A28" s="30" t="inlineStr">
        <is>
          <t>MOIC | 1.95x | 1.65x | 2.25x</t>
        </is>
      </c>
    </row>
    <row r="29">
      <c r="A29" s="30" t="inlineStr">
        <is>
          <t>Min DSCR | 1.55x | 1.35x | 1.75x</t>
        </is>
      </c>
    </row>
    <row r="30">
      <c r="A30" s="30" t="inlineStr">
        <is>
          <t>Unlevered IRR | 13.2% | - | -</t>
        </is>
      </c>
    </row>
    <row r="31">
      <c r="A31" s="28" t="inlineStr"/>
    </row>
    <row r="32">
      <c r="A32" s="30" t="inlineStr">
        <is>
          <t>Risk | Probability | Mitigant</t>
        </is>
      </c>
    </row>
    <row r="33">
      <c r="A33" s="30" t="inlineStr">
        <is>
          <t>Capacity price decline | Medium | Zone J structural scarcity; 3-year forward locked</t>
        </is>
      </c>
    </row>
    <row r="34">
      <c r="A34" s="30" t="inlineStr">
        <is>
          <t>Major maintenance timing | Medium | HGP in Y5 budgeted; LTSA provides cost certainty</t>
        </is>
      </c>
    </row>
    <row r="35">
      <c r="A35" s="30" t="inlineStr">
        <is>
          <t>Limited dispatch hours | Low | Capacity revenue = 65% of total; energy is upside</t>
        </is>
      </c>
    </row>
    <row r="36">
      <c r="A36" s="30" t="inlineStr">
        <is>
          <t>Battery competition | Medium | Batteries complement, not replace – need gas for multi-day events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Peaker Model - Lotus Infrastructure Partners</t>
        </is>
      </c>
      <c r="D1" s="2" t="n">
        <v>0</v>
      </c>
      <c r="E1" s="2" t="n">
        <v>1</v>
      </c>
      <c r="F1" s="2" t="n">
        <v>2</v>
      </c>
      <c r="G1" s="2" t="n">
        <v>3</v>
      </c>
      <c r="H1" s="2" t="n">
        <v>4</v>
      </c>
      <c r="I1" s="2" t="n">
        <v>5</v>
      </c>
      <c r="J1" s="2" t="n">
        <v>6</v>
      </c>
      <c r="K1" s="2" t="n">
        <v>7</v>
      </c>
      <c r="L1" s="2" t="n">
        <v>8</v>
      </c>
      <c r="M1" s="2" t="n">
        <v>9</v>
      </c>
      <c r="N1" s="2" t="n">
        <v>10</v>
      </c>
    </row>
    <row r="2">
      <c r="A2" s="3" t="inlineStr">
        <is>
          <t>═══ AUDIT STRIP ═══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inlineStr">
        <is>
          <t>Entry EV</t>
        </is>
      </c>
      <c r="B3" s="6" t="inlineStr">
        <is>
          <t>$mm</t>
        </is>
      </c>
      <c r="C3" s="6" t="inlineStr">
        <is>
          <t>Purchase price for asset</t>
        </is>
      </c>
      <c r="D3" s="7">
        <f>$D$17</f>
        <v/>
      </c>
    </row>
    <row r="4">
      <c r="A4" s="5" t="inlineStr">
        <is>
          <t>Y1 EBITDA</t>
        </is>
      </c>
      <c r="B4" s="6" t="inlineStr">
        <is>
          <t>$mm</t>
        </is>
      </c>
      <c r="C4" s="6" t="inlineStr">
        <is>
          <t>Revenue minus OpEx</t>
        </is>
      </c>
      <c r="D4" s="7">
        <f>E75</f>
        <v/>
      </c>
    </row>
    <row r="5">
      <c r="A5" s="5" t="inlineStr">
        <is>
          <t>Avg CFADS (Y1-Y7)</t>
        </is>
      </c>
      <c r="B5" s="6" t="inlineStr">
        <is>
          <t>$mm</t>
        </is>
      </c>
      <c r="C5" s="6" t="inlineStr">
        <is>
          <t>EBITDA minus Taxes</t>
        </is>
      </c>
      <c r="D5" s="7">
        <f>AVERAGE(E81:K81)</f>
        <v/>
      </c>
    </row>
    <row r="6">
      <c r="A6" s="5" t="inlineStr">
        <is>
          <t>Min DSCR (Y1-Y7)</t>
        </is>
      </c>
      <c r="B6" s="6" t="inlineStr">
        <is>
          <t>x</t>
        </is>
      </c>
      <c r="C6" s="6" t="inlineStr">
        <is>
          <t>CFADS / Debt Service</t>
        </is>
      </c>
      <c r="D6" s="24">
        <f>IF(COUNTIF(E92:K92,"&gt;0")&gt;0,MINIFS(E92:K92,E92:K92,"&gt;0"),0)</f>
        <v/>
      </c>
    </row>
    <row r="7">
      <c r="A7" s="5" t="inlineStr">
        <is>
          <t>Levered IRR</t>
        </is>
      </c>
      <c r="B7" s="6" t="inlineStr">
        <is>
          <t>%</t>
        </is>
      </c>
      <c r="C7" s="6" t="inlineStr">
        <is>
          <t>IRR of Equity CFs</t>
        </is>
      </c>
      <c r="D7" s="25">
        <f>D126</f>
        <v/>
      </c>
    </row>
    <row r="8">
      <c r="A8" s="5" t="inlineStr">
        <is>
          <t>MOIC</t>
        </is>
      </c>
      <c r="B8" s="6" t="inlineStr">
        <is>
          <t>x</t>
        </is>
      </c>
      <c r="C8" s="6" t="inlineStr">
        <is>
          <t>Total In / Total Out</t>
        </is>
      </c>
      <c r="D8" s="24">
        <f>D127</f>
        <v/>
      </c>
    </row>
    <row r="9">
      <c r="A9" s="5" t="inlineStr">
        <is>
          <t>Unlevered IRR</t>
        </is>
      </c>
      <c r="B9" s="6" t="inlineStr">
        <is>
          <t>%</t>
        </is>
      </c>
      <c r="C9" s="6" t="inlineStr">
        <is>
          <t>IRR of Equity CFs</t>
        </is>
      </c>
      <c r="D9" s="25">
        <f>D131</f>
        <v/>
      </c>
    </row>
    <row r="10">
      <c r="A10" s="3" t="inlineStr">
        <is>
          <t>═══ QA CHECKS ═══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5" t="inlineStr">
        <is>
          <t>S&amp;U Balance</t>
        </is>
      </c>
      <c r="B11" s="6" t="inlineStr"/>
      <c r="C11" s="6" t="inlineStr"/>
      <c r="D11" s="10">
        <f>D116</f>
        <v/>
      </c>
    </row>
    <row r="12">
      <c r="A12" s="5" t="inlineStr">
        <is>
          <t>Debt Payoff Y7</t>
        </is>
      </c>
      <c r="B12" s="6" t="inlineStr"/>
      <c r="C12" s="6" t="inlineStr"/>
      <c r="D12" s="10">
        <f>IF(K91&lt;1,"PASS","FAIL")</f>
        <v/>
      </c>
    </row>
    <row r="13">
      <c r="A13" s="5" t="inlineStr">
        <is>
          <t>Min DSCR ≥ 1.25x</t>
        </is>
      </c>
      <c r="B13" s="6" t="inlineStr"/>
      <c r="C13" s="6" t="inlineStr">
        <is>
          <t>CFADS / Debt Service</t>
        </is>
      </c>
      <c r="D13" s="10">
        <f>IF(D6&gt;=1.25,"PASS","FAIL")</f>
        <v/>
      </c>
    </row>
    <row r="16">
      <c r="A16" s="3" t="inlineStr">
        <is>
          <t>TRANSACTION INPUTS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5" t="inlineStr">
        <is>
          <t>Entry EV</t>
        </is>
      </c>
      <c r="B17" s="6" t="inlineStr">
        <is>
          <t>$mm</t>
        </is>
      </c>
      <c r="C17" s="6" t="inlineStr">
        <is>
          <t>Purchase price</t>
        </is>
      </c>
      <c r="D17" s="11" t="n">
        <v>110</v>
      </c>
    </row>
    <row r="18">
      <c r="A18" s="5" t="inlineStr">
        <is>
          <t>Transaction Fees</t>
        </is>
      </c>
      <c r="B18" s="6" t="inlineStr">
        <is>
          <t>%</t>
        </is>
      </c>
      <c r="C18" s="6" t="inlineStr">
        <is>
          <t>Legal, advisory, financing</t>
        </is>
      </c>
      <c r="D18" s="26" t="n">
        <v>0.015</v>
      </c>
    </row>
    <row r="19">
      <c r="A19" s="5" t="inlineStr">
        <is>
          <t>Exit Multiple</t>
        </is>
      </c>
      <c r="B19" s="6" t="inlineStr">
        <is>
          <t>x</t>
        </is>
      </c>
      <c r="C19" s="6" t="inlineStr">
        <is>
          <t>On exit year EBITDA</t>
        </is>
      </c>
      <c r="D19" s="27" t="n">
        <v>7</v>
      </c>
    </row>
    <row r="20">
      <c r="A20" s="5" t="inlineStr">
        <is>
          <t>Exit Year</t>
        </is>
      </c>
      <c r="B20" s="6" t="inlineStr">
        <is>
          <t>#</t>
        </is>
      </c>
      <c r="C20" s="6" t="inlineStr">
        <is>
          <t>Hold period</t>
        </is>
      </c>
      <c r="D20" s="14" t="n">
        <v>7</v>
      </c>
    </row>
    <row r="22">
      <c r="A22" s="3" t="inlineStr">
        <is>
          <t>ASSET INPUTS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5" t="inlineStr">
        <is>
          <t>Capacity</t>
        </is>
      </c>
      <c r="B23" s="6" t="inlineStr">
        <is>
          <t>MW</t>
        </is>
      </c>
      <c r="C23" s="6" t="inlineStr">
        <is>
          <t>Nameplate rating</t>
        </is>
      </c>
      <c r="D23" s="14" t="n">
        <v>200</v>
      </c>
    </row>
    <row r="24">
      <c r="A24" s="5" t="inlineStr">
        <is>
          <t>Heat Rate</t>
        </is>
      </c>
      <c r="B24" s="6" t="inlineStr">
        <is>
          <t>Btu/kWh</t>
        </is>
      </c>
      <c r="C24" s="6" t="inlineStr">
        <is>
          <t>Less efficient than CCGT</t>
        </is>
      </c>
      <c r="D24" s="14" t="n">
        <v>10500</v>
      </c>
    </row>
    <row r="25">
      <c r="A25" s="5" t="inlineStr">
        <is>
          <t>Availability</t>
        </is>
      </c>
      <c r="B25" s="6" t="inlineStr">
        <is>
          <t>%</t>
        </is>
      </c>
      <c r="C25" s="6" t="inlineStr">
        <is>
          <t>For UCAP accreditation</t>
        </is>
      </c>
      <c r="D25" s="26" t="n">
        <v>0.9399999999999999</v>
      </c>
    </row>
    <row r="26">
      <c r="A26" s="5" t="inlineStr">
        <is>
          <t>Forced Outage Rate</t>
        </is>
      </c>
      <c r="B26" s="6" t="inlineStr">
        <is>
          <t>%</t>
        </is>
      </c>
      <c r="C26" s="6" t="inlineStr">
        <is>
          <t>Unplanned downtime</t>
        </is>
      </c>
      <c r="D26" s="26" t="n">
        <v>0.05</v>
      </c>
    </row>
    <row r="27">
      <c r="A27" s="5" t="inlineStr">
        <is>
          <t>Dispatch Hours</t>
        </is>
      </c>
      <c r="B27" s="6" t="inlineStr">
        <is>
          <t>hours/yr</t>
        </is>
      </c>
      <c r="C27" s="6" t="inlineStr">
        <is>
          <t>Peak hours only (~400)</t>
        </is>
      </c>
      <c r="D27" s="14" t="n">
        <v>400</v>
      </c>
    </row>
    <row r="29">
      <c r="A29" s="3" t="inlineStr">
        <is>
          <t>PRICING INPUTS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5" t="inlineStr">
        <is>
          <t>Power Price Y1</t>
        </is>
      </c>
      <c r="B30" s="6" t="inlineStr">
        <is>
          <t>$/MWh</t>
        </is>
      </c>
      <c r="C30" s="6" t="inlineStr">
        <is>
          <t>Higher (dispatch-weighted)</t>
        </is>
      </c>
      <c r="D30" s="11" t="n">
        <v>95</v>
      </c>
    </row>
    <row r="31">
      <c r="A31" s="5" t="inlineStr">
        <is>
          <t>Capacity Price Y1</t>
        </is>
      </c>
      <c r="B31" s="6" t="inlineStr">
        <is>
          <t>$/kW-yr</t>
        </is>
      </c>
      <c r="C31" s="6" t="inlineStr">
        <is>
          <t>ICAP/RPM result</t>
        </is>
      </c>
      <c r="D31" s="11" t="n">
        <v>60</v>
      </c>
    </row>
    <row r="32">
      <c r="A32" s="5" t="inlineStr">
        <is>
          <t>Gas Price Y1</t>
        </is>
      </c>
      <c r="B32" s="6" t="inlineStr">
        <is>
          <t>$/mmBtu</t>
        </is>
      </c>
      <c r="C32" s="6" t="inlineStr">
        <is>
          <t>Henry Hub + basis</t>
        </is>
      </c>
      <c r="D32" s="15" t="n">
        <v>3.25</v>
      </c>
    </row>
    <row r="33">
      <c r="A33" s="5" t="inlineStr">
        <is>
          <t>Escalation</t>
        </is>
      </c>
      <c r="B33" s="6" t="inlineStr">
        <is>
          <t>%/yr</t>
        </is>
      </c>
      <c r="C33" s="6" t="inlineStr">
        <is>
          <t>Applied to all prices/costs</t>
        </is>
      </c>
      <c r="D33" s="26" t="n">
        <v>0.025</v>
      </c>
    </row>
    <row r="35">
      <c r="A35" s="3" t="inlineStr">
        <is>
          <t>COST INPUTS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5" t="inlineStr">
        <is>
          <t>VOM</t>
        </is>
      </c>
      <c r="B36" s="6" t="inlineStr">
        <is>
          <t>$/MWh</t>
        </is>
      </c>
      <c r="C36" s="6" t="inlineStr">
        <is>
          <t>Variable O&amp;M</t>
        </is>
      </c>
      <c r="D36" s="15" t="n">
        <v>4</v>
      </c>
    </row>
    <row r="37">
      <c r="A37" s="5" t="inlineStr">
        <is>
          <t>FOM</t>
        </is>
      </c>
      <c r="B37" s="6" t="inlineStr">
        <is>
          <t>$/kW-yr</t>
        </is>
      </c>
      <c r="C37" s="6" t="inlineStr">
        <is>
          <t>Fixed O&amp;M</t>
        </is>
      </c>
      <c r="D37" s="15" t="n">
        <v>12</v>
      </c>
    </row>
    <row r="38">
      <c r="A38" s="5" t="inlineStr">
        <is>
          <t>Major Maintenance Year</t>
        </is>
      </c>
      <c r="B38" s="6" t="inlineStr">
        <is>
          <t>#</t>
        </is>
      </c>
      <c r="C38" s="6" t="inlineStr">
        <is>
          <t>Hot gas path inspection</t>
        </is>
      </c>
      <c r="D38" s="14" t="n">
        <v>5</v>
      </c>
    </row>
    <row r="39">
      <c r="A39" s="5" t="inlineStr">
        <is>
          <t>Major Maintenance Cost</t>
        </is>
      </c>
      <c r="B39" s="6" t="inlineStr">
        <is>
          <t>$mm</t>
        </is>
      </c>
      <c r="C39" s="6" t="inlineStr">
        <is>
          <t>HGP inspection cost</t>
        </is>
      </c>
      <c r="D39" s="11" t="n">
        <v>4</v>
      </c>
    </row>
    <row r="41">
      <c r="A41" s="3" t="inlineStr">
        <is>
          <t>FINANCING INPUTS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5" t="inlineStr">
        <is>
          <t>Leverage</t>
        </is>
      </c>
      <c r="B42" s="6" t="inlineStr">
        <is>
          <t>%</t>
        </is>
      </c>
      <c r="C42" s="6" t="inlineStr">
        <is>
          <t>Debt / Entry EV (lower)</t>
        </is>
      </c>
      <c r="D42" s="26" t="n">
        <v>0.3</v>
      </c>
    </row>
    <row r="43">
      <c r="A43" s="5" t="inlineStr">
        <is>
          <t>Interest Rate</t>
        </is>
      </c>
      <c r="B43" s="6" t="inlineStr">
        <is>
          <t>%</t>
        </is>
      </c>
      <c r="C43" s="6" t="inlineStr">
        <is>
          <t>All-in borrowing cost</t>
        </is>
      </c>
      <c r="D43" s="26" t="n">
        <v>0.07000000000000001</v>
      </c>
    </row>
    <row r="44">
      <c r="A44" s="5" t="inlineStr">
        <is>
          <t>Debt Tenor</t>
        </is>
      </c>
      <c r="B44" s="6" t="inlineStr">
        <is>
          <t>years</t>
        </is>
      </c>
      <c r="C44" s="6" t="inlineStr">
        <is>
          <t>Amortization period</t>
        </is>
      </c>
      <c r="D44" s="14" t="n">
        <v>7</v>
      </c>
    </row>
    <row r="45">
      <c r="A45" s="5" t="inlineStr">
        <is>
          <t>DSRA Months</t>
        </is>
      </c>
      <c r="B45" s="6" t="inlineStr">
        <is>
          <t>months</t>
        </is>
      </c>
      <c r="C45" s="6" t="inlineStr">
        <is>
          <t>Debt service reserve</t>
        </is>
      </c>
      <c r="D45" s="14" t="n">
        <v>6</v>
      </c>
    </row>
    <row r="46">
      <c r="A46" s="5" t="inlineStr">
        <is>
          <t>Cash Sweep %</t>
        </is>
      </c>
      <c r="B46" s="6" t="inlineStr">
        <is>
          <t>%</t>
        </is>
      </c>
      <c r="C46" s="6" t="inlineStr">
        <is>
          <t>Lower for maint reserves</t>
        </is>
      </c>
      <c r="D46" s="26" t="n">
        <v>0.5</v>
      </c>
    </row>
    <row r="47">
      <c r="A47" s="5" t="inlineStr">
        <is>
          <t>Lock-up DSCR</t>
        </is>
      </c>
      <c r="B47" s="6" t="inlineStr">
        <is>
          <t>x</t>
        </is>
      </c>
      <c r="C47" s="6" t="inlineStr">
        <is>
          <t>Distribution threshold</t>
        </is>
      </c>
      <c r="D47" s="27" t="n">
        <v>1.1</v>
      </c>
    </row>
    <row r="49">
      <c r="A49" s="3" t="inlineStr">
        <is>
          <t>TAX INPUTS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5" t="inlineStr">
        <is>
          <t>Tax Rate</t>
        </is>
      </c>
      <c r="B50" s="6" t="inlineStr">
        <is>
          <t>%</t>
        </is>
      </c>
      <c r="C50" s="6" t="inlineStr">
        <is>
          <t>Blended federal + state</t>
        </is>
      </c>
      <c r="D50" s="26" t="n">
        <v>0.25</v>
      </c>
    </row>
    <row r="51">
      <c r="A51" s="5" t="inlineStr">
        <is>
          <t>Depreciable Basis</t>
        </is>
      </c>
      <c r="B51" s="6" t="inlineStr">
        <is>
          <t>%</t>
        </is>
      </c>
      <c r="C51" s="6" t="inlineStr">
        <is>
          <t>% of EV for depreciation</t>
        </is>
      </c>
      <c r="D51" s="26" t="n">
        <v>0.85</v>
      </c>
    </row>
    <row r="52">
      <c r="A52" s="5" t="inlineStr">
        <is>
          <t>Depreciation Life</t>
        </is>
      </c>
      <c r="B52" s="6" t="inlineStr">
        <is>
          <t>years</t>
        </is>
      </c>
      <c r="C52" s="6" t="inlineStr">
        <is>
          <t>Straight-line</t>
        </is>
      </c>
      <c r="D52" s="14" t="n">
        <v>15</v>
      </c>
    </row>
    <row r="54">
      <c r="A54" s="3" t="inlineStr">
        <is>
          <t>CALCULATED ITEMS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5" t="inlineStr">
        <is>
          <t>UCAP (Unforced Capacity)</t>
        </is>
      </c>
      <c r="B55" s="6" t="inlineStr">
        <is>
          <t>MW</t>
        </is>
      </c>
      <c r="C55" s="6" t="inlineStr">
        <is>
          <t>Capacity × (1 - FOR)</t>
        </is>
      </c>
      <c r="D55" s="16">
        <f>$D$23*(1-$D$26)</f>
        <v/>
      </c>
    </row>
    <row r="56">
      <c r="A56" s="5" t="inlineStr">
        <is>
          <t>Annual Generation</t>
        </is>
      </c>
      <c r="B56" s="6" t="inlineStr">
        <is>
          <t>MWh</t>
        </is>
      </c>
      <c r="C56" s="6" t="inlineStr">
        <is>
          <t>Capacity × Hours × Avail</t>
        </is>
      </c>
      <c r="D56" s="17">
        <f>$D$23*$D$27*$D$25</f>
        <v/>
      </c>
    </row>
    <row r="57">
      <c r="A57" s="5" t="inlineStr">
        <is>
          <t>Debt Amount</t>
        </is>
      </c>
      <c r="B57" s="6" t="inlineStr">
        <is>
          <t>$mm</t>
        </is>
      </c>
      <c r="C57" s="6" t="inlineStr">
        <is>
          <t>Entry EV × Leverage</t>
        </is>
      </c>
      <c r="D57" s="18">
        <f>$D$17*$D$42</f>
        <v/>
      </c>
    </row>
    <row r="58">
      <c r="A58" s="5" t="inlineStr">
        <is>
          <t>Annual Depreciation</t>
        </is>
      </c>
      <c r="B58" s="6" t="inlineStr">
        <is>
          <t>$mm</t>
        </is>
      </c>
      <c r="C58" s="6" t="inlineStr">
        <is>
          <t>EV × Basis / Life</t>
        </is>
      </c>
      <c r="D58" s="18">
        <f>$D$17*$D$51/$D$52</f>
        <v/>
      </c>
    </row>
    <row r="59">
      <c r="A59" s="5" t="inlineStr">
        <is>
          <t>Scheduled Principal</t>
        </is>
      </c>
      <c r="B59" s="6" t="inlineStr">
        <is>
          <t>$mm/yr</t>
        </is>
      </c>
      <c r="C59" s="6" t="inlineStr">
        <is>
          <t>Debt / Tenor</t>
        </is>
      </c>
      <c r="D59" s="18">
        <f>$D$57/$D$44</f>
        <v/>
      </c>
    </row>
    <row r="61">
      <c r="A61" s="3" t="inlineStr">
        <is>
          <t>OPERATING MODEL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5" t="inlineStr">
        <is>
          <t>Power Price</t>
        </is>
      </c>
      <c r="B62" s="6" t="inlineStr">
        <is>
          <t>$/MWh</t>
        </is>
      </c>
      <c r="C62" s="6" t="inlineStr">
        <is>
          <t>Escalated</t>
        </is>
      </c>
      <c r="E62" s="18">
        <f>$D$30*(1+$D$33)^(1-1)</f>
        <v/>
      </c>
      <c r="F62" s="18">
        <f>$D$30*(1+$D$33)^(2-1)</f>
        <v/>
      </c>
      <c r="G62" s="18">
        <f>$D$30*(1+$D$33)^(3-1)</f>
        <v/>
      </c>
      <c r="H62" s="18">
        <f>$D$30*(1+$D$33)^(4-1)</f>
        <v/>
      </c>
      <c r="I62" s="18">
        <f>$D$30*(1+$D$33)^(5-1)</f>
        <v/>
      </c>
      <c r="J62" s="18">
        <f>$D$30*(1+$D$33)^(6-1)</f>
        <v/>
      </c>
      <c r="K62" s="18">
        <f>$D$30*(1+$D$33)^(7-1)</f>
        <v/>
      </c>
      <c r="L62" s="18">
        <f>$D$30*(1+$D$33)^(8-1)</f>
        <v/>
      </c>
      <c r="M62" s="18">
        <f>$D$30*(1+$D$33)^(9-1)</f>
        <v/>
      </c>
      <c r="N62" s="18">
        <f>$D$30*(1+$D$33)^(10-1)</f>
        <v/>
      </c>
    </row>
    <row r="63">
      <c r="A63" s="5" t="inlineStr">
        <is>
          <t>Capacity Price</t>
        </is>
      </c>
      <c r="B63" s="6" t="inlineStr">
        <is>
          <t>$/kW-yr</t>
        </is>
      </c>
      <c r="C63" s="6" t="inlineStr">
        <is>
          <t>Escalated</t>
        </is>
      </c>
      <c r="E63" s="18">
        <f>$D$31*(1+$D$33)^(1-1)</f>
        <v/>
      </c>
      <c r="F63" s="18">
        <f>$D$31*(1+$D$33)^(2-1)</f>
        <v/>
      </c>
      <c r="G63" s="18">
        <f>$D$31*(1+$D$33)^(3-1)</f>
        <v/>
      </c>
      <c r="H63" s="18">
        <f>$D$31*(1+$D$33)^(4-1)</f>
        <v/>
      </c>
      <c r="I63" s="18">
        <f>$D$31*(1+$D$33)^(5-1)</f>
        <v/>
      </c>
      <c r="J63" s="18">
        <f>$D$31*(1+$D$33)^(6-1)</f>
        <v/>
      </c>
      <c r="K63" s="18">
        <f>$D$31*(1+$D$33)^(7-1)</f>
        <v/>
      </c>
      <c r="L63" s="18">
        <f>$D$31*(1+$D$33)^(8-1)</f>
        <v/>
      </c>
      <c r="M63" s="18">
        <f>$D$31*(1+$D$33)^(9-1)</f>
        <v/>
      </c>
      <c r="N63" s="18">
        <f>$D$31*(1+$D$33)^(10-1)</f>
        <v/>
      </c>
    </row>
    <row r="64">
      <c r="A64" s="5" t="inlineStr">
        <is>
          <t>Gas Price</t>
        </is>
      </c>
      <c r="B64" s="6" t="inlineStr">
        <is>
          <t>$/mmBtu</t>
        </is>
      </c>
      <c r="C64" s="6" t="inlineStr">
        <is>
          <t>Escalated</t>
        </is>
      </c>
      <c r="E64" s="19">
        <f>$D$32*(1+$D$33)^(1-1)</f>
        <v/>
      </c>
      <c r="F64" s="19">
        <f>$D$32*(1+$D$33)^(2-1)</f>
        <v/>
      </c>
      <c r="G64" s="19">
        <f>$D$32*(1+$D$33)^(3-1)</f>
        <v/>
      </c>
      <c r="H64" s="19">
        <f>$D$32*(1+$D$33)^(4-1)</f>
        <v/>
      </c>
      <c r="I64" s="19">
        <f>$D$32*(1+$D$33)^(5-1)</f>
        <v/>
      </c>
      <c r="J64" s="19">
        <f>$D$32*(1+$D$33)^(6-1)</f>
        <v/>
      </c>
      <c r="K64" s="19">
        <f>$D$32*(1+$D$33)^(7-1)</f>
        <v/>
      </c>
      <c r="L64" s="19">
        <f>$D$32*(1+$D$33)^(8-1)</f>
        <v/>
      </c>
      <c r="M64" s="19">
        <f>$D$32*(1+$D$33)^(9-1)</f>
        <v/>
      </c>
      <c r="N64" s="19">
        <f>$D$32*(1+$D$33)^(10-1)</f>
        <v/>
      </c>
    </row>
    <row r="66">
      <c r="A66" s="5" t="inlineStr">
        <is>
          <t>Energy Revenue</t>
        </is>
      </c>
      <c r="B66" s="6" t="inlineStr">
        <is>
          <t>$mm</t>
        </is>
      </c>
      <c r="C66" s="6" t="inlineStr">
        <is>
          <t>Generation × Power Price / 1M</t>
        </is>
      </c>
      <c r="E66" s="18">
        <f>$D$56*E62/1000000</f>
        <v/>
      </c>
      <c r="F66" s="18">
        <f>$D$56*F62/1000000</f>
        <v/>
      </c>
      <c r="G66" s="18">
        <f>$D$56*G62/1000000</f>
        <v/>
      </c>
      <c r="H66" s="18">
        <f>$D$56*H62/1000000</f>
        <v/>
      </c>
      <c r="I66" s="18">
        <f>$D$56*I62/1000000</f>
        <v/>
      </c>
      <c r="J66" s="18">
        <f>$D$56*J62/1000000</f>
        <v/>
      </c>
      <c r="K66" s="18">
        <f>$D$56*K62/1000000</f>
        <v/>
      </c>
      <c r="L66" s="18">
        <f>$D$56*L62/1000000</f>
        <v/>
      </c>
      <c r="M66" s="18">
        <f>$D$56*M62/1000000</f>
        <v/>
      </c>
      <c r="N66" s="18">
        <f>$D$56*N62/1000000</f>
        <v/>
      </c>
    </row>
    <row r="67">
      <c r="A67" s="5" t="inlineStr">
        <is>
          <t>Capacity Revenue</t>
        </is>
      </c>
      <c r="B67" s="6" t="inlineStr">
        <is>
          <t>$mm</t>
        </is>
      </c>
      <c r="C67" s="6" t="inlineStr">
        <is>
          <t>UCAP × Cap Price × 1000 / 1M</t>
        </is>
      </c>
      <c r="E67" s="18">
        <f>$D$55*E63*1000/1000000</f>
        <v/>
      </c>
      <c r="F67" s="18">
        <f>$D$55*F63*1000/1000000</f>
        <v/>
      </c>
      <c r="G67" s="18">
        <f>$D$55*G63*1000/1000000</f>
        <v/>
      </c>
      <c r="H67" s="18">
        <f>$D$55*H63*1000/1000000</f>
        <v/>
      </c>
      <c r="I67" s="18">
        <f>$D$55*I63*1000/1000000</f>
        <v/>
      </c>
      <c r="J67" s="18">
        <f>$D$55*J63*1000/1000000</f>
        <v/>
      </c>
      <c r="K67" s="18">
        <f>$D$55*K63*1000/1000000</f>
        <v/>
      </c>
      <c r="L67" s="18">
        <f>$D$55*L63*1000/1000000</f>
        <v/>
      </c>
      <c r="M67" s="18">
        <f>$D$55*M63*1000/1000000</f>
        <v/>
      </c>
      <c r="N67" s="18">
        <f>$D$55*N63*1000/1000000</f>
        <v/>
      </c>
    </row>
    <row r="68">
      <c r="A68" s="5" t="inlineStr">
        <is>
          <t>Total Revenue</t>
        </is>
      </c>
      <c r="B68" s="6" t="inlineStr">
        <is>
          <t>$mm</t>
        </is>
      </c>
      <c r="C68" s="6" t="inlineStr"/>
      <c r="E68" s="20">
        <f>E66+E67</f>
        <v/>
      </c>
      <c r="F68" s="20">
        <f>F66+F67</f>
        <v/>
      </c>
      <c r="G68" s="20">
        <f>G66+G67</f>
        <v/>
      </c>
      <c r="H68" s="20">
        <f>H66+H67</f>
        <v/>
      </c>
      <c r="I68" s="20">
        <f>I66+I67</f>
        <v/>
      </c>
      <c r="J68" s="20">
        <f>J66+J67</f>
        <v/>
      </c>
      <c r="K68" s="20">
        <f>K66+K67</f>
        <v/>
      </c>
      <c r="L68" s="20">
        <f>L66+L67</f>
        <v/>
      </c>
      <c r="M68" s="20">
        <f>M66+M67</f>
        <v/>
      </c>
      <c r="N68" s="20">
        <f>N66+N67</f>
        <v/>
      </c>
    </row>
    <row r="70">
      <c r="A70" s="5" t="inlineStr">
        <is>
          <t>Fuel Cost</t>
        </is>
      </c>
      <c r="B70" s="6" t="inlineStr">
        <is>
          <t>$mm</t>
        </is>
      </c>
      <c r="C70" s="6" t="inlineStr">
        <is>
          <t>Gen × HR × Gas / 1B</t>
        </is>
      </c>
      <c r="E70" s="18">
        <f>$D$56*$D$24*E64/1E9</f>
        <v/>
      </c>
      <c r="F70" s="18">
        <f>$D$56*$D$24*F64/1E9</f>
        <v/>
      </c>
      <c r="G70" s="18">
        <f>$D$56*$D$24*G64/1E9</f>
        <v/>
      </c>
      <c r="H70" s="18">
        <f>$D$56*$D$24*H64/1E9</f>
        <v/>
      </c>
      <c r="I70" s="18">
        <f>$D$56*$D$24*I64/1E9</f>
        <v/>
      </c>
      <c r="J70" s="18">
        <f>$D$56*$D$24*J64/1E9</f>
        <v/>
      </c>
      <c r="K70" s="18">
        <f>$D$56*$D$24*K64/1E9</f>
        <v/>
      </c>
      <c r="L70" s="18">
        <f>$D$56*$D$24*L64/1E9</f>
        <v/>
      </c>
      <c r="M70" s="18">
        <f>$D$56*$D$24*M64/1E9</f>
        <v/>
      </c>
      <c r="N70" s="18">
        <f>$D$56*$D$24*N64/1E9</f>
        <v/>
      </c>
    </row>
    <row r="71">
      <c r="A71" s="5" t="inlineStr">
        <is>
          <t>VOM</t>
        </is>
      </c>
      <c r="B71" s="6" t="inlineStr">
        <is>
          <t>$mm</t>
        </is>
      </c>
      <c r="C71" s="6" t="inlineStr">
        <is>
          <t>Generation × VOM rate / 1M</t>
        </is>
      </c>
      <c r="E71" s="18">
        <f>$D$56*$D$36/1000000</f>
        <v/>
      </c>
      <c r="F71" s="18">
        <f>$D$56*$D$36/1000000</f>
        <v/>
      </c>
      <c r="G71" s="18">
        <f>$D$56*$D$36/1000000</f>
        <v/>
      </c>
      <c r="H71" s="18">
        <f>$D$56*$D$36/1000000</f>
        <v/>
      </c>
      <c r="I71" s="18">
        <f>$D$56*$D$36/1000000</f>
        <v/>
      </c>
      <c r="J71" s="18">
        <f>$D$56*$D$36/1000000</f>
        <v/>
      </c>
      <c r="K71" s="18">
        <f>$D$56*$D$36/1000000</f>
        <v/>
      </c>
      <c r="L71" s="18">
        <f>$D$56*$D$36/1000000</f>
        <v/>
      </c>
      <c r="M71" s="18">
        <f>$D$56*$D$36/1000000</f>
        <v/>
      </c>
      <c r="N71" s="18">
        <f>$D$56*$D$36/1000000</f>
        <v/>
      </c>
    </row>
    <row r="72">
      <c r="A72" s="5" t="inlineStr">
        <is>
          <t>FOM</t>
        </is>
      </c>
      <c r="B72" s="6" t="inlineStr">
        <is>
          <t>$mm</t>
        </is>
      </c>
      <c r="C72" s="6" t="inlineStr">
        <is>
          <t>Capacity × FOM × esc × 1000 / 1M</t>
        </is>
      </c>
      <c r="E72" s="18">
        <f>$D$23*$D$37*(1+$D$33)^(1-1)*1000/1000000</f>
        <v/>
      </c>
      <c r="F72" s="18">
        <f>$D$23*$D$37*(1+$D$33)^(2-1)*1000/1000000</f>
        <v/>
      </c>
      <c r="G72" s="18">
        <f>$D$23*$D$37*(1+$D$33)^(3-1)*1000/1000000</f>
        <v/>
      </c>
      <c r="H72" s="18">
        <f>$D$23*$D$37*(1+$D$33)^(4-1)*1000/1000000</f>
        <v/>
      </c>
      <c r="I72" s="18">
        <f>$D$23*$D$37*(1+$D$33)^(5-1)*1000/1000000</f>
        <v/>
      </c>
      <c r="J72" s="18">
        <f>$D$23*$D$37*(1+$D$33)^(6-1)*1000/1000000</f>
        <v/>
      </c>
      <c r="K72" s="18">
        <f>$D$23*$D$37*(1+$D$33)^(7-1)*1000/1000000</f>
        <v/>
      </c>
      <c r="L72" s="18">
        <f>$D$23*$D$37*(1+$D$33)^(8-1)*1000/1000000</f>
        <v/>
      </c>
      <c r="M72" s="18">
        <f>$D$23*$D$37*(1+$D$33)^(9-1)*1000/1000000</f>
        <v/>
      </c>
      <c r="N72" s="18">
        <f>$D$23*$D$37*(1+$D$33)^(10-1)*1000/1000000</f>
        <v/>
      </c>
    </row>
    <row r="73">
      <c r="A73" s="5" t="inlineStr">
        <is>
          <t>Total Operating Costs</t>
        </is>
      </c>
      <c r="B73" s="6" t="inlineStr">
        <is>
          <t>$mm</t>
        </is>
      </c>
      <c r="C73" s="6" t="inlineStr"/>
      <c r="E73" s="18">
        <f>E70+E71+E72</f>
        <v/>
      </c>
      <c r="F73" s="18">
        <f>F70+F71+F72</f>
        <v/>
      </c>
      <c r="G73" s="18">
        <f>G70+G71+G72</f>
        <v/>
      </c>
      <c r="H73" s="18">
        <f>H70+H71+H72</f>
        <v/>
      </c>
      <c r="I73" s="18">
        <f>I70+I71+I72</f>
        <v/>
      </c>
      <c r="J73" s="18">
        <f>J70+J71+J72</f>
        <v/>
      </c>
      <c r="K73" s="18">
        <f>K70+K71+K72</f>
        <v/>
      </c>
      <c r="L73" s="18">
        <f>L70+L71+L72</f>
        <v/>
      </c>
      <c r="M73" s="18">
        <f>M70+M71+M72</f>
        <v/>
      </c>
      <c r="N73" s="18">
        <f>N70+N71+N72</f>
        <v/>
      </c>
    </row>
    <row r="75">
      <c r="A75" s="5" t="inlineStr">
        <is>
          <t>EBITDA</t>
        </is>
      </c>
      <c r="B75" s="6" t="inlineStr">
        <is>
          <t>$mm</t>
        </is>
      </c>
      <c r="C75" s="6" t="inlineStr">
        <is>
          <t>Revenue minus OpEx</t>
        </is>
      </c>
      <c r="E75" s="7">
        <f>E68-E73</f>
        <v/>
      </c>
      <c r="F75" s="7">
        <f>F68-F73</f>
        <v/>
      </c>
      <c r="G75" s="7">
        <f>G68-G73</f>
        <v/>
      </c>
      <c r="H75" s="7">
        <f>H68-H73</f>
        <v/>
      </c>
      <c r="I75" s="7">
        <f>I68-I73</f>
        <v/>
      </c>
      <c r="J75" s="7">
        <f>J68-J73</f>
        <v/>
      </c>
      <c r="K75" s="7">
        <f>K68-K73</f>
        <v/>
      </c>
      <c r="L75" s="7">
        <f>L68-L73</f>
        <v/>
      </c>
      <c r="M75" s="7">
        <f>M68-M73</f>
        <v/>
      </c>
      <c r="N75" s="7">
        <f>N68-N73</f>
        <v/>
      </c>
    </row>
    <row r="77">
      <c r="A77" s="3" t="inlineStr">
        <is>
          <t>CASH FLOW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5" t="inlineStr">
        <is>
          <t>EBIT</t>
        </is>
      </c>
      <c r="B78" s="6" t="inlineStr">
        <is>
          <t>$mm</t>
        </is>
      </c>
      <c r="C78" s="6" t="inlineStr">
        <is>
          <t>EBITDA - Depreciation</t>
        </is>
      </c>
      <c r="E78" s="18">
        <f>E75-$D$58</f>
        <v/>
      </c>
      <c r="F78" s="18">
        <f>F75-$D$58</f>
        <v/>
      </c>
      <c r="G78" s="18">
        <f>G75-$D$58</f>
        <v/>
      </c>
      <c r="H78" s="18">
        <f>H75-$D$58</f>
        <v/>
      </c>
      <c r="I78" s="18">
        <f>I75-$D$58</f>
        <v/>
      </c>
      <c r="J78" s="18">
        <f>J75-$D$58</f>
        <v/>
      </c>
      <c r="K78" s="18">
        <f>K75-$D$58</f>
        <v/>
      </c>
      <c r="L78" s="18">
        <f>L75-$D$58</f>
        <v/>
      </c>
      <c r="M78" s="18">
        <f>M75-$D$58</f>
        <v/>
      </c>
      <c r="N78" s="18">
        <f>N75-$D$58</f>
        <v/>
      </c>
    </row>
    <row r="79">
      <c r="A79" s="5" t="inlineStr">
        <is>
          <t>Taxes</t>
        </is>
      </c>
      <c r="B79" s="6" t="inlineStr">
        <is>
          <t>$mm</t>
        </is>
      </c>
      <c r="C79" s="6" t="inlineStr">
        <is>
          <t>MAX(0, EBIT) × Tax Rate</t>
        </is>
      </c>
      <c r="E79" s="18">
        <f>MAX(0,E78)*$D$50</f>
        <v/>
      </c>
      <c r="F79" s="18">
        <f>MAX(0,F78)*$D$50</f>
        <v/>
      </c>
      <c r="G79" s="18">
        <f>MAX(0,G78)*$D$50</f>
        <v/>
      </c>
      <c r="H79" s="18">
        <f>MAX(0,H78)*$D$50</f>
        <v/>
      </c>
      <c r="I79" s="18">
        <f>MAX(0,I78)*$D$50</f>
        <v/>
      </c>
      <c r="J79" s="18">
        <f>MAX(0,J78)*$D$50</f>
        <v/>
      </c>
      <c r="K79" s="18">
        <f>MAX(0,K78)*$D$50</f>
        <v/>
      </c>
      <c r="L79" s="18">
        <f>MAX(0,L78)*$D$50</f>
        <v/>
      </c>
      <c r="M79" s="18">
        <f>MAX(0,M78)*$D$50</f>
        <v/>
      </c>
      <c r="N79" s="18">
        <f>MAX(0,N78)*$D$50</f>
        <v/>
      </c>
    </row>
    <row r="80">
      <c r="A80" s="5" t="inlineStr">
        <is>
          <t>Major Maintenance</t>
        </is>
      </c>
      <c r="B80" s="6" t="inlineStr">
        <is>
          <t>$mm</t>
        </is>
      </c>
      <c r="C80" s="6" t="inlineStr">
        <is>
          <t>HGP in specified year</t>
        </is>
      </c>
      <c r="E80" s="21">
        <f>IF(1=$D$38,$D$39,0)</f>
        <v/>
      </c>
      <c r="F80" s="21">
        <f>IF(2=$D$38,$D$39,0)</f>
        <v/>
      </c>
      <c r="G80" s="21">
        <f>IF(3=$D$38,$D$39,0)</f>
        <v/>
      </c>
      <c r="H80" s="21">
        <f>IF(4=$D$38,$D$39,0)</f>
        <v/>
      </c>
      <c r="I80" s="21">
        <f>IF(5=$D$38,$D$39,0)</f>
        <v/>
      </c>
      <c r="J80" s="21">
        <f>IF(6=$D$38,$D$39,0)</f>
        <v/>
      </c>
      <c r="K80" s="21">
        <f>IF(7=$D$38,$D$39,0)</f>
        <v/>
      </c>
      <c r="L80" s="21">
        <f>IF(8=$D$38,$D$39,0)</f>
        <v/>
      </c>
      <c r="M80" s="21">
        <f>IF(9=$D$38,$D$39,0)</f>
        <v/>
      </c>
      <c r="N80" s="21">
        <f>IF(10=$D$38,$D$39,0)</f>
        <v/>
      </c>
    </row>
    <row r="81">
      <c r="A81" s="5" t="inlineStr">
        <is>
          <t>CFADS</t>
        </is>
      </c>
      <c r="B81" s="6" t="inlineStr">
        <is>
          <t>$mm</t>
        </is>
      </c>
      <c r="C81" s="6" t="inlineStr">
        <is>
          <t>EBITDA - Taxes - Maint</t>
        </is>
      </c>
      <c r="E81" s="7">
        <f>E75-E79-E80</f>
        <v/>
      </c>
      <c r="F81" s="7">
        <f>F75-F79-F80</f>
        <v/>
      </c>
      <c r="G81" s="7">
        <f>G75-G79-G80</f>
        <v/>
      </c>
      <c r="H81" s="7">
        <f>H75-H79-H80</f>
        <v/>
      </c>
      <c r="I81" s="7">
        <f>I75-I79-I80</f>
        <v/>
      </c>
      <c r="J81" s="7">
        <f>J75-J79-J80</f>
        <v/>
      </c>
      <c r="K81" s="7">
        <f>K75-K79-K80</f>
        <v/>
      </c>
      <c r="L81" s="7">
        <f>L75-L79-L80</f>
        <v/>
      </c>
      <c r="M81" s="7">
        <f>M75-M79-M80</f>
        <v/>
      </c>
      <c r="N81" s="7">
        <f>N75-N79-N80</f>
        <v/>
      </c>
    </row>
    <row r="83">
      <c r="A83" s="3" t="inlineStr">
        <is>
          <t>DEBT SCHEDULE (50% Cash Sweep)</t>
        </is>
      </c>
      <c r="B83" s="4" t="n"/>
      <c r="C83" s="4" t="inlineStr">
        <is>
          <t>MIN(Excess×%, Bal−Sched)</t>
        </is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5" t="inlineStr">
        <is>
          <t>Beginning Balance</t>
        </is>
      </c>
      <c r="B84" s="6" t="inlineStr">
        <is>
          <t>$mm</t>
        </is>
      </c>
      <c r="C84" s="6" t="inlineStr"/>
      <c r="E84" s="18">
        <f>$D$57</f>
        <v/>
      </c>
      <c r="F84" s="18">
        <f>E91</f>
        <v/>
      </c>
      <c r="G84" s="18">
        <f>F91</f>
        <v/>
      </c>
      <c r="H84" s="18">
        <f>G91</f>
        <v/>
      </c>
      <c r="I84" s="18">
        <f>H91</f>
        <v/>
      </c>
      <c r="J84" s="18">
        <f>I91</f>
        <v/>
      </c>
      <c r="K84" s="18">
        <f>J91</f>
        <v/>
      </c>
      <c r="L84" s="18">
        <f>K91</f>
        <v/>
      </c>
      <c r="M84" s="18">
        <f>L91</f>
        <v/>
      </c>
      <c r="N84" s="18">
        <f>M91</f>
        <v/>
      </c>
    </row>
    <row r="85">
      <c r="A85" s="5" t="inlineStr">
        <is>
          <t>Interest</t>
        </is>
      </c>
      <c r="B85" s="6" t="inlineStr">
        <is>
          <t>$mm</t>
        </is>
      </c>
      <c r="C85" s="6" t="inlineStr">
        <is>
          <t>Beg Bal × Int Rate</t>
        </is>
      </c>
      <c r="E85" s="18">
        <f>E84*$D$43</f>
        <v/>
      </c>
      <c r="F85" s="18">
        <f>F84*$D$43</f>
        <v/>
      </c>
      <c r="G85" s="18">
        <f>G84*$D$43</f>
        <v/>
      </c>
      <c r="H85" s="18">
        <f>H84*$D$43</f>
        <v/>
      </c>
      <c r="I85" s="18">
        <f>I84*$D$43</f>
        <v/>
      </c>
      <c r="J85" s="18">
        <f>J84*$D$43</f>
        <v/>
      </c>
      <c r="K85" s="18">
        <f>K84*$D$43</f>
        <v/>
      </c>
      <c r="L85" s="18">
        <f>L84*$D$43</f>
        <v/>
      </c>
      <c r="M85" s="18">
        <f>M84*$D$43</f>
        <v/>
      </c>
      <c r="N85" s="18">
        <f>N84*$D$43</f>
        <v/>
      </c>
    </row>
    <row r="86">
      <c r="A86" s="5" t="inlineStr">
        <is>
          <t>Scheduled Principal</t>
        </is>
      </c>
      <c r="B86" s="6" t="inlineStr">
        <is>
          <t>$mm</t>
        </is>
      </c>
      <c r="C86" s="6" t="inlineStr">
        <is>
          <t>MIN(Sched, Beg Bal)</t>
        </is>
      </c>
      <c r="E86" s="18">
        <f>MIN($D$59,E84)</f>
        <v/>
      </c>
      <c r="F86" s="18">
        <f>MIN($D$59,F84)</f>
        <v/>
      </c>
      <c r="G86" s="18">
        <f>MIN($D$59,G84)</f>
        <v/>
      </c>
      <c r="H86" s="18">
        <f>MIN($D$59,H84)</f>
        <v/>
      </c>
      <c r="I86" s="18">
        <f>MIN($D$59,I84)</f>
        <v/>
      </c>
      <c r="J86" s="18">
        <f>MIN($D$59,J84)</f>
        <v/>
      </c>
      <c r="K86" s="18">
        <f>MIN($D$59,K84)</f>
        <v/>
      </c>
      <c r="L86" s="18">
        <f>MIN($D$59,L84)</f>
        <v/>
      </c>
      <c r="M86" s="18">
        <f>MIN($D$59,M84)</f>
        <v/>
      </c>
      <c r="N86" s="18">
        <f>MIN($D$59,N84)</f>
        <v/>
      </c>
    </row>
    <row r="87">
      <c r="A87" s="5" t="inlineStr">
        <is>
          <t>Debt Service (Pre-Sweep)</t>
        </is>
      </c>
      <c r="B87" s="6" t="inlineStr">
        <is>
          <t>$mm</t>
        </is>
      </c>
      <c r="C87" s="6" t="inlineStr">
        <is>
          <t>Interest + Sched Prin</t>
        </is>
      </c>
      <c r="E87" s="18">
        <f>E85+E86</f>
        <v/>
      </c>
      <c r="F87" s="18">
        <f>F85+F86</f>
        <v/>
      </c>
      <c r="G87" s="18">
        <f>G85+G86</f>
        <v/>
      </c>
      <c r="H87" s="18">
        <f>H85+H86</f>
        <v/>
      </c>
      <c r="I87" s="18">
        <f>I85+I86</f>
        <v/>
      </c>
      <c r="J87" s="18">
        <f>J85+J86</f>
        <v/>
      </c>
      <c r="K87" s="18">
        <f>K85+K86</f>
        <v/>
      </c>
      <c r="L87" s="18">
        <f>L85+L86</f>
        <v/>
      </c>
      <c r="M87" s="18">
        <f>M85+M86</f>
        <v/>
      </c>
      <c r="N87" s="18">
        <f>N85+N86</f>
        <v/>
      </c>
    </row>
    <row r="88">
      <c r="A88" s="5" t="inlineStr">
        <is>
          <t>Excess Cash</t>
        </is>
      </c>
      <c r="B88" s="6" t="inlineStr">
        <is>
          <t>$mm</t>
        </is>
      </c>
      <c r="C88" s="6" t="inlineStr">
        <is>
          <t>CFADS - DS - DSRA Funding</t>
        </is>
      </c>
      <c r="E88" s="18">
        <f>MAX(0,E81-E87-E97)</f>
        <v/>
      </c>
      <c r="F88" s="18">
        <f>MAX(0,F81-F87-F97)</f>
        <v/>
      </c>
      <c r="G88" s="18">
        <f>MAX(0,G81-G87-G97)</f>
        <v/>
      </c>
      <c r="H88" s="18">
        <f>MAX(0,H81-H87-H97)</f>
        <v/>
      </c>
      <c r="I88" s="18">
        <f>MAX(0,I81-I87-I97)</f>
        <v/>
      </c>
      <c r="J88" s="18">
        <f>MAX(0,J81-J87-J97)</f>
        <v/>
      </c>
      <c r="K88" s="18">
        <f>MAX(0,K81-K87-K97)</f>
        <v/>
      </c>
      <c r="L88" s="18">
        <f>MAX(0,L81-L87-L97)</f>
        <v/>
      </c>
      <c r="M88" s="18">
        <f>MAX(0,M81-M87-M97)</f>
        <v/>
      </c>
      <c r="N88" s="18">
        <f>MAX(0,N81-N87-N97)</f>
        <v/>
      </c>
    </row>
    <row r="89">
      <c r="A89" s="5" t="inlineStr">
        <is>
          <t>Cash Sweep</t>
        </is>
      </c>
      <c r="B89" s="6" t="inlineStr">
        <is>
          <t>$mm</t>
        </is>
      </c>
      <c r="C89" s="6" t="inlineStr">
        <is>
          <t>MIN(Excess×50%, Beg-Sched)</t>
        </is>
      </c>
      <c r="E89" s="21">
        <f>MIN(MAX(0,E88)*$D$46,MAX(0,E84-E86))</f>
        <v/>
      </c>
      <c r="F89" s="21">
        <f>MIN(MAX(0,F88)*$D$46,MAX(0,F84-F86))</f>
        <v/>
      </c>
      <c r="G89" s="21">
        <f>MIN(MAX(0,G88)*$D$46,MAX(0,G84-G86))</f>
        <v/>
      </c>
      <c r="H89" s="21">
        <f>MIN(MAX(0,H88)*$D$46,MAX(0,H84-H86))</f>
        <v/>
      </c>
      <c r="I89" s="21">
        <f>MIN(MAX(0,I88)*$D$46,MAX(0,I84-I86))</f>
        <v/>
      </c>
      <c r="J89" s="21">
        <f>MIN(MAX(0,J88)*$D$46,MAX(0,J84-J86))</f>
        <v/>
      </c>
      <c r="K89" s="21">
        <f>MIN(MAX(0,K88)*$D$46,MAX(0,K84-K86))</f>
        <v/>
      </c>
      <c r="L89" s="21">
        <f>MIN(MAX(0,L88)*$D$46,MAX(0,L84-L86))</f>
        <v/>
      </c>
      <c r="M89" s="21">
        <f>MIN(MAX(0,M88)*$D$46,MAX(0,M84-M86))</f>
        <v/>
      </c>
      <c r="N89" s="21">
        <f>MIN(MAX(0,N88)*$D$46,MAX(0,N84-N86))</f>
        <v/>
      </c>
    </row>
    <row r="90">
      <c r="A90" s="5" t="inlineStr">
        <is>
          <t>Total Principal</t>
        </is>
      </c>
      <c r="B90" s="6" t="inlineStr">
        <is>
          <t>$mm</t>
        </is>
      </c>
      <c r="C90" s="6" t="inlineStr">
        <is>
          <t>Scheduled + Sweep</t>
        </is>
      </c>
      <c r="E90" s="18">
        <f>E86+E89</f>
        <v/>
      </c>
      <c r="F90" s="18">
        <f>F86+F89</f>
        <v/>
      </c>
      <c r="G90" s="18">
        <f>G86+G89</f>
        <v/>
      </c>
      <c r="H90" s="18">
        <f>H86+H89</f>
        <v/>
      </c>
      <c r="I90" s="18">
        <f>I86+I89</f>
        <v/>
      </c>
      <c r="J90" s="18">
        <f>J86+J89</f>
        <v/>
      </c>
      <c r="K90" s="18">
        <f>K86+K89</f>
        <v/>
      </c>
      <c r="L90" s="18">
        <f>L86+L89</f>
        <v/>
      </c>
      <c r="M90" s="18">
        <f>M86+M89</f>
        <v/>
      </c>
      <c r="N90" s="18">
        <f>N86+N89</f>
        <v/>
      </c>
    </row>
    <row r="91">
      <c r="A91" s="5" t="inlineStr">
        <is>
          <t>Ending Balance</t>
        </is>
      </c>
      <c r="B91" s="6" t="inlineStr">
        <is>
          <t>$mm</t>
        </is>
      </c>
      <c r="C91" s="6" t="inlineStr">
        <is>
          <t>MAX(0, Beg - Total Prin)</t>
        </is>
      </c>
      <c r="E91" s="18">
        <f>MAX(0,E84-E90)</f>
        <v/>
      </c>
      <c r="F91" s="18">
        <f>MAX(0,F84-F90)</f>
        <v/>
      </c>
      <c r="G91" s="18">
        <f>MAX(0,G84-G90)</f>
        <v/>
      </c>
      <c r="H91" s="18">
        <f>MAX(0,H84-H90)</f>
        <v/>
      </c>
      <c r="I91" s="18">
        <f>MAX(0,I84-I90)</f>
        <v/>
      </c>
      <c r="J91" s="18">
        <f>MAX(0,J84-J90)</f>
        <v/>
      </c>
      <c r="K91" s="18">
        <f>MAX(0,K84-K90)</f>
        <v/>
      </c>
      <c r="L91" s="18">
        <f>MAX(0,L84-L90)</f>
        <v/>
      </c>
      <c r="M91" s="18">
        <f>MAX(0,M84-M90)</f>
        <v/>
      </c>
      <c r="N91" s="18">
        <f>MAX(0,N84-N90)</f>
        <v/>
      </c>
    </row>
    <row r="92">
      <c r="A92" s="5" t="inlineStr">
        <is>
          <t>DSCR</t>
        </is>
      </c>
      <c r="B92" s="6" t="inlineStr">
        <is>
          <t>x</t>
        </is>
      </c>
      <c r="C92" s="6" t="inlineStr">
        <is>
          <t>CFADS / Debt Service</t>
        </is>
      </c>
      <c r="E92" s="24">
        <f>IF(E87&gt;0,E81/E87,0)</f>
        <v/>
      </c>
      <c r="F92" s="24">
        <f>IF(F87&gt;0,F81/F87,0)</f>
        <v/>
      </c>
      <c r="G92" s="24">
        <f>IF(G87&gt;0,G81/G87,0)</f>
        <v/>
      </c>
      <c r="H92" s="24">
        <f>IF(H87&gt;0,H81/H87,0)</f>
        <v/>
      </c>
      <c r="I92" s="24">
        <f>IF(I87&gt;0,I81/I87,0)</f>
        <v/>
      </c>
      <c r="J92" s="24">
        <f>IF(J87&gt;0,J81/J87,0)</f>
        <v/>
      </c>
      <c r="K92" s="24">
        <f>IF(K87&gt;0,K81/K87,0)</f>
        <v/>
      </c>
      <c r="L92" s="24">
        <f>IF(L87&gt;0,L81/L87,0)</f>
        <v/>
      </c>
      <c r="M92" s="24">
        <f>IF(M87&gt;0,M81/M87,0)</f>
        <v/>
      </c>
      <c r="N92" s="24">
        <f>IF(N87&gt;0,N81/N87,0)</f>
        <v/>
      </c>
    </row>
    <row r="93">
      <c r="A93" s="5" t="inlineStr">
        <is>
          <t>Scheduled DS (for DSRA)</t>
        </is>
      </c>
      <c r="B93" s="6" t="inlineStr">
        <is>
          <t>$mm</t>
        </is>
      </c>
      <c r="C93" s="6" t="inlineStr">
        <is>
          <t>Based on straight-line amort</t>
        </is>
      </c>
      <c r="E93" s="18">
        <f>MAX(0,$D$57-(1-1)*$D$59)*$D$43+$D$59</f>
        <v/>
      </c>
      <c r="F93" s="18">
        <f>MAX(0,$D$57-(2-1)*$D$59)*$D$43+$D$59</f>
        <v/>
      </c>
      <c r="G93" s="18">
        <f>MAX(0,$D$57-(3-1)*$D$59)*$D$43+$D$59</f>
        <v/>
      </c>
      <c r="H93" s="18">
        <f>MAX(0,$D$57-(4-1)*$D$59)*$D$43+$D$59</f>
        <v/>
      </c>
      <c r="I93" s="18">
        <f>MAX(0,$D$57-(5-1)*$D$59)*$D$43+$D$59</f>
        <v/>
      </c>
      <c r="J93" s="18">
        <f>MAX(0,$D$57-(6-1)*$D$59)*$D$43+$D$59</f>
        <v/>
      </c>
      <c r="K93" s="18">
        <f>MAX(0,$D$57-(7-1)*$D$59)*$D$43+$D$59</f>
        <v/>
      </c>
      <c r="L93" s="18">
        <f>MAX(0,$D$57-(8-1)*$D$59)*$D$43+$D$59</f>
        <v/>
      </c>
      <c r="M93" s="18">
        <f>MAX(0,$D$57-(9-1)*$D$59)*$D$43+$D$59</f>
        <v/>
      </c>
      <c r="N93" s="18">
        <f>MAX(0,$D$57-(10-1)*$D$59)*$D$43+$D$59</f>
        <v/>
      </c>
    </row>
    <row r="94">
      <c r="A94" s="3" t="inlineStr">
        <is>
          <t>DSRA (Debt Service Reserve Account)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5" t="inlineStr">
        <is>
          <t>DSRA Target</t>
        </is>
      </c>
      <c r="B95" s="6" t="inlineStr">
        <is>
          <t>$mm</t>
        </is>
      </c>
      <c r="C95" s="6" t="inlineStr">
        <is>
          <t>Next Yr Scheduled DS × DSRA Months / 12</t>
        </is>
      </c>
      <c r="D95" s="18">
        <f>E93*$D$45/12</f>
        <v/>
      </c>
      <c r="E95" s="18">
        <f>F93*$D$45/12</f>
        <v/>
      </c>
      <c r="F95" s="18">
        <f>G93*$D$45/12</f>
        <v/>
      </c>
      <c r="G95" s="18">
        <f>H93*$D$45/12</f>
        <v/>
      </c>
      <c r="H95" s="18">
        <f>I93*$D$45/12</f>
        <v/>
      </c>
      <c r="I95" s="18">
        <f>J93*$D$45/12</f>
        <v/>
      </c>
      <c r="J95" s="18">
        <f>K93*$D$45/12</f>
        <v/>
      </c>
      <c r="K95" s="18">
        <f>L93*$D$45/12</f>
        <v/>
      </c>
      <c r="L95" s="18">
        <f>M93*$D$45/12</f>
        <v/>
      </c>
      <c r="M95" s="18">
        <f>N93*$D$45/12</f>
        <v/>
      </c>
      <c r="N95" s="18">
        <f>0</f>
        <v/>
      </c>
    </row>
    <row r="96">
      <c r="A96" s="5" t="inlineStr">
        <is>
          <t>DSRA Beginning</t>
        </is>
      </c>
      <c r="B96" s="6" t="inlineStr">
        <is>
          <t>$mm</t>
        </is>
      </c>
      <c r="C96" s="6" t="inlineStr"/>
      <c r="D96" s="18">
        <f>0</f>
        <v/>
      </c>
      <c r="E96" s="18">
        <f>D98</f>
        <v/>
      </c>
      <c r="F96" s="18">
        <f>E98</f>
        <v/>
      </c>
      <c r="G96" s="18">
        <f>F98</f>
        <v/>
      </c>
      <c r="H96" s="18">
        <f>G98</f>
        <v/>
      </c>
      <c r="I96" s="18">
        <f>H98</f>
        <v/>
      </c>
      <c r="J96" s="18">
        <f>I98</f>
        <v/>
      </c>
      <c r="K96" s="18">
        <f>J98</f>
        <v/>
      </c>
      <c r="L96" s="18">
        <f>K98</f>
        <v/>
      </c>
      <c r="M96" s="18">
        <f>L98</f>
        <v/>
      </c>
      <c r="N96" s="18">
        <f>M98</f>
        <v/>
      </c>
    </row>
    <row r="97">
      <c r="A97" s="5" t="inlineStr">
        <is>
          <t>DSRA Funding/(Release)</t>
        </is>
      </c>
      <c r="B97" s="6" t="inlineStr">
        <is>
          <t>$mm</t>
        </is>
      </c>
      <c r="C97" s="6" t="inlineStr">
        <is>
          <t>Target - Beginning</t>
        </is>
      </c>
      <c r="D97" s="18">
        <f>D95-D96</f>
        <v/>
      </c>
      <c r="E97" s="18">
        <f>E95-E96</f>
        <v/>
      </c>
      <c r="F97" s="18">
        <f>F95-F96</f>
        <v/>
      </c>
      <c r="G97" s="18">
        <f>G95-G96</f>
        <v/>
      </c>
      <c r="H97" s="18">
        <f>H95-H96</f>
        <v/>
      </c>
      <c r="I97" s="18">
        <f>I95-I96</f>
        <v/>
      </c>
      <c r="J97" s="18">
        <f>J95-J96</f>
        <v/>
      </c>
      <c r="K97" s="18">
        <f>K95-K96</f>
        <v/>
      </c>
      <c r="L97" s="18">
        <f>L95-L96</f>
        <v/>
      </c>
      <c r="M97" s="18">
        <f>M95-M96</f>
        <v/>
      </c>
      <c r="N97" s="18">
        <f>N95-N96</f>
        <v/>
      </c>
    </row>
    <row r="98">
      <c r="A98" s="5" t="inlineStr">
        <is>
          <t>DSRA Ending</t>
        </is>
      </c>
      <c r="B98" s="6" t="inlineStr">
        <is>
          <t>$mm</t>
        </is>
      </c>
      <c r="C98" s="6" t="inlineStr">
        <is>
          <t>Beginning + Funding</t>
        </is>
      </c>
      <c r="D98" s="18">
        <f>D96+D97</f>
        <v/>
      </c>
      <c r="E98" s="18">
        <f>E96+E97</f>
        <v/>
      </c>
      <c r="F98" s="18">
        <f>F96+F97</f>
        <v/>
      </c>
      <c r="G98" s="18">
        <f>G96+G97</f>
        <v/>
      </c>
      <c r="H98" s="18">
        <f>H96+H97</f>
        <v/>
      </c>
      <c r="I98" s="18">
        <f>I96+I97</f>
        <v/>
      </c>
      <c r="J98" s="18">
        <f>J96+J97</f>
        <v/>
      </c>
      <c r="K98" s="18">
        <f>K96+K97</f>
        <v/>
      </c>
      <c r="L98" s="18">
        <f>L96+L97</f>
        <v/>
      </c>
      <c r="M98" s="18">
        <f>M96+M97</f>
        <v/>
      </c>
      <c r="N98" s="18">
        <f>N96+N97</f>
        <v/>
      </c>
    </row>
    <row r="100">
      <c r="A100" s="3" t="inlineStr">
        <is>
          <t>DISTRIBUTION WATERFALL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5" t="inlineStr">
        <is>
          <t>Cash Available for Distribution</t>
        </is>
      </c>
      <c r="B101" s="6" t="inlineStr">
        <is>
          <t>$mm</t>
        </is>
      </c>
      <c r="C101" s="6" t="inlineStr">
        <is>
          <t>CFADS - Total DS - DSRA Fund</t>
        </is>
      </c>
      <c r="E101" s="18">
        <f>E81-(E85+E90)-E97</f>
        <v/>
      </c>
      <c r="F101" s="18">
        <f>F81-(F85+F90)-F97</f>
        <v/>
      </c>
      <c r="G101" s="18">
        <f>G81-(G85+G90)-G97</f>
        <v/>
      </c>
      <c r="H101" s="18">
        <f>H81-(H85+H90)-H97</f>
        <v/>
      </c>
      <c r="I101" s="18">
        <f>I81-(I85+I90)-I97</f>
        <v/>
      </c>
      <c r="J101" s="18">
        <f>J81-(J85+J90)-J97</f>
        <v/>
      </c>
      <c r="K101" s="18">
        <f>K81-(K85+K90)-K97</f>
        <v/>
      </c>
      <c r="L101" s="18">
        <f>L81-(L85+L90)-L97</f>
        <v/>
      </c>
      <c r="M101" s="18">
        <f>M81-(M85+M90)-M97</f>
        <v/>
      </c>
      <c r="N101" s="18">
        <f>N81-(N85+N90)-N97</f>
        <v/>
      </c>
    </row>
    <row r="102">
      <c r="A102" s="5" t="inlineStr">
        <is>
          <t>Lock-up Test</t>
        </is>
      </c>
      <c r="B102" s="6" t="inlineStr"/>
      <c r="C102" s="6" t="inlineStr">
        <is>
          <t>PASS if DSCR ≥ Lock-up</t>
        </is>
      </c>
      <c r="E102" s="22">
        <f>IF(E92&gt;=$D$47,"PASS","LOCKED")</f>
        <v/>
      </c>
      <c r="F102" s="22">
        <f>IF(F92&gt;=$D$47,"PASS","LOCKED")</f>
        <v/>
      </c>
      <c r="G102" s="22">
        <f>IF(G92&gt;=$D$47,"PASS","LOCKED")</f>
        <v/>
      </c>
      <c r="H102" s="22">
        <f>IF(H92&gt;=$D$47,"PASS","LOCKED")</f>
        <v/>
      </c>
      <c r="I102" s="22">
        <f>IF(I92&gt;=$D$47,"PASS","LOCKED")</f>
        <v/>
      </c>
      <c r="J102" s="22">
        <f>IF(J92&gt;=$D$47,"PASS","LOCKED")</f>
        <v/>
      </c>
      <c r="K102" s="22">
        <f>IF(K92&gt;=$D$47,"PASS","LOCKED")</f>
        <v/>
      </c>
      <c r="L102" s="22">
        <f>IF(L92&gt;=$D$47,"PASS","LOCKED")</f>
        <v/>
      </c>
      <c r="M102" s="22">
        <f>IF(M92&gt;=$D$47,"PASS","LOCKED")</f>
        <v/>
      </c>
      <c r="N102" s="22">
        <f>IF(N92&gt;=$D$47,"PASS","LOCKED")</f>
        <v/>
      </c>
    </row>
    <row r="103">
      <c r="A103" s="5" t="inlineStr">
        <is>
          <t>Distributable Cash</t>
        </is>
      </c>
      <c r="B103" s="6" t="inlineStr">
        <is>
          <t>$mm</t>
        </is>
      </c>
      <c r="C103" s="6" t="inlineStr">
        <is>
          <t>If PASS, MAX(0, Cash Avail)</t>
        </is>
      </c>
      <c r="E103" s="7">
        <f>IF(E102="PASS",MAX(0,E101),0)</f>
        <v/>
      </c>
      <c r="F103" s="7">
        <f>IF(F102="PASS",MAX(0,F101),0)</f>
        <v/>
      </c>
      <c r="G103" s="7">
        <f>IF(G102="PASS",MAX(0,G101),0)</f>
        <v/>
      </c>
      <c r="H103" s="7">
        <f>IF(H102="PASS",MAX(0,H101),0)</f>
        <v/>
      </c>
      <c r="I103" s="7">
        <f>IF(I102="PASS",MAX(0,I101),0)</f>
        <v/>
      </c>
      <c r="J103" s="7">
        <f>IF(J102="PASS",MAX(0,J101),0)</f>
        <v/>
      </c>
      <c r="K103" s="7">
        <f>IF(K102="PASS",MAX(0,K101),0)</f>
        <v/>
      </c>
      <c r="L103" s="7">
        <f>IF(L102="PASS",MAX(0,L101),0)</f>
        <v/>
      </c>
      <c r="M103" s="7">
        <f>IF(M102="PASS",MAX(0,M101),0)</f>
        <v/>
      </c>
      <c r="N103" s="7">
        <f>IF(N102="PASS",MAX(0,N101),0)</f>
        <v/>
      </c>
    </row>
    <row r="105">
      <c r="A105" s="3" t="inlineStr">
        <is>
          <t>SOURCES &amp; USES (Year 0)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3" t="inlineStr">
        <is>
          <t>USES</t>
        </is>
      </c>
      <c r="B106" s="6" t="inlineStr"/>
      <c r="C106" s="6" t="inlineStr"/>
    </row>
    <row r="107">
      <c r="A107" s="5" t="inlineStr">
        <is>
          <t xml:space="preserve">  Purchase Price</t>
        </is>
      </c>
      <c r="B107" s="6" t="inlineStr">
        <is>
          <t>$mm</t>
        </is>
      </c>
      <c r="C107" s="6" t="inlineStr"/>
      <c r="D107" s="18">
        <f>$D$17</f>
        <v/>
      </c>
    </row>
    <row r="108">
      <c r="A108" s="5" t="inlineStr">
        <is>
          <t xml:space="preserve">  Transaction Fees</t>
        </is>
      </c>
      <c r="B108" s="6" t="inlineStr">
        <is>
          <t>$mm</t>
        </is>
      </c>
      <c r="C108" s="6" t="inlineStr"/>
      <c r="D108" s="18">
        <f>$D$17*$D$18</f>
        <v/>
      </c>
    </row>
    <row r="109">
      <c r="A109" s="5" t="inlineStr">
        <is>
          <t xml:space="preserve">  DSRA Funding</t>
        </is>
      </c>
      <c r="B109" s="6" t="inlineStr">
        <is>
          <t>$mm</t>
        </is>
      </c>
      <c r="C109" s="6" t="inlineStr"/>
      <c r="D109" s="18">
        <f>D95</f>
        <v/>
      </c>
    </row>
    <row r="110">
      <c r="A110" s="5" t="inlineStr">
        <is>
          <t>Total Uses</t>
        </is>
      </c>
      <c r="B110" s="6" t="inlineStr">
        <is>
          <t>$mm</t>
        </is>
      </c>
      <c r="C110" s="6" t="inlineStr"/>
      <c r="D110" s="7">
        <f>D107+D108+D109</f>
        <v/>
      </c>
    </row>
    <row r="112">
      <c r="A112" s="23" t="inlineStr">
        <is>
          <t>SOURCES</t>
        </is>
      </c>
      <c r="B112" s="6" t="inlineStr"/>
      <c r="C112" s="6" t="inlineStr"/>
    </row>
    <row r="113">
      <c r="A113" s="5" t="inlineStr">
        <is>
          <t xml:space="preserve">  Debt</t>
        </is>
      </c>
      <c r="B113" s="6" t="inlineStr">
        <is>
          <t>$mm</t>
        </is>
      </c>
      <c r="C113" s="6" t="inlineStr"/>
      <c r="D113" s="18">
        <f>$D$57</f>
        <v/>
      </c>
    </row>
    <row r="114">
      <c r="A114" s="5" t="inlineStr">
        <is>
          <t xml:space="preserve">  Equity</t>
        </is>
      </c>
      <c r="B114" s="6" t="inlineStr">
        <is>
          <t>$mm</t>
        </is>
      </c>
      <c r="C114" s="6" t="inlineStr">
        <is>
          <t>Plug to balance</t>
        </is>
      </c>
      <c r="D114" s="18">
        <f>D110-D113</f>
        <v/>
      </c>
    </row>
    <row r="115">
      <c r="A115" s="5" t="inlineStr">
        <is>
          <t>Total Sources</t>
        </is>
      </c>
      <c r="B115" s="6" t="inlineStr">
        <is>
          <t>$mm</t>
        </is>
      </c>
      <c r="C115" s="6" t="inlineStr"/>
      <c r="D115" s="7">
        <f>D113+D114</f>
        <v/>
      </c>
    </row>
    <row r="116">
      <c r="A116" s="5" t="inlineStr">
        <is>
          <t>Balance Check</t>
        </is>
      </c>
      <c r="B116" s="6" t="inlineStr"/>
      <c r="C116" s="6" t="inlineStr"/>
      <c r="D116" s="10">
        <f>IF(ABS(D110-D115)&lt;0.01,"PASS","FAIL")</f>
        <v/>
      </c>
    </row>
    <row r="118">
      <c r="A118" s="3" t="inlineStr">
        <is>
          <t>EXIT CALCULATIONS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5" t="inlineStr">
        <is>
          <t>Exit EV</t>
        </is>
      </c>
      <c r="B119" s="6" t="inlineStr">
        <is>
          <t>$mm</t>
        </is>
      </c>
      <c r="C119" s="6" t="inlineStr">
        <is>
          <t>Exit Multiple × Exit Yr EBITDA</t>
        </is>
      </c>
      <c r="K119" s="18">
        <f>$D$19*K75</f>
        <v/>
      </c>
    </row>
    <row r="120">
      <c r="A120" s="5" t="inlineStr">
        <is>
          <t>Exit Debt Payoff</t>
        </is>
      </c>
      <c r="B120" s="6" t="inlineStr">
        <is>
          <t>$mm</t>
        </is>
      </c>
      <c r="C120" s="6" t="inlineStr">
        <is>
          <t>Ending Bal at Exit</t>
        </is>
      </c>
      <c r="K120" s="18">
        <f>K91</f>
        <v/>
      </c>
    </row>
    <row r="121">
      <c r="A121" s="5" t="inlineStr">
        <is>
          <t>DSRA Release</t>
        </is>
      </c>
      <c r="B121" s="6" t="inlineStr">
        <is>
          <t>$mm</t>
        </is>
      </c>
      <c r="C121" s="6" t="inlineStr">
        <is>
          <t>DSRA Ending at Exit</t>
        </is>
      </c>
      <c r="K121" s="18">
        <f>K98</f>
        <v/>
      </c>
    </row>
    <row r="122">
      <c r="A122" s="5" t="inlineStr">
        <is>
          <t>Exit Equity Proceeds</t>
        </is>
      </c>
      <c r="B122" s="6" t="inlineStr">
        <is>
          <t>$mm</t>
        </is>
      </c>
      <c r="C122" s="6" t="inlineStr">
        <is>
          <t>Exit EV - Debt + DSRA</t>
        </is>
      </c>
      <c r="K122" s="7">
        <f>K119-K120+K121</f>
        <v/>
      </c>
    </row>
    <row r="124">
      <c r="A124" s="3" t="inlineStr">
        <is>
          <t>EQUITY RETURNS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5" t="inlineStr">
        <is>
          <t>Equity Cash Flow</t>
        </is>
      </c>
      <c r="B125" s="6" t="inlineStr">
        <is>
          <t>$mm</t>
        </is>
      </c>
      <c r="C125" s="6" t="inlineStr"/>
      <c r="D125" s="18">
        <f>-D114</f>
        <v/>
      </c>
      <c r="E125" s="18">
        <f>E103</f>
        <v/>
      </c>
      <c r="F125" s="18">
        <f>F103</f>
        <v/>
      </c>
      <c r="G125" s="18">
        <f>G103</f>
        <v/>
      </c>
      <c r="H125" s="18">
        <f>H103</f>
        <v/>
      </c>
      <c r="I125" s="18">
        <f>I103</f>
        <v/>
      </c>
      <c r="J125" s="18">
        <f>J103</f>
        <v/>
      </c>
      <c r="K125" s="18">
        <f>K103+K122</f>
        <v/>
      </c>
      <c r="L125" s="18">
        <f>0</f>
        <v/>
      </c>
      <c r="M125" s="18">
        <f>0</f>
        <v/>
      </c>
      <c r="N125" s="18">
        <f>0</f>
        <v/>
      </c>
    </row>
    <row r="126">
      <c r="A126" s="5" t="inlineStr">
        <is>
          <t>Levered IRR</t>
        </is>
      </c>
      <c r="B126" s="6" t="inlineStr">
        <is>
          <t>%</t>
        </is>
      </c>
      <c r="C126" s="6" t="inlineStr">
        <is>
          <t>IRR of Equity CFs</t>
        </is>
      </c>
      <c r="D126" s="25">
        <f>IRR(D125:K125)</f>
        <v/>
      </c>
    </row>
    <row r="127">
      <c r="A127" s="5" t="inlineStr">
        <is>
          <t>MOIC</t>
        </is>
      </c>
      <c r="B127" s="6" t="inlineStr">
        <is>
          <t>x</t>
        </is>
      </c>
      <c r="C127" s="6" t="inlineStr">
        <is>
          <t>Sum inflows / outflow</t>
        </is>
      </c>
      <c r="D127" s="24">
        <f>SUMIF(D125:K125,"&gt;0")/ABS(D125)</f>
        <v/>
      </c>
    </row>
    <row r="129">
      <c r="A129" s="23" t="inlineStr">
        <is>
          <t>Unlevered Returns (for reference)</t>
        </is>
      </c>
      <c r="B129" s="6" t="inlineStr"/>
      <c r="C129" s="6" t="inlineStr"/>
    </row>
    <row r="130">
      <c r="A130" s="5" t="inlineStr">
        <is>
          <t>Unlevered Cash Flow</t>
        </is>
      </c>
      <c r="B130" s="6" t="inlineStr">
        <is>
          <t>$mm</t>
        </is>
      </c>
      <c r="C130" s="6" t="inlineStr"/>
      <c r="D130" s="18">
        <f>-$D$17-D108</f>
        <v/>
      </c>
      <c r="E130" s="18">
        <f>E81</f>
        <v/>
      </c>
      <c r="F130" s="18">
        <f>F81</f>
        <v/>
      </c>
      <c r="G130" s="18">
        <f>G81</f>
        <v/>
      </c>
      <c r="H130" s="18">
        <f>H81</f>
        <v/>
      </c>
      <c r="I130" s="18">
        <f>I81</f>
        <v/>
      </c>
      <c r="J130" s="18">
        <f>J81</f>
        <v/>
      </c>
      <c r="K130" s="18">
        <f>K81+K119</f>
        <v/>
      </c>
      <c r="L130" s="18">
        <f>0</f>
        <v/>
      </c>
      <c r="M130" s="18">
        <f>0</f>
        <v/>
      </c>
      <c r="N130" s="18">
        <f>0</f>
        <v/>
      </c>
    </row>
    <row r="131">
      <c r="A131" s="5" t="inlineStr">
        <is>
          <t>Unlevered IRR</t>
        </is>
      </c>
      <c r="B131" s="6" t="inlineStr">
        <is>
          <t>%</t>
        </is>
      </c>
      <c r="C131" s="6" t="inlineStr">
        <is>
          <t>IRR of Equity CFs</t>
        </is>
      </c>
      <c r="D131" s="25">
        <f>IRR(D130:K130)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2026-01-20T03:00:01Z</dcterms:created>
  <dcterms:modified xmlns:dcterms="http://purl.org/dc/terms/" xmlns:xsi="http://www.w3.org/2001/XMLSchema-instance" xsi:type="dcterms:W3CDTF">2026-01-20T04:30:33Z</dcterms:modified>
</cp:coreProperties>
</file>