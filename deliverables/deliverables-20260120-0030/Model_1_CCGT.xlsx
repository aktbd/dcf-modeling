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13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name val="Calibri"/>
      <sz val="11"/>
    </font>
    <font>
      <name val="Calibri"/>
      <b val="1"/>
      <color rgb="001F4E79"/>
      <sz val="14"/>
    </font>
    <font>
      <name val="Calibri"/>
      <b val="1"/>
      <sz val="12"/>
    </font>
    <font>
      <name val="Consolas"/>
      <sz val="10"/>
    </font>
    <font>
      <b val="1"/>
    </font>
    <font>
      <i val="1"/>
      <color rgb="000066CC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4" fontId="6" fillId="3" borderId="1" pivotButton="0" quotePrefix="0" xfId="0"/>
    <xf numFmtId="167" fontId="4" fillId="0" borderId="1" pivotButton="0" quotePrefix="0" xfId="0"/>
    <xf numFmtId="3" fontId="4" fillId="0" borderId="1" pivotButton="0" quotePrefix="0" xfId="0"/>
    <xf numFmtId="164" fontId="4" fillId="0" borderId="1" pivotButton="0" quotePrefix="0" xfId="0"/>
    <xf numFmtId="4" fontId="4" fillId="0" borderId="1" pivotButton="0" quotePrefix="0" xfId="0"/>
    <xf numFmtId="164" fontId="2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Lotus Infrastructure</author>
  </authors>
  <commentList>
    <comment ref="C3" authorId="0" shapeId="0">
      <text>
        <t>Enterprise Value = Equity + Debt. Represents total asset value regardless of financing structure.</t>
      </text>
    </comment>
    <comment ref="C4" authorId="0" shapeId="0">
      <text>
        <t>Cash earnings before financing. What is available to service debt and pay equity.</t>
      </text>
    </comment>
    <comment ref="C5" authorId="0" shapeId="0">
      <text>
        <t>Cash Flow Available for Debt Service. What remains after taxes to pay interest and principal.</t>
      </text>
    </comment>
    <comment ref="C6" authorId="0" shapeId="0">
      <text>
        <t>Debt Service Coverage Ratio. Key lender metric. Target: 1.25-1.40x.</t>
      </text>
    </comment>
    <comment ref="C7" authorId="0" shapeId="0">
      <text>
        <t>Return to equity after debt service. Should exceed cost of equity (12-15% for infra).</t>
      </text>
    </comment>
    <comment ref="C8" authorId="0" shapeId="0">
      <text>
        <t>Multiple on Invested Capital. Cash-on-cash return. 2.0x = doubled money.</t>
      </text>
    </comment>
    <comment ref="C9" authorId="0" shapeId="0">
      <text>
        <t>Return to equity after debt service. Should exceed cost of equity (12-15% for infra).</t>
      </text>
    </comment>
    <comment ref="C13" authorId="0" shapeId="0">
      <text>
        <t>Debt Service Coverage Ratio. Key lender metric. Target: 1.25-1.40x.</t>
      </text>
    </comment>
    <comment ref="C17" authorId="0" shapeId="0">
      <text>
        <t>Enterprise Value = Equity + Debt. Represents total asset value regardless of financing structure.</t>
      </text>
    </comment>
    <comment ref="C43" authorId="0" shapeId="0">
      <text>
        <t>Mandatory prepayment from excess cash. Lenders require this for merchant assets.</t>
      </text>
    </comment>
    <comment ref="C44" authorId="0" shapeId="0">
      <text>
        <t>Debt Service Coverage Ratio. Key lender metric. Target: 1.25-1.40x.</t>
      </text>
    </comment>
    <comment ref="C69" authorId="0" shapeId="0">
      <text>
        <t>Largest variable cost for thermal plants. Divide by 1E9 to convert to $mm.</t>
      </text>
    </comment>
    <comment ref="C74" authorId="0" shapeId="0">
      <text>
        <t>Cash earnings before financing. What is available to service debt and pay equity.</t>
      </text>
    </comment>
    <comment ref="C80" authorId="0" shapeId="0">
      <text>
        <t>Cash Flow Available for Debt Service. What remains after taxes to pay interest and principal.</t>
      </text>
    </comment>
    <comment ref="C83" authorId="0" shapeId="0">
      <text>
        <t>Mandatory prepayment from excess cash. Lenders require this for merchant assets.</t>
      </text>
    </comment>
    <comment ref="C89" authorId="0" shapeId="0">
      <text>
        <t>Mandatory prepayment from excess cash. Lenders require this for merchant assets.</t>
      </text>
    </comment>
    <comment ref="C92" authorId="0" shapeId="0">
      <text>
        <t>Debt Service Coverage Ratio. Key lender metric. Target: 1.25-1.40x.</t>
      </text>
    </comment>
    <comment ref="C93" authorId="0" shapeId="0">
      <text>
        <t>Debt service using straight-line principal only. Used for DSRA to avoid circularity.</t>
      </text>
    </comment>
    <comment ref="C96" authorId="0" shapeId="0">
      <text>
        <t>Reserve sized to cover NEXT years debt service. Uses SCHEDULED DS to avoid circular reference.</t>
      </text>
    </comment>
    <comment ref="C130" authorId="0" shapeId="0">
      <text>
        <t>Return to equity after debt service. Should exceed cost of equity (12-15% for infra).</t>
      </text>
    </comment>
    <comment ref="C131" authorId="0" shapeId="0">
      <text>
        <t>Multiple on Invested Capital. Cash-on-cash return. 2.0x = doubled money.</t>
      </text>
    </comment>
    <comment ref="C135" authorId="0" shapeId="0">
      <text>
        <t>Return to equity after debt service. Should exceed cost of equity (12-15% for infra).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9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>
        <f>==========================================================================</f>
        <v/>
      </c>
    </row>
    <row r="2">
      <c r="A2" s="1" t="inlineStr">
        <is>
          <t>LOTUS INFRASTRUCTURE PARTNERS</t>
        </is>
      </c>
    </row>
    <row r="3">
      <c r="A3" s="1" t="inlineStr">
        <is>
          <t>CASE STUDY: COMBINED CYCLE GAS TURBINE ACQUISITION</t>
        </is>
      </c>
    </row>
    <row r="4">
      <c r="A4">
        <f>==========================================================================</f>
        <v/>
      </c>
    </row>
    <row r="6">
      <c r="A6" t="inlineStr">
        <is>
          <t>TIME: 4 Hours | DATE: January 2026 | DELIVERABLES: Model + IC Memo</t>
        </is>
      </c>
    </row>
    <row r="8">
      <c r="A8" s="32" t="inlineStr">
        <is>
          <t>--- MODEL TIMELINE ---</t>
        </is>
      </c>
    </row>
    <row r="9">
      <c r="A9" t="inlineStr">
        <is>
          <t>Year 0 (2025): Transaction close Q4; debt funding at close</t>
        </is>
      </c>
    </row>
    <row r="10">
      <c r="A10" t="inlineStr">
        <is>
          <t>Year 1 (2026): First full operating year under Lotus ownership</t>
        </is>
      </c>
    </row>
    <row r="11">
      <c r="A11" t="inlineStr">
        <is>
          <t>Year 7 (2032): Target exit / debt maturity (75% cash sweep structure)</t>
        </is>
      </c>
    </row>
    <row r="12">
      <c r="A12" t="inlineStr">
        <is>
          <t>Year 10 (2035): Model horizon end</t>
        </is>
      </c>
    </row>
    <row r="14">
      <c r="A14" s="32" t="inlineStr">
        <is>
          <t>--- SITUATION ---</t>
        </is>
      </c>
    </row>
    <row r="15">
      <c r="A15" s="34" t="inlineStr">
        <is>
          <t>Lotus Infrastructure Partners has been approached by GenCo Partners regarding
the potential acquisition of a 365 MW combined-cycle gas turbine power plant
located in PJM West (AEP zone). The facility achieved commercial operation in
2015 and has approximately 15 years of remaining useful life.</t>
        </is>
      </c>
    </row>
    <row r="17">
      <c r="A17" s="34" t="inlineStr">
        <is>
          <t>The plant operates as a fully merchant facility, selling energy into PJM's
day-ahead and real-time markets and clearing in the RPM capacity auction.
Historical capacity factors have averaged 50-60%. The 7,000 Btu/kWh heat rate
makes it competitive against older thermal generation.</t>
        </is>
      </c>
    </row>
    <row r="19">
      <c r="A19" s="34" t="inlineStr">
        <is>
          <t>GenCo is divesting non-core assets to fund renewable development. They are
seeking $520mm with final bids expected by February 15, 2026.</t>
        </is>
      </c>
    </row>
    <row r="21">
      <c r="A21" s="32" t="inlineStr">
        <is>
          <t>--- KEY VALUE DRIVERS ---</t>
        </is>
      </c>
    </row>
    <row r="22">
      <c r="A22" t="inlineStr">
        <is>
          <t>* Spark Spread: Power price minus (Heat Rate x Gas Price) - core margin driver</t>
        </is>
      </c>
    </row>
    <row r="23">
      <c r="A23" t="inlineStr">
        <is>
          <t>* Capacity Factor: Drives MWh generation; modeled NET of outages</t>
        </is>
      </c>
    </row>
    <row r="24">
      <c r="A24" t="inlineStr">
        <is>
          <t>* Capacity Accreditation: UCAP rating determines capacity revenue</t>
        </is>
      </c>
    </row>
    <row r="25">
      <c r="A25" t="inlineStr">
        <is>
          <t>* Gas Basis: Spread between Henry Hub and local delivery point</t>
        </is>
      </c>
    </row>
    <row r="27">
      <c r="A27" s="32" t="inlineStr">
        <is>
          <t>--- STEP-BY-STEP MODEL BUILDING GUIDE ---</t>
        </is>
      </c>
    </row>
    <row r="28">
      <c r="A28" s="34" t="inlineStr">
        <is>
          <t>STEP-BY-STEP MODEL BUILDING GUIDE</t>
        </is>
      </c>
    </row>
    <row r="29">
      <c r="A29" s="34" t="inlineStr"/>
    </row>
    <row r="30">
      <c r="A30" s="34" t="inlineStr">
        <is>
          <t>1. SET UP INPUTS (Column D)</t>
        </is>
      </c>
    </row>
    <row r="31">
      <c r="A31" s="34" t="inlineStr">
        <is>
          <t xml:space="preserve">   - Transaction: Entry EV ($520mm), fees (1.5%), exit multiple (7x), exit year (7)</t>
        </is>
      </c>
    </row>
    <row r="32">
      <c r="A32" s="34" t="inlineStr">
        <is>
          <t xml:space="preserve">   - Asset: Capacity (365 MW), heat rate (7,000), CF (55%), FOR (5%)</t>
        </is>
      </c>
    </row>
    <row r="33">
      <c r="A33" s="34" t="inlineStr">
        <is>
          <t xml:space="preserve">   - Pricing: Power ($48/MWh), capacity ($110/kW-yr), gas ($3/MMBtu), esc (2.5%)</t>
        </is>
      </c>
    </row>
    <row r="34">
      <c r="A34" s="34" t="inlineStr">
        <is>
          <t xml:space="preserve">   - Financing: Leverage (45%), rate (6.5%), tenor (7 yrs), DSRA (6 mo), sweep (75%)</t>
        </is>
      </c>
    </row>
    <row r="35">
      <c r="A35" s="34" t="inlineStr"/>
    </row>
    <row r="36">
      <c r="A36" s="34" t="inlineStr">
        <is>
          <t>2. BUILD CALCULATED ITEMS</t>
        </is>
      </c>
    </row>
    <row r="37">
      <c r="A37" s="34" t="inlineStr">
        <is>
          <t xml:space="preserve">   - UCAP = Capacity x (1 - FOR) = 365 x 0.95 = 346.75 MW</t>
        </is>
      </c>
    </row>
    <row r="38">
      <c r="A38" s="34" t="inlineStr">
        <is>
          <t xml:space="preserve">   - Generation = Capacity x CF x 8,760 = 1,758,900 MWh</t>
        </is>
      </c>
    </row>
    <row r="39">
      <c r="A39" s="34" t="inlineStr">
        <is>
          <t xml:space="preserve">   - Debt Amount = Entry EV x Leverage = $234mm</t>
        </is>
      </c>
    </row>
    <row r="40">
      <c r="A40" s="34" t="inlineStr"/>
    </row>
    <row r="41">
      <c r="A41" s="34" t="inlineStr">
        <is>
          <t>3. BUILD OPERATING MODEL (Columns E-N)</t>
        </is>
      </c>
    </row>
    <row r="42">
      <c r="A42" s="34" t="inlineStr">
        <is>
          <t xml:space="preserve">   - Escalate prices: Yn = Y1 x (1 + esc)^(n-1)</t>
        </is>
      </c>
    </row>
    <row r="43">
      <c r="A43" s="34" t="inlineStr">
        <is>
          <t xml:space="preserve">   - Energy Revenue = Generation x Power Price / 1,000,000</t>
        </is>
      </c>
    </row>
    <row r="44">
      <c r="A44" s="34" t="inlineStr">
        <is>
          <t xml:space="preserve">   - Capacity Revenue = UCAP x Cap Price x 1,000 / 1,000,000</t>
        </is>
      </c>
    </row>
    <row r="45">
      <c r="A45" s="34" t="inlineStr">
        <is>
          <t xml:space="preserve">   - Fuel Cost = Generation x Heat Rate x Gas / 1,000,000,000</t>
        </is>
      </c>
    </row>
    <row r="46">
      <c r="A46" s="34" t="inlineStr">
        <is>
          <t xml:space="preserve">   - EBITDA = Revenue - OpEx</t>
        </is>
      </c>
    </row>
    <row r="47">
      <c r="A47" s="34" t="inlineStr"/>
    </row>
    <row r="48">
      <c r="A48" s="34" t="inlineStr">
        <is>
          <t>4. BUILD CASH FLOW</t>
        </is>
      </c>
    </row>
    <row r="49">
      <c r="A49" s="34" t="inlineStr">
        <is>
          <t xml:space="preserve">   - EBIT = EBITDA - Depreciation</t>
        </is>
      </c>
    </row>
    <row r="50">
      <c r="A50" s="34" t="inlineStr">
        <is>
          <t xml:space="preserve">   - Taxes = MAX(0, EBIT) x Tax Rate</t>
        </is>
      </c>
    </row>
    <row r="51">
      <c r="A51" s="34" t="inlineStr">
        <is>
          <t xml:space="preserve">   - CFADS = EBITDA - Taxes</t>
        </is>
      </c>
    </row>
    <row r="52">
      <c r="A52" s="34" t="inlineStr"/>
    </row>
    <row r="53">
      <c r="A53" s="34" t="inlineStr">
        <is>
          <t>5. BUILD DEBT SCHEDULE (CASH SWEEP)</t>
        </is>
      </c>
    </row>
    <row r="54">
      <c r="A54" s="34" t="inlineStr">
        <is>
          <t xml:space="preserve">   a) Beginning Balance: Y1 = Debt; Yn = Prior End Bal</t>
        </is>
      </c>
    </row>
    <row r="55">
      <c r="A55" s="34" t="inlineStr">
        <is>
          <t xml:space="preserve">   b) Interest = Beg Bal x Rate</t>
        </is>
      </c>
    </row>
    <row r="56">
      <c r="A56" s="34" t="inlineStr">
        <is>
          <t xml:space="preserve">   c) Scheduled Principal = MIN(Debt/Tenor, Beg Bal)</t>
        </is>
      </c>
    </row>
    <row r="57">
      <c r="A57" s="34" t="inlineStr">
        <is>
          <t xml:space="preserve">   d) Debt Service (Pre-Sweep) = Interest + Sched Prin</t>
        </is>
      </c>
    </row>
    <row r="58">
      <c r="A58" s="34" t="inlineStr">
        <is>
          <t xml:space="preserve">   e) Scheduled DS (for DSRA) = Independent calc using straight-line</t>
        </is>
      </c>
    </row>
    <row r="59">
      <c r="A59" s="34" t="inlineStr">
        <is>
          <t xml:space="preserve">   f) DSRA Target = NEXT Year's Sched DS x (DSRA Mo / 12)</t>
        </is>
      </c>
    </row>
    <row r="60">
      <c r="A60" s="34" t="inlineStr">
        <is>
          <t xml:space="preserve">   g) Excess Cash = CFADS - DS - DSRA Funding</t>
        </is>
      </c>
    </row>
    <row r="61">
      <c r="A61" s="34" t="inlineStr">
        <is>
          <t xml:space="preserve">   h) Cash Sweep = MIN(Excess x 75%, Beg Bal - Sched Prin)</t>
        </is>
      </c>
    </row>
    <row r="62">
      <c r="A62" s="34" t="inlineStr">
        <is>
          <t xml:space="preserve">   i) Ending Balance = MAX(0, Beg - Total Principal)</t>
        </is>
      </c>
    </row>
    <row r="63">
      <c r="A63" s="34" t="inlineStr">
        <is>
          <t xml:space="preserve">   j) DSCR = CFADS / DS (Pre-Sweep)</t>
        </is>
      </c>
    </row>
    <row r="64">
      <c r="A64" s="34" t="inlineStr"/>
    </row>
    <row r="65">
      <c r="A65" s="34" t="inlineStr">
        <is>
          <t>6. BUILD S&amp;U, EXIT, RETURNS</t>
        </is>
      </c>
    </row>
    <row r="66">
      <c r="A66" s="34" t="inlineStr">
        <is>
          <t xml:space="preserve">   - S&amp;U must balance (Uses = Sources)</t>
        </is>
      </c>
    </row>
    <row r="67">
      <c r="A67" s="34" t="inlineStr">
        <is>
          <t xml:space="preserve">   - Exit EV = EBITDA x Multiple</t>
        </is>
      </c>
    </row>
    <row r="68">
      <c r="A68" s="34" t="inlineStr">
        <is>
          <t xml:space="preserve">   - Levered IRR = IRR of equity cash flows</t>
        </is>
      </c>
    </row>
    <row r="70">
      <c r="A70" s="32" t="inlineStr">
        <is>
          <t>--- HOW TO AVOID CIRCULARITY ---</t>
        </is>
      </c>
    </row>
    <row r="71">
      <c r="A71" t="inlineStr">
        <is>
          <t>HOW TO AVOID DSRA CIRCULARITY</t>
        </is>
      </c>
    </row>
    <row r="72">
      <c r="A72" t="inlineStr"/>
    </row>
    <row r="73">
      <c r="A73" t="inlineStr">
        <is>
          <t>The Problem:</t>
        </is>
      </c>
    </row>
    <row r="74">
      <c r="A74" t="inlineStr">
        <is>
          <t>DSRA Target -&gt; Debt Service -&gt; Sweep -&gt; Excess Cash -&gt; DSRA Funding -&gt; DSRA Target</t>
        </is>
      </c>
    </row>
    <row r="75">
      <c r="A75" t="inlineStr"/>
    </row>
    <row r="76">
      <c r="A76" t="inlineStr">
        <is>
          <t>The Solution:</t>
        </is>
      </c>
    </row>
    <row r="77">
      <c r="A77" t="inlineStr">
        <is>
          <t>Use "Scheduled DS" (straight-line, no sweep) for DSRA sizing:</t>
        </is>
      </c>
    </row>
    <row r="78">
      <c r="A78" t="inlineStr">
        <is>
          <t>- Scheduled DS assumes NO cash sweep, just scheduled payments</t>
        </is>
      </c>
    </row>
    <row r="79">
      <c r="A79" t="inlineStr">
        <is>
          <t>- It's calculated INDEPENDENTLY of actual debt paydown</t>
        </is>
      </c>
    </row>
    <row r="80">
      <c r="A80" t="inlineStr">
        <is>
          <t>- DSRA Target references this independent row</t>
        </is>
      </c>
    </row>
    <row r="81">
      <c r="A81" t="inlineStr"/>
    </row>
    <row r="82">
      <c r="A82" t="inlineStr">
        <is>
          <t>Formula: Scheduled DS = MAX(0, Debt - (Yr-1) x Sched Prin) x Rate + Sched Prin</t>
        </is>
      </c>
    </row>
    <row r="84">
      <c r="A84" s="32" t="inlineStr">
        <is>
          <t>--- ALTERNATIVE SCENARIOS ---</t>
        </is>
      </c>
    </row>
    <row r="85">
      <c r="A85" t="inlineStr">
        <is>
          <t>ALTERNATIVE SCENARIOS</t>
        </is>
      </c>
    </row>
    <row r="86">
      <c r="A86" t="inlineStr"/>
    </row>
    <row r="87">
      <c r="A87" t="inlineStr">
        <is>
          <t>A. Sculpted Debt (not sweep):</t>
        </is>
      </c>
    </row>
    <row r="88">
      <c r="A88" t="inlineStr">
        <is>
          <t xml:space="preserve">   - Principal = CFADS / Target DSCR - Interest</t>
        </is>
      </c>
    </row>
    <row r="89">
      <c r="A89" t="inlineStr">
        <is>
          <t xml:space="preserve">   - No sweep mechanics needed</t>
        </is>
      </c>
    </row>
    <row r="90">
      <c r="A90" t="inlineStr"/>
    </row>
    <row r="91">
      <c r="A91" t="inlineStr">
        <is>
          <t>B. Contracted Revenue (PPA/Hedge):</t>
        </is>
      </c>
    </row>
    <row r="92">
      <c r="A92" t="inlineStr">
        <is>
          <t xml:space="preserve">   - Use contract price, not merchant</t>
        </is>
      </c>
    </row>
    <row r="93">
      <c r="A93" t="inlineStr">
        <is>
          <t xml:space="preserve">   - More debt capacity</t>
        </is>
      </c>
    </row>
    <row r="94">
      <c r="A94" t="inlineStr"/>
    </row>
    <row r="95">
      <c r="A95" t="inlineStr">
        <is>
          <t>C. Major Maintenance Reserve:</t>
        </is>
      </c>
    </row>
    <row r="96">
      <c r="A96" t="inlineStr">
        <is>
          <t xml:space="preserve">   - Add MRA similar to DSRA</t>
        </is>
      </c>
    </row>
    <row r="97">
      <c r="A97" t="inlineStr">
        <is>
          <t xml:space="preserve">   - Funds hot gas path inspection</t>
        </is>
      </c>
    </row>
    <row r="99">
      <c r="A99" s="32" t="inlineStr">
        <is>
          <t>--- QA CHECKS ---</t>
        </is>
      </c>
    </row>
    <row r="100">
      <c r="A100" t="inlineStr">
        <is>
          <t>QA CHECKS TO VERIFY MODEL</t>
        </is>
      </c>
    </row>
    <row r="101">
      <c r="A101" t="inlineStr"/>
    </row>
    <row r="102">
      <c r="A102" t="inlineStr">
        <is>
          <t>1. S&amp;U Balance: =IF(ABS(Uses-Sources)&lt;0.01,"PASS","FAIL")</t>
        </is>
      </c>
    </row>
    <row r="103">
      <c r="A103" t="inlineStr">
        <is>
          <t>2. Debt Payoff: Ending Bal near $0 by tenor end</t>
        </is>
      </c>
    </row>
    <row r="104">
      <c r="A104" t="inlineStr">
        <is>
          <t>3. Min DSCR: Use MINIFS to exclude post-payoff zeros</t>
        </is>
      </c>
    </row>
    <row r="105">
      <c r="A105" t="inlineStr">
        <is>
          <t>4. DSRA: Never negative; releases at debt payoff</t>
        </is>
      </c>
    </row>
    <row r="106">
      <c r="A106" t="inlineStr">
        <is>
          <t>5. Sign Convention: Outflows negative, inflows positive</t>
        </is>
      </c>
    </row>
    <row r="107">
      <c r="A107" t="inlineStr">
        <is>
          <t>6. No Circular Refs: Excel shouldn't show warning</t>
        </is>
      </c>
    </row>
    <row r="109">
      <c r="A109" s="32" t="inlineStr">
        <is>
          <t>--- HINTS &amp; PITFALLS ---</t>
        </is>
      </c>
    </row>
    <row r="110">
      <c r="A110" s="35" t="inlineStr">
        <is>
          <t>* Spark spread: $1/MWh x 1.76M MWh = $1.76mm EBITDA impact</t>
        </is>
      </c>
    </row>
    <row r="111">
      <c r="A111" s="35" t="inlineStr">
        <is>
          <t>* CF is NET of outages - don't double-count FOR in generation</t>
        </is>
      </c>
    </row>
    <row r="112">
      <c r="A112" s="35" t="inlineStr">
        <is>
          <t>* FOR only derates UCAP for capacity revenue</t>
        </is>
      </c>
    </row>
    <row r="113">
      <c r="A113" s="35" t="inlineStr">
        <is>
          <t>* Fuel divisor is 1E9 (billion), not 1E6 (million)</t>
        </is>
      </c>
    </row>
    <row r="115">
      <c r="A115" s="32" t="inlineStr">
        <is>
          <t>--- INTERVIEW QUESTIONS ---</t>
        </is>
      </c>
    </row>
    <row r="116">
      <c r="A116" t="inlineStr">
        <is>
          <t>Q: Walk me through how $5/MWh power price change affects IRR.</t>
        </is>
      </c>
    </row>
    <row r="117">
      <c r="A117" t="inlineStr">
        <is>
          <t>Q: Why cash sweep instead of sculpted debt?</t>
        </is>
      </c>
    </row>
    <row r="118">
      <c r="A118" t="inlineStr">
        <is>
          <t>Q: What would make you walk away from this deal?</t>
        </is>
      </c>
    </row>
    <row r="119">
      <c r="A119" t="inlineStr">
        <is>
          <t>Q: How would you hedge the spark spread exposure?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CASE STUDY: CCGT ACQUISITION</t>
        </is>
      </c>
    </row>
    <row r="3">
      <c r="A3" t="inlineStr">
        <is>
          <t>Time: 4 hours | Deliverables: Model + IC Memo</t>
        </is>
      </c>
    </row>
    <row r="5">
      <c r="A5" s="32" t="inlineStr">
        <is>
          <t>SITUATION</t>
        </is>
      </c>
    </row>
    <row r="6">
      <c r="A6" t="inlineStr">
        <is>
          <t>365 MW CCGT in PJM West. Seller seeks $520mm.</t>
        </is>
      </c>
    </row>
    <row r="8">
      <c r="A8" s="32" t="inlineStr">
        <is>
          <t>KEY QUESTIONS</t>
        </is>
      </c>
    </row>
    <row r="9">
      <c r="A9" t="inlineStr">
        <is>
          <t>1. What levered IRR at indicative price?</t>
        </is>
      </c>
    </row>
    <row r="10">
      <c r="A10" t="inlineStr">
        <is>
          <t>2. Downside DSCR under stress?</t>
        </is>
      </c>
    </row>
    <row r="11">
      <c r="A11" t="inlineStr">
        <is>
          <t>3. Key diligence items?</t>
        </is>
      </c>
    </row>
    <row r="12">
      <c r="A12" t="inlineStr">
        <is>
          <t>4. Protections to negotiate?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9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8" t="inlineStr">
        <is>
          <t>PROJECT SPARTAN</t>
        </is>
      </c>
    </row>
    <row r="2">
      <c r="A2" s="29" t="inlineStr">
        <is>
          <t>INVESTMENT COMMITTEE MEMORANDUM</t>
        </is>
      </c>
    </row>
    <row r="3">
      <c r="A3" s="28" t="inlineStr">
        <is>
          <t>365 MW Combined Cycle Gas Turbine – PJM West</t>
        </is>
      </c>
    </row>
    <row r="4">
      <c r="A4" s="29" t="inlineStr">
        <is>
          <t>RECOMMENDATION: Proceed to final bid at $520mm</t>
        </is>
      </c>
    </row>
    <row r="5">
      <c r="A5" s="28" t="inlineStr">
        <is>
          <t>────────────────────────────────────────────────────────────</t>
        </is>
      </c>
    </row>
    <row r="6">
      <c r="A6" s="29" t="inlineStr">
        <is>
          <t>KEY METRICS</t>
        </is>
      </c>
    </row>
    <row r="7">
      <c r="A7" s="28" t="inlineStr">
        <is>
          <t>────────────────────────────────────────────────────────────</t>
        </is>
      </c>
    </row>
    <row r="8">
      <c r="A8" s="29" t="inlineStr">
        <is>
          <t>INVESTMENT THESIS</t>
        </is>
      </c>
    </row>
    <row r="9">
      <c r="A9" s="28" t="inlineStr">
        <is>
          <t>• Strategic PJM West location with dual revenue streams (energy + capacity) provides diversified cash flow profile</t>
        </is>
      </c>
    </row>
    <row r="10">
      <c r="A10" s="28" t="inlineStr">
        <is>
          <t>• Efficient 7,000 Btu/kWh heat rate positions asset competitively on dispatch stack, ensuring consistent energy margins</t>
        </is>
      </c>
    </row>
    <row r="11">
      <c r="A11" s="28" t="inlineStr">
        <is>
          <t>• Recent PJM capacity auction results support sustained capacity revenue outlook through the hold period</t>
        </is>
      </c>
    </row>
    <row r="12">
      <c r="A12" s="28" t="inlineStr">
        <is>
          <t>• Clear exit path to strategic buyers (utilities seeking gas generation) and infrastructure yield vehicles</t>
        </is>
      </c>
    </row>
    <row r="13">
      <c r="A13" s="28" t="inlineStr">
        <is>
          <t>────────────────────────────────────────────────────────────</t>
        </is>
      </c>
    </row>
    <row r="14">
      <c r="A14" s="29" t="inlineStr">
        <is>
          <t>KEY RISKS &amp; MITIGANTS</t>
        </is>
      </c>
    </row>
    <row r="15">
      <c r="A15" s="28" t="inlineStr">
        <is>
          <t>────────────────────────────────────────────────────────────</t>
        </is>
      </c>
    </row>
    <row r="16">
      <c r="A16" s="29" t="inlineStr">
        <is>
          <t>FINANCING STRUCTURE RATIONALE</t>
        </is>
      </c>
    </row>
    <row r="17">
      <c r="A17" s="28" t="inlineStr">
        <is>
          <t>Structure: 7-year term loan with 75% cash sweep and 6-month DSRA</t>
        </is>
      </c>
    </row>
    <row r="18">
      <c r="A18" s="28" t="inlineStr">
        <is>
          <t>Rationale:</t>
        </is>
      </c>
    </row>
    <row r="19">
      <c r="A19" s="28" t="inlineStr">
        <is>
          <t>• Cash sweep structure appropriate for merchant asset with variable CFADS – accelerates paydown in strong years</t>
        </is>
      </c>
    </row>
    <row r="20">
      <c r="A20" s="28" t="inlineStr">
        <is>
          <t>• 45% leverage balances return enhancement with covenant headroom for commodity cycles</t>
        </is>
      </c>
    </row>
    <row r="21">
      <c r="A21" s="28" t="inlineStr">
        <is>
          <t>• 6-month DSRA provides liquidity buffer, sizing is market standard for merchant power</t>
        </is>
      </c>
    </row>
    <row r="22">
      <c r="A22" s="28" t="inlineStr">
        <is>
          <t>• Lock-up DSCR at 1.10x protects lenders while allowing distributions in base case</t>
        </is>
      </c>
    </row>
    <row r="23">
      <c r="A23" s="28" t="inlineStr">
        <is>
          <t>────────────────────────────────────────────────────────────</t>
        </is>
      </c>
    </row>
    <row r="24">
      <c r="A24" s="29" t="inlineStr">
        <is>
          <t>ANTICIPATED IC Q&amp;A</t>
        </is>
      </c>
    </row>
    <row r="25">
      <c r="A25" s="29" t="inlineStr">
        <is>
          <t>VALUATION</t>
        </is>
      </c>
    </row>
    <row r="26">
      <c r="A26" s="29" t="inlineStr">
        <is>
          <t>Q: How did you arrive at 7.8x entry multiple?</t>
        </is>
      </c>
    </row>
    <row r="27">
      <c r="A27" s="28" t="inlineStr">
        <is>
          <t>A: Based on recent PJM CCGT transactions ranging 7.0-8.5x, adjusted down for merchant exposure vs contracted comps. Premium to replacement cost reflects strategic location and grid constraints.</t>
        </is>
      </c>
    </row>
    <row r="28">
      <c r="A28" s="29" t="inlineStr">
        <is>
          <t>Q: What's the exit buyer universe?</t>
        </is>
      </c>
    </row>
    <row r="29">
      <c r="A29" s="28" t="inlineStr">
        <is>
          <t>A: Primary: Utilities seeking gas generation for reliability (AES, NRG, Vistra). Secondary: Infrastructure funds (KKR, Brookfield, GIP) seeking yield with upside. Tertiary: IPPs for portfolio buildout.</t>
        </is>
      </c>
    </row>
    <row r="30">
      <c r="A30" s="29" t="inlineStr">
        <is>
          <t>Q: Why 7.0x exit multiple vs 7.8x entry?</t>
        </is>
      </c>
    </row>
    <row r="31">
      <c r="A31" s="28" t="inlineStr">
        <is>
          <t>A: Conservative assumption reflects shorter remaining life at exit. Sensitivity shows 0.5x multiple change = 200bps IRR impact.</t>
        </is>
      </c>
    </row>
    <row r="32">
      <c r="A32" s="29" t="inlineStr">
        <is>
          <t>FINANCING</t>
        </is>
      </c>
    </row>
    <row r="33">
      <c r="A33" s="29" t="inlineStr">
        <is>
          <t>Q: Why sweep instead of sculpt?</t>
        </is>
      </c>
    </row>
    <row r="34">
      <c r="A34" s="28" t="inlineStr">
        <is>
          <t>A: Merchant CFADS volatility makes sculpting impractical – you'd need to re-sculpt every year. Sweep naturally adjusts paydown to actual cash flow.</t>
        </is>
      </c>
    </row>
    <row r="35">
      <c r="A35" s="29" t="inlineStr">
        <is>
          <t>Q: How did you size the DSRA?</t>
        </is>
      </c>
    </row>
    <row r="36">
      <c r="A36" s="28" t="inlineStr">
        <is>
          <t>A: 6-month debt service is market standard for merchant power. Provides 6 months of runway if spark spreads compress or outage occurs.</t>
        </is>
      </c>
    </row>
    <row r="37">
      <c r="A37" s="29" t="inlineStr">
        <is>
          <t>Q: What happens if DSCR drops below 1.10x?</t>
        </is>
      </c>
    </row>
    <row r="38">
      <c r="A38" s="28" t="inlineStr">
        <is>
          <t>A: Distributions locked up – all excess cash goes to debt paydown. Likely scenario: temporary commodity dislocation. Recovery expected within 1-2 years.</t>
        </is>
      </c>
    </row>
    <row r="39">
      <c r="A39" s="29" t="inlineStr">
        <is>
          <t>RETURNS</t>
        </is>
      </c>
    </row>
    <row r="40">
      <c r="A40" s="30" t="inlineStr">
        <is>
          <t>Q: Walk me through the IRR bridge from unlevered to levered.</t>
        </is>
      </c>
    </row>
    <row r="41">
      <c r="A41" s="28" t="inlineStr">
        <is>
          <t>A: Unlevered 12.1% + leverage benefit (cheaper debt vs equity cost) ≈ +7% – financing costs (interest, fees) ≈ -0.6% = Levered 18.5%. Leverage adds ~6.5% to returns.</t>
        </is>
      </c>
    </row>
    <row r="42">
      <c r="A42" s="30" t="inlineStr">
        <is>
          <t>Q: Why is MOIC 2.15x lower than I'd expect for 18.5% IRR?</t>
        </is>
      </c>
    </row>
    <row r="43">
      <c r="A43" s="28" t="inlineStr">
        <is>
          <t>A: 7-year hold period. MOIC = cash-on-cash regardless of timing. 18.5% IRR over 7 years compounds to 2.15x.</t>
        </is>
      </c>
    </row>
    <row r="44">
      <c r="A44" s="29" t="inlineStr">
        <is>
          <t>Q: What's the downside scenario?</t>
        </is>
      </c>
    </row>
    <row r="45">
      <c r="A45" s="28" t="inlineStr">
        <is>
          <t>A: Gas +25%, power flat = squeezed spark spreads. IRR drops to 14.2%, still above hurdle. DSCR 1.28x maintains covenant compliance.</t>
        </is>
      </c>
    </row>
    <row r="46">
      <c r="A46" s="29" t="inlineStr">
        <is>
          <t>MARKET</t>
        </is>
      </c>
    </row>
    <row r="47">
      <c r="A47" s="29" t="inlineStr">
        <is>
          <t>Q: What happens if PJM capacity prices collapse?</t>
        </is>
      </c>
    </row>
    <row r="48">
      <c r="A48" s="28" t="inlineStr">
        <is>
          <t>A: Downside scenario assumes 20% capacity price decline. Still economic due to energy revenue diversification. Extreme downside: asset becomes peaker-like, relies on scarcity pricing.</t>
        </is>
      </c>
    </row>
    <row r="49">
      <c r="A49" s="30" t="inlineStr">
        <is>
          <t>Q: How does carbon regulation affect the investment?</t>
        </is>
      </c>
    </row>
    <row r="50">
      <c r="A50" s="28" t="inlineStr">
        <is>
          <t>A: Gas is bridge fuel – CCGTs run when renewables can't. Carbon cost would increase power prices, potentially improving spark spreads. Natural gas is 50% lower emissions than coal.</t>
        </is>
      </c>
    </row>
    <row r="51">
      <c r="A51" s="29" t="inlineStr">
        <is>
          <t>OPERATIONS</t>
        </is>
      </c>
    </row>
    <row r="52">
      <c r="A52" s="29" t="inlineStr">
        <is>
          <t>Q: What are the key operational risks?</t>
        </is>
      </c>
    </row>
    <row r="53">
      <c r="A53" s="28" t="inlineStr">
        <is>
          <t>A: Equipment failure (mitigated by LTSA), fuel supply disruption (mitigated by pipeline redundancy), grid curtailment (mitigated by must-run status).</t>
        </is>
      </c>
    </row>
    <row r="54">
      <c r="A54" s="29" t="inlineStr">
        <is>
          <t>Q: What value creation levers exist?</t>
        </is>
      </c>
    </row>
    <row r="55">
      <c r="A55" s="28" t="inlineStr">
        <is>
          <t>A: 1) Heat rate improvement project (+$2mm EBITDA), 2) Ancillary services expansion, 3) Capacity factor optimization through better dispatch strategy.</t>
        </is>
      </c>
    </row>
    <row r="56">
      <c r="A56" s="28" t="inlineStr">
        <is>
          <t>────────────────────────────────────────────────────────────</t>
        </is>
      </c>
    </row>
    <row r="57">
      <c r="A57" s="29" t="inlineStr">
        <is>
          <t>DILIGENCE PLAN</t>
        </is>
      </c>
    </row>
    <row r="58">
      <c r="A58" s="29" t="inlineStr">
        <is>
          <t>Technical:</t>
        </is>
      </c>
    </row>
    <row r="59">
      <c r="A59" s="28" t="inlineStr">
        <is>
          <t>☐ Independent engineer report (Wood Mackenzie)</t>
        </is>
      </c>
    </row>
    <row r="60">
      <c r="A60" s="28" t="inlineStr">
        <is>
          <t>☐ Equipment condition assessment – turbine hours remaining</t>
        </is>
      </c>
    </row>
    <row r="61">
      <c r="A61" s="28" t="inlineStr">
        <is>
          <t>☐ Environmental compliance review – air permits, water discharge</t>
        </is>
      </c>
    </row>
    <row r="62">
      <c r="A62" s="28" t="inlineStr">
        <is>
          <t>☐ Grid interconnection study – transmission constraints</t>
        </is>
      </c>
    </row>
    <row r="63">
      <c r="A63" s="29" t="inlineStr">
        <is>
          <t>Commercial:</t>
        </is>
      </c>
    </row>
    <row r="64">
      <c r="A64" s="28" t="inlineStr">
        <is>
          <t>☐ PPA/hedging contract review</t>
        </is>
      </c>
    </row>
    <row r="65">
      <c r="A65" s="28" t="inlineStr">
        <is>
          <t>☐ Market study validation (ERCOT/PJM consultant)</t>
        </is>
      </c>
    </row>
    <row r="66">
      <c r="A66" s="28" t="inlineStr">
        <is>
          <t>☐ Fuel supply and transportation agreements</t>
        </is>
      </c>
    </row>
    <row r="67">
      <c r="A67" s="28" t="inlineStr">
        <is>
          <t>☐ Counterparty credit analysis</t>
        </is>
      </c>
    </row>
    <row r="68">
      <c r="A68" s="29" t="inlineStr">
        <is>
          <t>Legal:</t>
        </is>
      </c>
    </row>
    <row r="69">
      <c r="A69" s="28" t="inlineStr">
        <is>
          <t>☐ Title and land rights review</t>
        </is>
      </c>
    </row>
    <row r="70">
      <c r="A70" s="28" t="inlineStr">
        <is>
          <t>☐ Permitting status and renewal timeline</t>
        </is>
      </c>
    </row>
    <row r="71">
      <c r="A71" s="28" t="inlineStr">
        <is>
          <t>☐ Environmental liability assessment</t>
        </is>
      </c>
    </row>
    <row r="72">
      <c r="A72" s="28" t="inlineStr">
        <is>
          <t>☐ Regulatory status and rate case history</t>
        </is>
      </c>
    </row>
    <row r="73">
      <c r="A73" s="29" t="inlineStr">
        <is>
          <t>Financial:</t>
        </is>
      </c>
    </row>
    <row r="74">
      <c r="A74" s="28" t="inlineStr">
        <is>
          <t>☐ Quality of earnings (trailing 3-year analysis)</t>
        </is>
      </c>
    </row>
    <row r="75">
      <c r="A75" s="28" t="inlineStr">
        <is>
          <t>☐ Working capital normalization</t>
        </is>
      </c>
    </row>
    <row r="76">
      <c r="A76" s="28" t="inlineStr">
        <is>
          <t>☐ Tax structure optimization</t>
        </is>
      </c>
    </row>
    <row r="77">
      <c r="A77" s="28" t="inlineStr">
        <is>
          <t>☐ Insurance adequacy review</t>
        </is>
      </c>
    </row>
    <row r="78">
      <c r="A78" s="28" t="inlineStr"/>
    </row>
    <row r="79">
      <c r="A79" s="31" t="inlineStr">
        <is>
          <t>Metric | Base Case | Downside | Upside</t>
        </is>
      </c>
    </row>
    <row r="80">
      <c r="A80" s="31" t="inlineStr">
        <is>
          <t>Entry EV | $520mm | - | -</t>
        </is>
      </c>
    </row>
    <row r="81">
      <c r="A81" s="31" t="inlineStr">
        <is>
          <t>Entry Multiple | 7.8x Y1 EBITDA | - | -</t>
        </is>
      </c>
    </row>
    <row r="82">
      <c r="A82" s="31" t="inlineStr">
        <is>
          <t>Leverage | 45% | - | -</t>
        </is>
      </c>
    </row>
    <row r="83">
      <c r="A83" s="31" t="inlineStr">
        <is>
          <t>Levered IRR | 18.5% | 14.2% | 22.8%</t>
        </is>
      </c>
    </row>
    <row r="84">
      <c r="A84" s="31" t="inlineStr">
        <is>
          <t>MOIC | 2.15x | 1.85x | 2.45x</t>
        </is>
      </c>
    </row>
    <row r="85">
      <c r="A85" s="31" t="inlineStr">
        <is>
          <t>Min DSCR | 1.42x | 1.28x | 1.58x</t>
        </is>
      </c>
    </row>
    <row r="86">
      <c r="A86" s="31" t="inlineStr">
        <is>
          <t>Unlevered IRR | 12.1% | - | -</t>
        </is>
      </c>
    </row>
    <row r="87">
      <c r="A87" s="28" t="inlineStr"/>
    </row>
    <row r="88">
      <c r="A88" s="31" t="inlineStr">
        <is>
          <t>Risk | Probability | Mitigant</t>
        </is>
      </c>
    </row>
    <row r="89">
      <c r="A89" s="31" t="inlineStr">
        <is>
          <t>Gas price volatility | Medium | Partial hedge program (50% Y1-Y3); efficient heat rate provides margin cushion</t>
        </is>
      </c>
    </row>
    <row r="90">
      <c r="A90" s="31" t="inlineStr">
        <is>
          <t>Capacity price decline | Medium | PJM capacity construct provides 3-year forward visibility; locked through Y3</t>
        </is>
      </c>
    </row>
    <row r="91">
      <c r="A91" s="31" t="inlineStr">
        <is>
          <t>Forced outage risk | Low | Comprehensive LTSA with OEM; historical 95% availability; 6-month DSRA</t>
        </is>
      </c>
    </row>
    <row r="92">
      <c r="A92" s="31" t="inlineStr">
        <is>
          <t>Environmental regulation | Medium | No pending EPA action on unit; brownfield expansion rights provide optionality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35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CCGT Model - Lotus Infrastructure Partners</t>
        </is>
      </c>
      <c r="D1" s="33" t="inlineStr">
        <is>
          <t>Y0 (2025)</t>
        </is>
      </c>
      <c r="E1" s="33" t="inlineStr">
        <is>
          <t>Y1 (2026)</t>
        </is>
      </c>
      <c r="F1" s="33" t="inlineStr">
        <is>
          <t>Y2 (2027)</t>
        </is>
      </c>
      <c r="G1" s="33" t="inlineStr">
        <is>
          <t>Y3 (2028)</t>
        </is>
      </c>
      <c r="H1" s="33" t="inlineStr">
        <is>
          <t>Y4 (2029)</t>
        </is>
      </c>
      <c r="I1" s="33" t="inlineStr">
        <is>
          <t>Y5 (2030)</t>
        </is>
      </c>
      <c r="J1" s="33" t="inlineStr">
        <is>
          <t>Y6 (2031)</t>
        </is>
      </c>
      <c r="K1" s="33" t="inlineStr">
        <is>
          <t>Y7 (2032)</t>
        </is>
      </c>
      <c r="L1" s="33" t="inlineStr">
        <is>
          <t>Y8 (2033)</t>
        </is>
      </c>
      <c r="M1" s="33" t="inlineStr">
        <is>
          <t>Y9 (2034)</t>
        </is>
      </c>
      <c r="N1" s="33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>
        <is>
          <t>Purchase price for asset</t>
        </is>
      </c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>
        <is>
          <t>Revenue minus OpEx</t>
        </is>
      </c>
      <c r="D4" s="7">
        <f>E74</f>
        <v/>
      </c>
    </row>
    <row r="5">
      <c r="A5" s="5" t="inlineStr">
        <is>
          <t>Avg CFADS (Y1-Y7)</t>
        </is>
      </c>
      <c r="B5" s="6" t="inlineStr">
        <is>
          <t>$mm</t>
        </is>
      </c>
      <c r="C5" s="6" t="inlineStr">
        <is>
          <t>EBITDA minus Taxes</t>
        </is>
      </c>
      <c r="D5" s="7">
        <f>AVERAGE(E80:K80)</f>
        <v/>
      </c>
    </row>
    <row r="6">
      <c r="A6" s="5" t="inlineStr">
        <is>
          <t>Min DSCR (Y1-Y7)</t>
        </is>
      </c>
      <c r="B6" s="6" t="inlineStr">
        <is>
          <t>x</t>
        </is>
      </c>
      <c r="C6" s="6" t="inlineStr">
        <is>
          <t>CFADS / Debt Service</t>
        </is>
      </c>
      <c r="D6" s="24">
        <f>IF(COUNTIF(E92:K92,"&gt;0")&gt;0,MINIFS(E92:K92,E92:K92,"&gt;0"),0)</f>
        <v/>
      </c>
    </row>
    <row r="7">
      <c r="A7" s="5" t="inlineStr">
        <is>
          <t>Levered IRR</t>
        </is>
      </c>
      <c r="B7" s="6" t="inlineStr">
        <is>
          <t>%</t>
        </is>
      </c>
      <c r="C7" s="6" t="inlineStr">
        <is>
          <t>IRR of Equity CFs</t>
        </is>
      </c>
      <c r="D7" s="25">
        <f>D130</f>
        <v/>
      </c>
    </row>
    <row r="8">
      <c r="A8" s="5" t="inlineStr">
        <is>
          <t>MOIC</t>
        </is>
      </c>
      <c r="B8" s="6" t="inlineStr">
        <is>
          <t>x</t>
        </is>
      </c>
      <c r="C8" s="6" t="inlineStr">
        <is>
          <t>Total In / Total Out</t>
        </is>
      </c>
      <c r="D8" s="24">
        <f>D131</f>
        <v/>
      </c>
    </row>
    <row r="9">
      <c r="A9" s="5" t="inlineStr">
        <is>
          <t>Unlevered IRR</t>
        </is>
      </c>
      <c r="B9" s="6" t="inlineStr">
        <is>
          <t>%</t>
        </is>
      </c>
      <c r="C9" s="6" t="inlineStr">
        <is>
          <t>IRR of Equity CFs</t>
        </is>
      </c>
      <c r="D9" s="25">
        <f>D135</f>
        <v/>
      </c>
    </row>
    <row r="10">
      <c r="A10" s="3" t="inlineStr">
        <is>
          <t>═══ QA CHECKS ═══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>
      <c r="A11" s="5" t="inlineStr">
        <is>
          <t>S&amp;U Balance</t>
        </is>
      </c>
      <c r="B11" s="6" t="inlineStr"/>
      <c r="C11" s="6" t="inlineStr"/>
      <c r="D11" s="10">
        <f>D119</f>
        <v/>
      </c>
    </row>
    <row r="12">
      <c r="A12" s="5" t="inlineStr">
        <is>
          <t>Debt Payoff Y7</t>
        </is>
      </c>
      <c r="B12" s="6" t="inlineStr"/>
      <c r="C12" s="6" t="inlineStr"/>
      <c r="D12" s="10">
        <f>IF(K91&lt;1,"PASS","FAIL")</f>
        <v/>
      </c>
    </row>
    <row r="13">
      <c r="A13" s="5" t="inlineStr">
        <is>
          <t>Min DSCR ≥ 1.25x</t>
        </is>
      </c>
      <c r="B13" s="6" t="inlineStr"/>
      <c r="C13" s="6" t="inlineStr">
        <is>
          <t>CFADS / Debt Service</t>
        </is>
      </c>
      <c r="D13" s="10">
        <f>IF(D6&gt;=1.25,"PASS","FAIL")</f>
        <v/>
      </c>
    </row>
    <row r="16">
      <c r="A16" s="3" t="inlineStr">
        <is>
          <t>TRANSACTION INPUTS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A17" s="5" t="inlineStr">
        <is>
          <t>Entry EV</t>
        </is>
      </c>
      <c r="B17" s="6" t="inlineStr">
        <is>
          <t>$mm</t>
        </is>
      </c>
      <c r="C17" s="6" t="inlineStr">
        <is>
          <t>Purchase price</t>
        </is>
      </c>
      <c r="D17" s="11" t="n">
        <v>520</v>
      </c>
    </row>
    <row r="18">
      <c r="A18" s="5" t="inlineStr">
        <is>
          <t>Transaction Fees</t>
        </is>
      </c>
      <c r="B18" s="6" t="inlineStr">
        <is>
          <t>%</t>
        </is>
      </c>
      <c r="C18" s="6" t="inlineStr">
        <is>
          <t>Legal, advisory, financing</t>
        </is>
      </c>
      <c r="D18" s="26" t="n">
        <v>0.015</v>
      </c>
    </row>
    <row r="19">
      <c r="A19" s="5" t="inlineStr">
        <is>
          <t>Exit Multiple</t>
        </is>
      </c>
      <c r="B19" s="6" t="inlineStr">
        <is>
          <t>x</t>
        </is>
      </c>
      <c r="C19" s="6" t="inlineStr">
        <is>
          <t>On exit year EBITDA</t>
        </is>
      </c>
      <c r="D19" s="27" t="n">
        <v>7</v>
      </c>
    </row>
    <row r="20">
      <c r="A20" s="5" t="inlineStr">
        <is>
          <t>Exit Year</t>
        </is>
      </c>
      <c r="B20" s="6" t="inlineStr">
        <is>
          <t>#</t>
        </is>
      </c>
      <c r="C20" s="6" t="inlineStr">
        <is>
          <t>Hold period</t>
        </is>
      </c>
      <c r="D20" s="14" t="n">
        <v>7</v>
      </c>
    </row>
    <row r="22">
      <c r="A22" s="3" t="inlineStr">
        <is>
          <t>ASSET INPUTS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>
      <c r="A23" s="5" t="inlineStr">
        <is>
          <t>Capacity</t>
        </is>
      </c>
      <c r="B23" s="6" t="inlineStr">
        <is>
          <t>MW</t>
        </is>
      </c>
      <c r="C23" s="6" t="inlineStr">
        <is>
          <t>Nameplate rating</t>
        </is>
      </c>
      <c r="D23" s="14" t="n">
        <v>365</v>
      </c>
    </row>
    <row r="24">
      <c r="A24" s="5" t="inlineStr">
        <is>
          <t>Heat Rate</t>
        </is>
      </c>
      <c r="B24" s="6" t="inlineStr">
        <is>
          <t>Btu/kWh</t>
        </is>
      </c>
      <c r="C24" s="6" t="inlineStr">
        <is>
          <t>Efficiency (lower = better)</t>
        </is>
      </c>
      <c r="D24" s="14" t="n">
        <v>7000</v>
      </c>
    </row>
    <row r="25">
      <c r="A25" s="5" t="inlineStr">
        <is>
          <t>Capacity Factor</t>
        </is>
      </c>
      <c r="B25" s="6" t="inlineStr">
        <is>
          <t>%</t>
        </is>
      </c>
      <c r="C25" s="6" t="inlineStr">
        <is>
          <t>Annual utilization</t>
        </is>
      </c>
      <c r="D25" s="26" t="n">
        <v>0.55</v>
      </c>
    </row>
    <row r="26">
      <c r="A26" s="5" t="inlineStr">
        <is>
          <t>Forced Outage Rate</t>
        </is>
      </c>
      <c r="B26" s="6" t="inlineStr">
        <is>
          <t>%</t>
        </is>
      </c>
      <c r="C26" s="6" t="inlineStr">
        <is>
          <t>Unplanned downtime</t>
        </is>
      </c>
      <c r="D26" s="26" t="n">
        <v>0.05</v>
      </c>
    </row>
    <row r="28">
      <c r="A28" s="3" t="inlineStr">
        <is>
          <t>PRICING INPUTS</t>
        </is>
      </c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</row>
    <row r="29">
      <c r="A29" s="5" t="inlineStr">
        <is>
          <t>Power Price Y1</t>
        </is>
      </c>
      <c r="B29" s="6" t="inlineStr">
        <is>
          <t>$/MWh</t>
        </is>
      </c>
      <c r="C29" s="6" t="inlineStr">
        <is>
          <t>Energy clearing price</t>
        </is>
      </c>
      <c r="D29" s="11" t="n">
        <v>48</v>
      </c>
    </row>
    <row r="30">
      <c r="A30" s="5" t="inlineStr">
        <is>
          <t>Capacity Price Y1</t>
        </is>
      </c>
      <c r="B30" s="6" t="inlineStr">
        <is>
          <t>$/kW-yr</t>
        </is>
      </c>
      <c r="C30" s="6" t="inlineStr">
        <is>
          <t>ICAP/RPM auction result</t>
        </is>
      </c>
      <c r="D30" s="11" t="n">
        <v>110</v>
      </c>
    </row>
    <row r="31">
      <c r="A31" s="5" t="inlineStr">
        <is>
          <t>Gas Price Y1</t>
        </is>
      </c>
      <c r="B31" s="6" t="inlineStr">
        <is>
          <t>$/mmBtu</t>
        </is>
      </c>
      <c r="C31" s="6" t="inlineStr">
        <is>
          <t>Henry Hub + basis</t>
        </is>
      </c>
      <c r="D31" s="15" t="n">
        <v>3</v>
      </c>
    </row>
    <row r="32">
      <c r="A32" s="5" t="inlineStr">
        <is>
          <t>Escalation</t>
        </is>
      </c>
      <c r="B32" s="6" t="inlineStr">
        <is>
          <t>%/yr</t>
        </is>
      </c>
      <c r="C32" s="6" t="inlineStr">
        <is>
          <t>Applied to all prices/costs</t>
        </is>
      </c>
      <c r="D32" s="26" t="n">
        <v>0.025</v>
      </c>
    </row>
    <row r="34">
      <c r="A34" s="3" t="inlineStr">
        <is>
          <t>COST INPUTS</t>
        </is>
      </c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</row>
    <row r="35">
      <c r="A35" s="5" t="inlineStr">
        <is>
          <t>VOM</t>
        </is>
      </c>
      <c r="B35" s="6" t="inlineStr">
        <is>
          <t>$/MWh</t>
        </is>
      </c>
      <c r="C35" s="6" t="inlineStr">
        <is>
          <t>Variable O&amp;M</t>
        </is>
      </c>
      <c r="D35" s="15" t="n">
        <v>3.5</v>
      </c>
    </row>
    <row r="36">
      <c r="A36" s="5" t="inlineStr">
        <is>
          <t>FOM</t>
        </is>
      </c>
      <c r="B36" s="6" t="inlineStr">
        <is>
          <t>$/kW-yr</t>
        </is>
      </c>
      <c r="C36" s="6" t="inlineStr">
        <is>
          <t>Fixed O&amp;M</t>
        </is>
      </c>
      <c r="D36" s="15" t="n">
        <v>15</v>
      </c>
    </row>
    <row r="38">
      <c r="A38" s="3" t="inlineStr">
        <is>
          <t>FINANCING INPUTS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</row>
    <row r="39">
      <c r="A39" s="5" t="inlineStr">
        <is>
          <t>Leverage</t>
        </is>
      </c>
      <c r="B39" s="6" t="inlineStr">
        <is>
          <t>%</t>
        </is>
      </c>
      <c r="C39" s="6" t="inlineStr">
        <is>
          <t>Debt / Entry EV</t>
        </is>
      </c>
      <c r="D39" s="26" t="n">
        <v>0.45</v>
      </c>
    </row>
    <row r="40">
      <c r="A40" s="5" t="inlineStr">
        <is>
          <t>Interest Rate</t>
        </is>
      </c>
      <c r="B40" s="6" t="inlineStr">
        <is>
          <t>%</t>
        </is>
      </c>
      <c r="C40" s="6" t="inlineStr">
        <is>
          <t>All-in borrowing cost</t>
        </is>
      </c>
      <c r="D40" s="26" t="n">
        <v>0.065</v>
      </c>
    </row>
    <row r="41">
      <c r="A41" s="5" t="inlineStr">
        <is>
          <t>Debt Tenor</t>
        </is>
      </c>
      <c r="B41" s="6" t="inlineStr">
        <is>
          <t>years</t>
        </is>
      </c>
      <c r="C41" s="6" t="inlineStr">
        <is>
          <t>Amortization period</t>
        </is>
      </c>
      <c r="D41" s="14" t="n">
        <v>7</v>
      </c>
    </row>
    <row r="42">
      <c r="A42" s="5" t="inlineStr">
        <is>
          <t>DSRA Months</t>
        </is>
      </c>
      <c r="B42" s="6" t="inlineStr">
        <is>
          <t>months</t>
        </is>
      </c>
      <c r="C42" s="6" t="inlineStr">
        <is>
          <t>Debt service reserve</t>
        </is>
      </c>
      <c r="D42" s="14" t="n">
        <v>6</v>
      </c>
    </row>
    <row r="43">
      <c r="A43" s="5" t="inlineStr">
        <is>
          <t>Cash Sweep %</t>
        </is>
      </c>
      <c r="B43" s="6" t="inlineStr">
        <is>
          <t>%</t>
        </is>
      </c>
      <c r="C43" s="6" t="inlineStr">
        <is>
          <t>Mandatory excess CF prepay</t>
        </is>
      </c>
      <c r="D43" s="26" t="n">
        <v>0.75</v>
      </c>
    </row>
    <row r="44">
      <c r="A44" s="5" t="inlineStr">
        <is>
          <t>Lock-up DSCR</t>
        </is>
      </c>
      <c r="B44" s="6" t="inlineStr">
        <is>
          <t>x</t>
        </is>
      </c>
      <c r="C44" s="6" t="inlineStr">
        <is>
          <t>Distribution threshold</t>
        </is>
      </c>
      <c r="D44" s="27" t="n">
        <v>1.1</v>
      </c>
    </row>
    <row r="46">
      <c r="A46" s="3" t="inlineStr">
        <is>
          <t>TAX INPUTS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A47" s="5" t="inlineStr">
        <is>
          <t>Tax Rate</t>
        </is>
      </c>
      <c r="B47" s="6" t="inlineStr">
        <is>
          <t>%</t>
        </is>
      </c>
      <c r="C47" s="6" t="inlineStr">
        <is>
          <t>Blended federal + state</t>
        </is>
      </c>
      <c r="D47" s="26" t="n">
        <v>0.25</v>
      </c>
    </row>
    <row r="48">
      <c r="A48" s="5" t="inlineStr">
        <is>
          <t>Depreciable Basis</t>
        </is>
      </c>
      <c r="B48" s="6" t="inlineStr">
        <is>
          <t>%</t>
        </is>
      </c>
      <c r="C48" s="6" t="inlineStr">
        <is>
          <t>% of EV for depreciation</t>
        </is>
      </c>
      <c r="D48" s="26" t="n">
        <v>0.85</v>
      </c>
    </row>
    <row r="49">
      <c r="A49" s="5" t="inlineStr">
        <is>
          <t>Depreciation Life</t>
        </is>
      </c>
      <c r="B49" s="6" t="inlineStr">
        <is>
          <t>years</t>
        </is>
      </c>
      <c r="C49" s="6" t="inlineStr">
        <is>
          <t>Straight-line</t>
        </is>
      </c>
      <c r="D49" s="14" t="n">
        <v>15</v>
      </c>
    </row>
    <row r="52">
      <c r="A52" s="3" t="inlineStr">
        <is>
          <t>CALCULATED ITEMS</t>
        </is>
      </c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</row>
    <row r="53">
      <c r="A53" s="5" t="inlineStr">
        <is>
          <t>UCAP (Unforced Capacity)</t>
        </is>
      </c>
      <c r="B53" s="6" t="inlineStr">
        <is>
          <t>MW</t>
        </is>
      </c>
      <c r="C53" s="6" t="inlineStr">
        <is>
          <t>Capacity × (1 - FOR)</t>
        </is>
      </c>
      <c r="D53" s="16">
        <f>$D$23*(1-$D$26)</f>
        <v/>
      </c>
    </row>
    <row r="54">
      <c r="A54" s="5" t="inlineStr">
        <is>
          <t>Annual Generation</t>
        </is>
      </c>
      <c r="B54" s="6" t="inlineStr">
        <is>
          <t>MWh</t>
        </is>
      </c>
      <c r="C54" s="6" t="inlineStr">
        <is>
          <t>Capacity × CF × 8,760</t>
        </is>
      </c>
      <c r="D54" s="17">
        <f>$D$23*$D$25*8760</f>
        <v/>
      </c>
    </row>
    <row r="55">
      <c r="A55" s="5" t="inlineStr">
        <is>
          <t>Debt Amount</t>
        </is>
      </c>
      <c r="B55" s="6" t="inlineStr">
        <is>
          <t>$mm</t>
        </is>
      </c>
      <c r="C55" s="6" t="inlineStr">
        <is>
          <t>Entry EV × Leverage</t>
        </is>
      </c>
      <c r="D55" s="18">
        <f>$D$17*$D$39</f>
        <v/>
      </c>
    </row>
    <row r="56">
      <c r="A56" s="5" t="inlineStr">
        <is>
          <t>Annual Depreciation</t>
        </is>
      </c>
      <c r="B56" s="6" t="inlineStr">
        <is>
          <t>$mm</t>
        </is>
      </c>
      <c r="C56" s="6" t="inlineStr">
        <is>
          <t>EV × Basis / Life</t>
        </is>
      </c>
      <c r="D56" s="18">
        <f>$D$17*$D$48/$D$49</f>
        <v/>
      </c>
    </row>
    <row r="57">
      <c r="A57" s="5" t="inlineStr">
        <is>
          <t>Scheduled Principal</t>
        </is>
      </c>
      <c r="B57" s="6" t="inlineStr">
        <is>
          <t>$mm/yr</t>
        </is>
      </c>
      <c r="C57" s="6" t="inlineStr">
        <is>
          <t>Debt / Tenor</t>
        </is>
      </c>
      <c r="D57" s="18">
        <f>$D$55/$D$41</f>
        <v/>
      </c>
    </row>
    <row r="60">
      <c r="A60" s="3" t="inlineStr">
        <is>
          <t>OPERATING MODEL</t>
        </is>
      </c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</row>
    <row r="61">
      <c r="A61" s="5" t="inlineStr">
        <is>
          <t>Power Price</t>
        </is>
      </c>
      <c r="B61" s="6" t="inlineStr">
        <is>
          <t>$/MWh</t>
        </is>
      </c>
      <c r="C61" s="6" t="inlineStr">
        <is>
          <t>Escalated</t>
        </is>
      </c>
      <c r="E61" s="18">
        <f>$D$29*(1+$D$32)^(1-1)</f>
        <v/>
      </c>
      <c r="F61" s="18">
        <f>$D$29*(1+$D$32)^(2-1)</f>
        <v/>
      </c>
      <c r="G61" s="18">
        <f>$D$29*(1+$D$32)^(3-1)</f>
        <v/>
      </c>
      <c r="H61" s="18">
        <f>$D$29*(1+$D$32)^(4-1)</f>
        <v/>
      </c>
      <c r="I61" s="18">
        <f>$D$29*(1+$D$32)^(5-1)</f>
        <v/>
      </c>
      <c r="J61" s="18">
        <f>$D$29*(1+$D$32)^(6-1)</f>
        <v/>
      </c>
      <c r="K61" s="18">
        <f>$D$29*(1+$D$32)^(7-1)</f>
        <v/>
      </c>
      <c r="L61" s="18">
        <f>$D$29*(1+$D$32)^(8-1)</f>
        <v/>
      </c>
      <c r="M61" s="18">
        <f>$D$29*(1+$D$32)^(9-1)</f>
        <v/>
      </c>
      <c r="N61" s="18">
        <f>$D$29*(1+$D$32)^(10-1)</f>
        <v/>
      </c>
    </row>
    <row r="62">
      <c r="A62" s="5" t="inlineStr">
        <is>
          <t>Capacity Price</t>
        </is>
      </c>
      <c r="B62" s="6" t="inlineStr">
        <is>
          <t>$/kW-yr</t>
        </is>
      </c>
      <c r="C62" s="6" t="inlineStr">
        <is>
          <t>Escalated</t>
        </is>
      </c>
      <c r="E62" s="18">
        <f>$D$30*(1+$D$32)^(1-1)</f>
        <v/>
      </c>
      <c r="F62" s="18">
        <f>$D$30*(1+$D$32)^(2-1)</f>
        <v/>
      </c>
      <c r="G62" s="18">
        <f>$D$30*(1+$D$32)^(3-1)</f>
        <v/>
      </c>
      <c r="H62" s="18">
        <f>$D$30*(1+$D$32)^(4-1)</f>
        <v/>
      </c>
      <c r="I62" s="18">
        <f>$D$30*(1+$D$32)^(5-1)</f>
        <v/>
      </c>
      <c r="J62" s="18">
        <f>$D$30*(1+$D$32)^(6-1)</f>
        <v/>
      </c>
      <c r="K62" s="18">
        <f>$D$30*(1+$D$32)^(7-1)</f>
        <v/>
      </c>
      <c r="L62" s="18">
        <f>$D$30*(1+$D$32)^(8-1)</f>
        <v/>
      </c>
      <c r="M62" s="18">
        <f>$D$30*(1+$D$32)^(9-1)</f>
        <v/>
      </c>
      <c r="N62" s="18">
        <f>$D$30*(1+$D$32)^(10-1)</f>
        <v/>
      </c>
    </row>
    <row r="63">
      <c r="A63" s="5" t="inlineStr">
        <is>
          <t>Gas Price</t>
        </is>
      </c>
      <c r="B63" s="6" t="inlineStr">
        <is>
          <t>$/mmBtu</t>
        </is>
      </c>
      <c r="C63" s="6" t="inlineStr">
        <is>
          <t>Escalated</t>
        </is>
      </c>
      <c r="E63" s="19">
        <f>$D$31*(1+$D$32)^(1-1)</f>
        <v/>
      </c>
      <c r="F63" s="19">
        <f>$D$31*(1+$D$32)^(2-1)</f>
        <v/>
      </c>
      <c r="G63" s="19">
        <f>$D$31*(1+$D$32)^(3-1)</f>
        <v/>
      </c>
      <c r="H63" s="19">
        <f>$D$31*(1+$D$32)^(4-1)</f>
        <v/>
      </c>
      <c r="I63" s="19">
        <f>$D$31*(1+$D$32)^(5-1)</f>
        <v/>
      </c>
      <c r="J63" s="19">
        <f>$D$31*(1+$D$32)^(6-1)</f>
        <v/>
      </c>
      <c r="K63" s="19">
        <f>$D$31*(1+$D$32)^(7-1)</f>
        <v/>
      </c>
      <c r="L63" s="19">
        <f>$D$31*(1+$D$32)^(8-1)</f>
        <v/>
      </c>
      <c r="M63" s="19">
        <f>$D$31*(1+$D$32)^(9-1)</f>
        <v/>
      </c>
      <c r="N63" s="19">
        <f>$D$31*(1+$D$32)^(10-1)</f>
        <v/>
      </c>
    </row>
    <row r="65">
      <c r="A65" s="5" t="inlineStr">
        <is>
          <t>Energy Revenue</t>
        </is>
      </c>
      <c r="B65" s="6" t="inlineStr">
        <is>
          <t>$mm</t>
        </is>
      </c>
      <c r="C65" s="6" t="inlineStr">
        <is>
          <t>Generation × Power Price / 1M</t>
        </is>
      </c>
      <c r="E65" s="18">
        <f>$D$54*E61/1000000</f>
        <v/>
      </c>
      <c r="F65" s="18">
        <f>$D$54*F61/1000000</f>
        <v/>
      </c>
      <c r="G65" s="18">
        <f>$D$54*G61/1000000</f>
        <v/>
      </c>
      <c r="H65" s="18">
        <f>$D$54*H61/1000000</f>
        <v/>
      </c>
      <c r="I65" s="18">
        <f>$D$54*I61/1000000</f>
        <v/>
      </c>
      <c r="J65" s="18">
        <f>$D$54*J61/1000000</f>
        <v/>
      </c>
      <c r="K65" s="18">
        <f>$D$54*K61/1000000</f>
        <v/>
      </c>
      <c r="L65" s="18">
        <f>$D$54*L61/1000000</f>
        <v/>
      </c>
      <c r="M65" s="18">
        <f>$D$54*M61/1000000</f>
        <v/>
      </c>
      <c r="N65" s="18">
        <f>$D$54*N61/1000000</f>
        <v/>
      </c>
    </row>
    <row r="66">
      <c r="A66" s="5" t="inlineStr">
        <is>
          <t>Capacity Revenue</t>
        </is>
      </c>
      <c r="B66" s="6" t="inlineStr">
        <is>
          <t>$mm</t>
        </is>
      </c>
      <c r="C66" s="6" t="inlineStr">
        <is>
          <t>UCAP × Cap Price × 1000 / 1M</t>
        </is>
      </c>
      <c r="E66" s="18">
        <f>$D$53*E62*1000/1000000</f>
        <v/>
      </c>
      <c r="F66" s="18">
        <f>$D$53*F62*1000/1000000</f>
        <v/>
      </c>
      <c r="G66" s="18">
        <f>$D$53*G62*1000/1000000</f>
        <v/>
      </c>
      <c r="H66" s="18">
        <f>$D$53*H62*1000/1000000</f>
        <v/>
      </c>
      <c r="I66" s="18">
        <f>$D$53*I62*1000/1000000</f>
        <v/>
      </c>
      <c r="J66" s="18">
        <f>$D$53*J62*1000/1000000</f>
        <v/>
      </c>
      <c r="K66" s="18">
        <f>$D$53*K62*1000/1000000</f>
        <v/>
      </c>
      <c r="L66" s="18">
        <f>$D$53*L62*1000/1000000</f>
        <v/>
      </c>
      <c r="M66" s="18">
        <f>$D$53*M62*1000/1000000</f>
        <v/>
      </c>
      <c r="N66" s="18">
        <f>$D$53*N62*1000/1000000</f>
        <v/>
      </c>
    </row>
    <row r="67">
      <c r="A67" s="5" t="inlineStr">
        <is>
          <t>Total Revenue</t>
        </is>
      </c>
      <c r="B67" s="6" t="inlineStr">
        <is>
          <t>$mm</t>
        </is>
      </c>
      <c r="C67" s="6" t="inlineStr"/>
      <c r="E67" s="20">
        <f>E65+E66</f>
        <v/>
      </c>
      <c r="F67" s="20">
        <f>F65+F66</f>
        <v/>
      </c>
      <c r="G67" s="20">
        <f>G65+G66</f>
        <v/>
      </c>
      <c r="H67" s="20">
        <f>H65+H66</f>
        <v/>
      </c>
      <c r="I67" s="20">
        <f>I65+I66</f>
        <v/>
      </c>
      <c r="J67" s="20">
        <f>J65+J66</f>
        <v/>
      </c>
      <c r="K67" s="20">
        <f>K65+K66</f>
        <v/>
      </c>
      <c r="L67" s="20">
        <f>L65+L66</f>
        <v/>
      </c>
      <c r="M67" s="20">
        <f>M65+M66</f>
        <v/>
      </c>
      <c r="N67" s="20">
        <f>N65+N66</f>
        <v/>
      </c>
    </row>
    <row r="69">
      <c r="A69" s="5" t="inlineStr">
        <is>
          <t>Fuel Cost</t>
        </is>
      </c>
      <c r="B69" s="6" t="inlineStr">
        <is>
          <t>$mm</t>
        </is>
      </c>
      <c r="C69" s="6" t="inlineStr">
        <is>
          <t>Gen × HR × Gas / 1B</t>
        </is>
      </c>
      <c r="E69" s="18">
        <f>$D$54*$D$24*E63/1E9</f>
        <v/>
      </c>
      <c r="F69" s="18">
        <f>$D$54*$D$24*F63/1E9</f>
        <v/>
      </c>
      <c r="G69" s="18">
        <f>$D$54*$D$24*G63/1E9</f>
        <v/>
      </c>
      <c r="H69" s="18">
        <f>$D$54*$D$24*H63/1E9</f>
        <v/>
      </c>
      <c r="I69" s="18">
        <f>$D$54*$D$24*I63/1E9</f>
        <v/>
      </c>
      <c r="J69" s="18">
        <f>$D$54*$D$24*J63/1E9</f>
        <v/>
      </c>
      <c r="K69" s="18">
        <f>$D$54*$D$24*K63/1E9</f>
        <v/>
      </c>
      <c r="L69" s="18">
        <f>$D$54*$D$24*L63/1E9</f>
        <v/>
      </c>
      <c r="M69" s="18">
        <f>$D$54*$D$24*M63/1E9</f>
        <v/>
      </c>
      <c r="N69" s="18">
        <f>$D$54*$D$24*N63/1E9</f>
        <v/>
      </c>
    </row>
    <row r="70">
      <c r="A70" s="5" t="inlineStr">
        <is>
          <t>VOM</t>
        </is>
      </c>
      <c r="B70" s="6" t="inlineStr">
        <is>
          <t>$mm</t>
        </is>
      </c>
      <c r="C70" s="6" t="inlineStr">
        <is>
          <t>Generation × VOM rate / 1M</t>
        </is>
      </c>
      <c r="E70" s="18">
        <f>$D$54*$D$35/1000000</f>
        <v/>
      </c>
      <c r="F70" s="18">
        <f>$D$54*$D$35/1000000</f>
        <v/>
      </c>
      <c r="G70" s="18">
        <f>$D$54*$D$35/1000000</f>
        <v/>
      </c>
      <c r="H70" s="18">
        <f>$D$54*$D$35/1000000</f>
        <v/>
      </c>
      <c r="I70" s="18">
        <f>$D$54*$D$35/1000000</f>
        <v/>
      </c>
      <c r="J70" s="18">
        <f>$D$54*$D$35/1000000</f>
        <v/>
      </c>
      <c r="K70" s="18">
        <f>$D$54*$D$35/1000000</f>
        <v/>
      </c>
      <c r="L70" s="18">
        <f>$D$54*$D$35/1000000</f>
        <v/>
      </c>
      <c r="M70" s="18">
        <f>$D$54*$D$35/1000000</f>
        <v/>
      </c>
      <c r="N70" s="18">
        <f>$D$54*$D$35/1000000</f>
        <v/>
      </c>
    </row>
    <row r="71">
      <c r="A71" s="5" t="inlineStr">
        <is>
          <t>FOM</t>
        </is>
      </c>
      <c r="B71" s="6" t="inlineStr">
        <is>
          <t>$mm</t>
        </is>
      </c>
      <c r="C71" s="6" t="inlineStr">
        <is>
          <t>Capacity × FOM × esc × 1000 / 1M</t>
        </is>
      </c>
      <c r="E71" s="18">
        <f>$D$23*$D$36*(1+$D$32)^(1-1)*1000/1000000</f>
        <v/>
      </c>
      <c r="F71" s="18">
        <f>$D$23*$D$36*(1+$D$32)^(2-1)*1000/1000000</f>
        <v/>
      </c>
      <c r="G71" s="18">
        <f>$D$23*$D$36*(1+$D$32)^(3-1)*1000/1000000</f>
        <v/>
      </c>
      <c r="H71" s="18">
        <f>$D$23*$D$36*(1+$D$32)^(4-1)*1000/1000000</f>
        <v/>
      </c>
      <c r="I71" s="18">
        <f>$D$23*$D$36*(1+$D$32)^(5-1)*1000/1000000</f>
        <v/>
      </c>
      <c r="J71" s="18">
        <f>$D$23*$D$36*(1+$D$32)^(6-1)*1000/1000000</f>
        <v/>
      </c>
      <c r="K71" s="18">
        <f>$D$23*$D$36*(1+$D$32)^(7-1)*1000/1000000</f>
        <v/>
      </c>
      <c r="L71" s="18">
        <f>$D$23*$D$36*(1+$D$32)^(8-1)*1000/1000000</f>
        <v/>
      </c>
      <c r="M71" s="18">
        <f>$D$23*$D$36*(1+$D$32)^(9-1)*1000/1000000</f>
        <v/>
      </c>
      <c r="N71" s="18">
        <f>$D$23*$D$36*(1+$D$32)^(10-1)*1000/1000000</f>
        <v/>
      </c>
    </row>
    <row r="72">
      <c r="A72" s="5" t="inlineStr">
        <is>
          <t>Total Operating Costs</t>
        </is>
      </c>
      <c r="B72" s="6" t="inlineStr">
        <is>
          <t>$mm</t>
        </is>
      </c>
      <c r="C72" s="6" t="inlineStr"/>
      <c r="E72" s="18">
        <f>E69+E70+E71</f>
        <v/>
      </c>
      <c r="F72" s="18">
        <f>F69+F70+F71</f>
        <v/>
      </c>
      <c r="G72" s="18">
        <f>G69+G70+G71</f>
        <v/>
      </c>
      <c r="H72" s="18">
        <f>H69+H70+H71</f>
        <v/>
      </c>
      <c r="I72" s="18">
        <f>I69+I70+I71</f>
        <v/>
      </c>
      <c r="J72" s="18">
        <f>J69+J70+J71</f>
        <v/>
      </c>
      <c r="K72" s="18">
        <f>K69+K70+K71</f>
        <v/>
      </c>
      <c r="L72" s="18">
        <f>L69+L70+L71</f>
        <v/>
      </c>
      <c r="M72" s="18">
        <f>M69+M70+M71</f>
        <v/>
      </c>
      <c r="N72" s="18">
        <f>N69+N70+N71</f>
        <v/>
      </c>
    </row>
    <row r="74">
      <c r="A74" s="5" t="inlineStr">
        <is>
          <t>EBITDA</t>
        </is>
      </c>
      <c r="B74" s="6" t="inlineStr">
        <is>
          <t>$mm</t>
        </is>
      </c>
      <c r="C74" s="6" t="inlineStr">
        <is>
          <t>Revenue minus OpEx</t>
        </is>
      </c>
      <c r="E74" s="7">
        <f>E67-E72</f>
        <v/>
      </c>
      <c r="F74" s="7">
        <f>F67-F72</f>
        <v/>
      </c>
      <c r="G74" s="7">
        <f>G67-G72</f>
        <v/>
      </c>
      <c r="H74" s="7">
        <f>H67-H72</f>
        <v/>
      </c>
      <c r="I74" s="7">
        <f>I67-I72</f>
        <v/>
      </c>
      <c r="J74" s="7">
        <f>J67-J72</f>
        <v/>
      </c>
      <c r="K74" s="7">
        <f>K67-K72</f>
        <v/>
      </c>
      <c r="L74" s="7">
        <f>L67-L72</f>
        <v/>
      </c>
      <c r="M74" s="7">
        <f>M67-M72</f>
        <v/>
      </c>
      <c r="N74" s="7">
        <f>N67-N72</f>
        <v/>
      </c>
    </row>
    <row r="77">
      <c r="A77" s="3" t="inlineStr">
        <is>
          <t>CASH FLOW</t>
        </is>
      </c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</row>
    <row r="78">
      <c r="A78" s="5" t="inlineStr">
        <is>
          <t>EBIT</t>
        </is>
      </c>
      <c r="B78" s="6" t="inlineStr">
        <is>
          <t>$mm</t>
        </is>
      </c>
      <c r="C78" s="6" t="inlineStr">
        <is>
          <t>EBITDA - Depreciation</t>
        </is>
      </c>
      <c r="E78" s="18">
        <f>E74-$D$56</f>
        <v/>
      </c>
      <c r="F78" s="18">
        <f>F74-$D$56</f>
        <v/>
      </c>
      <c r="G78" s="18">
        <f>G74-$D$56</f>
        <v/>
      </c>
      <c r="H78" s="18">
        <f>H74-$D$56</f>
        <v/>
      </c>
      <c r="I78" s="18">
        <f>I74-$D$56</f>
        <v/>
      </c>
      <c r="J78" s="18">
        <f>J74-$D$56</f>
        <v/>
      </c>
      <c r="K78" s="18">
        <f>K74-$D$56</f>
        <v/>
      </c>
      <c r="L78" s="18">
        <f>L74-$D$56</f>
        <v/>
      </c>
      <c r="M78" s="18">
        <f>M74-$D$56</f>
        <v/>
      </c>
      <c r="N78" s="18">
        <f>N74-$D$56</f>
        <v/>
      </c>
    </row>
    <row r="79">
      <c r="A79" s="5" t="inlineStr">
        <is>
          <t>Taxes</t>
        </is>
      </c>
      <c r="B79" s="6" t="inlineStr">
        <is>
          <t>$mm</t>
        </is>
      </c>
      <c r="C79" s="6" t="inlineStr">
        <is>
          <t>MAX(0, EBIT) × Tax Rate</t>
        </is>
      </c>
      <c r="E79" s="18">
        <f>MAX(0,E78)*$D$47</f>
        <v/>
      </c>
      <c r="F79" s="18">
        <f>MAX(0,F78)*$D$47</f>
        <v/>
      </c>
      <c r="G79" s="18">
        <f>MAX(0,G78)*$D$47</f>
        <v/>
      </c>
      <c r="H79" s="18">
        <f>MAX(0,H78)*$D$47</f>
        <v/>
      </c>
      <c r="I79" s="18">
        <f>MAX(0,I78)*$D$47</f>
        <v/>
      </c>
      <c r="J79" s="18">
        <f>MAX(0,J78)*$D$47</f>
        <v/>
      </c>
      <c r="K79" s="18">
        <f>MAX(0,K78)*$D$47</f>
        <v/>
      </c>
      <c r="L79" s="18">
        <f>MAX(0,L78)*$D$47</f>
        <v/>
      </c>
      <c r="M79" s="18">
        <f>MAX(0,M78)*$D$47</f>
        <v/>
      </c>
      <c r="N79" s="18">
        <f>MAX(0,N78)*$D$47</f>
        <v/>
      </c>
    </row>
    <row r="80">
      <c r="A80" s="5" t="inlineStr">
        <is>
          <t>CFADS</t>
        </is>
      </c>
      <c r="B80" s="6" t="inlineStr">
        <is>
          <t>$mm</t>
        </is>
      </c>
      <c r="C80" s="6" t="inlineStr">
        <is>
          <t>EBITDA - Taxes</t>
        </is>
      </c>
      <c r="E80" s="7">
        <f>E74-E79</f>
        <v/>
      </c>
      <c r="F80" s="7">
        <f>F74-F79</f>
        <v/>
      </c>
      <c r="G80" s="7">
        <f>G74-G79</f>
        <v/>
      </c>
      <c r="H80" s="7">
        <f>H74-H79</f>
        <v/>
      </c>
      <c r="I80" s="7">
        <f>I74-I79</f>
        <v/>
      </c>
      <c r="J80" s="7">
        <f>J74-J79</f>
        <v/>
      </c>
      <c r="K80" s="7">
        <f>K74-K79</f>
        <v/>
      </c>
      <c r="L80" s="7">
        <f>L74-L79</f>
        <v/>
      </c>
      <c r="M80" s="7">
        <f>M74-M79</f>
        <v/>
      </c>
      <c r="N80" s="7">
        <f>N74-N79</f>
        <v/>
      </c>
    </row>
    <row r="83">
      <c r="A83" s="3" t="inlineStr">
        <is>
          <t>DEBT SCHEDULE (75% Cash Sweep)</t>
        </is>
      </c>
      <c r="B83" s="4" t="n"/>
      <c r="C83" s="4" t="inlineStr">
        <is>
          <t>MIN(Excess×%, Bal−Sched)</t>
        </is>
      </c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</row>
    <row r="84">
      <c r="A84" s="5" t="inlineStr">
        <is>
          <t>Beginning Balance</t>
        </is>
      </c>
      <c r="B84" s="6" t="inlineStr">
        <is>
          <t>$mm</t>
        </is>
      </c>
      <c r="C84" s="6" t="inlineStr"/>
      <c r="E84" s="18">
        <f>$D$55</f>
        <v/>
      </c>
      <c r="F84" s="18">
        <f>E91</f>
        <v/>
      </c>
      <c r="G84" s="18">
        <f>F91</f>
        <v/>
      </c>
      <c r="H84" s="18">
        <f>G91</f>
        <v/>
      </c>
      <c r="I84" s="18">
        <f>H91</f>
        <v/>
      </c>
      <c r="J84" s="18">
        <f>I91</f>
        <v/>
      </c>
      <c r="K84" s="18">
        <f>J91</f>
        <v/>
      </c>
      <c r="L84" s="18">
        <f>K91</f>
        <v/>
      </c>
      <c r="M84" s="18">
        <f>L91</f>
        <v/>
      </c>
      <c r="N84" s="18">
        <f>M91</f>
        <v/>
      </c>
    </row>
    <row r="85">
      <c r="A85" s="5" t="inlineStr">
        <is>
          <t>Interest</t>
        </is>
      </c>
      <c r="B85" s="6" t="inlineStr">
        <is>
          <t>$mm</t>
        </is>
      </c>
      <c r="C85" s="6" t="inlineStr">
        <is>
          <t>Beg Bal × Int Rate</t>
        </is>
      </c>
      <c r="E85" s="18">
        <f>E84*$D$40</f>
        <v/>
      </c>
      <c r="F85" s="18">
        <f>F84*$D$40</f>
        <v/>
      </c>
      <c r="G85" s="18">
        <f>G84*$D$40</f>
        <v/>
      </c>
      <c r="H85" s="18">
        <f>H84*$D$40</f>
        <v/>
      </c>
      <c r="I85" s="18">
        <f>I84*$D$40</f>
        <v/>
      </c>
      <c r="J85" s="18">
        <f>J84*$D$40</f>
        <v/>
      </c>
      <c r="K85" s="18">
        <f>K84*$D$40</f>
        <v/>
      </c>
      <c r="L85" s="18">
        <f>L84*$D$40</f>
        <v/>
      </c>
      <c r="M85" s="18">
        <f>M84*$D$40</f>
        <v/>
      </c>
      <c r="N85" s="18">
        <f>N84*$D$40</f>
        <v/>
      </c>
    </row>
    <row r="86">
      <c r="A86" s="5" t="inlineStr">
        <is>
          <t>Scheduled Principal</t>
        </is>
      </c>
      <c r="B86" s="6" t="inlineStr">
        <is>
          <t>$mm</t>
        </is>
      </c>
      <c r="C86" s="6" t="inlineStr">
        <is>
          <t>MIN(Sched, Beg Bal)</t>
        </is>
      </c>
      <c r="E86" s="18">
        <f>MIN($D$57,E84)</f>
        <v/>
      </c>
      <c r="F86" s="18">
        <f>MIN($D$57,F84)</f>
        <v/>
      </c>
      <c r="G86" s="18">
        <f>MIN($D$57,G84)</f>
        <v/>
      </c>
      <c r="H86" s="18">
        <f>MIN($D$57,H84)</f>
        <v/>
      </c>
      <c r="I86" s="18">
        <f>MIN($D$57,I84)</f>
        <v/>
      </c>
      <c r="J86" s="18">
        <f>MIN($D$57,J84)</f>
        <v/>
      </c>
      <c r="K86" s="18">
        <f>MIN($D$57,K84)</f>
        <v/>
      </c>
      <c r="L86" s="18">
        <f>MIN($D$57,L84)</f>
        <v/>
      </c>
      <c r="M86" s="18">
        <f>MIN($D$57,M84)</f>
        <v/>
      </c>
      <c r="N86" s="18">
        <f>MIN($D$57,N84)</f>
        <v/>
      </c>
    </row>
    <row r="87">
      <c r="A87" s="5" t="inlineStr">
        <is>
          <t>Debt Service (Pre-Sweep)</t>
        </is>
      </c>
      <c r="B87" s="6" t="inlineStr">
        <is>
          <t>$mm</t>
        </is>
      </c>
      <c r="C87" s="6" t="inlineStr">
        <is>
          <t>Interest + Sched Prin</t>
        </is>
      </c>
      <c r="E87" s="18">
        <f>E85+E86</f>
        <v/>
      </c>
      <c r="F87" s="18">
        <f>F85+F86</f>
        <v/>
      </c>
      <c r="G87" s="18">
        <f>G85+G86</f>
        <v/>
      </c>
      <c r="H87" s="18">
        <f>H85+H86</f>
        <v/>
      </c>
      <c r="I87" s="18">
        <f>I85+I86</f>
        <v/>
      </c>
      <c r="J87" s="18">
        <f>J85+J86</f>
        <v/>
      </c>
      <c r="K87" s="18">
        <f>K85+K86</f>
        <v/>
      </c>
      <c r="L87" s="18">
        <f>L85+L86</f>
        <v/>
      </c>
      <c r="M87" s="18">
        <f>M85+M86</f>
        <v/>
      </c>
      <c r="N87" s="18">
        <f>N85+N86</f>
        <v/>
      </c>
    </row>
    <row r="88">
      <c r="A88" s="5" t="inlineStr">
        <is>
          <t>Excess Cash</t>
        </is>
      </c>
      <c r="B88" s="6" t="inlineStr">
        <is>
          <t>$mm</t>
        </is>
      </c>
      <c r="C88" s="6" t="inlineStr">
        <is>
          <t>CFADS - DS - DSRA Funding</t>
        </is>
      </c>
      <c r="E88" s="18">
        <f>MAX(0,E80-E87-E98)</f>
        <v/>
      </c>
      <c r="F88" s="18">
        <f>MAX(0,F80-F87-F98)</f>
        <v/>
      </c>
      <c r="G88" s="18">
        <f>MAX(0,G80-G87-G98)</f>
        <v/>
      </c>
      <c r="H88" s="18">
        <f>MAX(0,H80-H87-H98)</f>
        <v/>
      </c>
      <c r="I88" s="18">
        <f>MAX(0,I80-I87-I98)</f>
        <v/>
      </c>
      <c r="J88" s="18">
        <f>MAX(0,J80-J87-J98)</f>
        <v/>
      </c>
      <c r="K88" s="18">
        <f>MAX(0,K80-K87-K98)</f>
        <v/>
      </c>
      <c r="L88" s="18">
        <f>MAX(0,L80-L87-L98)</f>
        <v/>
      </c>
      <c r="M88" s="18">
        <f>MAX(0,M80-M87-M98)</f>
        <v/>
      </c>
      <c r="N88" s="18">
        <f>MAX(0,N80-N87-N98)</f>
        <v/>
      </c>
    </row>
    <row r="89">
      <c r="A89" s="5" t="inlineStr">
        <is>
          <t>Cash Sweep</t>
        </is>
      </c>
      <c r="B89" s="6" t="inlineStr">
        <is>
          <t>$mm</t>
        </is>
      </c>
      <c r="C89" s="6" t="inlineStr">
        <is>
          <t>MIN(Excess×Sweep%, Beg-Sched)</t>
        </is>
      </c>
      <c r="E89" s="21">
        <f>MIN(MAX(0,E88)*$D$43,MAX(0,E84-E86))</f>
        <v/>
      </c>
      <c r="F89" s="21">
        <f>MIN(MAX(0,F88)*$D$43,MAX(0,F84-F86))</f>
        <v/>
      </c>
      <c r="G89" s="21">
        <f>MIN(MAX(0,G88)*$D$43,MAX(0,G84-G86))</f>
        <v/>
      </c>
      <c r="H89" s="21">
        <f>MIN(MAX(0,H88)*$D$43,MAX(0,H84-H86))</f>
        <v/>
      </c>
      <c r="I89" s="21">
        <f>MIN(MAX(0,I88)*$D$43,MAX(0,I84-I86))</f>
        <v/>
      </c>
      <c r="J89" s="21">
        <f>MIN(MAX(0,J88)*$D$43,MAX(0,J84-J86))</f>
        <v/>
      </c>
      <c r="K89" s="21">
        <f>MIN(MAX(0,K88)*$D$43,MAX(0,K84-K86))</f>
        <v/>
      </c>
      <c r="L89" s="21">
        <f>MIN(MAX(0,L88)*$D$43,MAX(0,L84-L86))</f>
        <v/>
      </c>
      <c r="M89" s="21">
        <f>MIN(MAX(0,M88)*$D$43,MAX(0,M84-M86))</f>
        <v/>
      </c>
      <c r="N89" s="21">
        <f>MIN(MAX(0,N88)*$D$43,MAX(0,N84-N86))</f>
        <v/>
      </c>
    </row>
    <row r="90">
      <c r="A90" s="5" t="inlineStr">
        <is>
          <t>Total Principal</t>
        </is>
      </c>
      <c r="B90" s="6" t="inlineStr">
        <is>
          <t>$mm</t>
        </is>
      </c>
      <c r="C90" s="6" t="inlineStr">
        <is>
          <t>Scheduled + Sweep</t>
        </is>
      </c>
      <c r="E90" s="18">
        <f>E86+E89</f>
        <v/>
      </c>
      <c r="F90" s="18">
        <f>F86+F89</f>
        <v/>
      </c>
      <c r="G90" s="18">
        <f>G86+G89</f>
        <v/>
      </c>
      <c r="H90" s="18">
        <f>H86+H89</f>
        <v/>
      </c>
      <c r="I90" s="18">
        <f>I86+I89</f>
        <v/>
      </c>
      <c r="J90" s="18">
        <f>J86+J89</f>
        <v/>
      </c>
      <c r="K90" s="18">
        <f>K86+K89</f>
        <v/>
      </c>
      <c r="L90" s="18">
        <f>L86+L89</f>
        <v/>
      </c>
      <c r="M90" s="18">
        <f>M86+M89</f>
        <v/>
      </c>
      <c r="N90" s="18">
        <f>N86+N89</f>
        <v/>
      </c>
    </row>
    <row r="91">
      <c r="A91" s="5" t="inlineStr">
        <is>
          <t>Ending Balance</t>
        </is>
      </c>
      <c r="B91" s="6" t="inlineStr">
        <is>
          <t>$mm</t>
        </is>
      </c>
      <c r="C91" s="6" t="inlineStr">
        <is>
          <t>MAX(0, Beg - Total Prin)</t>
        </is>
      </c>
      <c r="E91" s="18">
        <f>MAX(0,E84-E90)</f>
        <v/>
      </c>
      <c r="F91" s="18">
        <f>MAX(0,F84-F90)</f>
        <v/>
      </c>
      <c r="G91" s="18">
        <f>MAX(0,G84-G90)</f>
        <v/>
      </c>
      <c r="H91" s="18">
        <f>MAX(0,H84-H90)</f>
        <v/>
      </c>
      <c r="I91" s="18">
        <f>MAX(0,I84-I90)</f>
        <v/>
      </c>
      <c r="J91" s="18">
        <f>MAX(0,J84-J90)</f>
        <v/>
      </c>
      <c r="K91" s="18">
        <f>MAX(0,K84-K90)</f>
        <v/>
      </c>
      <c r="L91" s="18">
        <f>MAX(0,L84-L90)</f>
        <v/>
      </c>
      <c r="M91" s="18">
        <f>MAX(0,M84-M90)</f>
        <v/>
      </c>
      <c r="N91" s="18">
        <f>MAX(0,N84-N90)</f>
        <v/>
      </c>
    </row>
    <row r="92">
      <c r="A92" s="5" t="inlineStr">
        <is>
          <t>DSCR</t>
        </is>
      </c>
      <c r="B92" s="6" t="inlineStr">
        <is>
          <t>x</t>
        </is>
      </c>
      <c r="C92" s="6" t="inlineStr">
        <is>
          <t>CFADS / Debt Service</t>
        </is>
      </c>
      <c r="E92" s="24">
        <f>IF(E87&gt;0,E80/E87,0)</f>
        <v/>
      </c>
      <c r="F92" s="24">
        <f>IF(F87&gt;0,F80/F87,0)</f>
        <v/>
      </c>
      <c r="G92" s="24">
        <f>IF(G87&gt;0,G80/G87,0)</f>
        <v/>
      </c>
      <c r="H92" s="24">
        <f>IF(H87&gt;0,H80/H87,0)</f>
        <v/>
      </c>
      <c r="I92" s="24">
        <f>IF(I87&gt;0,I80/I87,0)</f>
        <v/>
      </c>
      <c r="J92" s="24">
        <f>IF(J87&gt;0,J80/J87,0)</f>
        <v/>
      </c>
      <c r="K92" s="24">
        <f>IF(K87&gt;0,K80/K87,0)</f>
        <v/>
      </c>
      <c r="L92" s="24">
        <f>IF(L87&gt;0,L80/L87,0)</f>
        <v/>
      </c>
      <c r="M92" s="24">
        <f>IF(M87&gt;0,M80/M87,0)</f>
        <v/>
      </c>
      <c r="N92" s="24">
        <f>IF(N87&gt;0,N80/N87,0)</f>
        <v/>
      </c>
    </row>
    <row r="93">
      <c r="A93" s="5" t="inlineStr">
        <is>
          <t>Scheduled DS (for DSRA)</t>
        </is>
      </c>
      <c r="B93" s="6" t="inlineStr">
        <is>
          <t>$mm</t>
        </is>
      </c>
      <c r="C93" s="6" t="inlineStr">
        <is>
          <t>Based on straight-line amort, no sweep</t>
        </is>
      </c>
      <c r="E93" s="18">
        <f>MAX(0,$D$55-(1-1)*$D$57)*$D$40+$D$57</f>
        <v/>
      </c>
      <c r="F93" s="18">
        <f>MAX(0,$D$55-(2-1)*$D$57)*$D$40+$D$57</f>
        <v/>
      </c>
      <c r="G93" s="18">
        <f>MAX(0,$D$55-(3-1)*$D$57)*$D$40+$D$57</f>
        <v/>
      </c>
      <c r="H93" s="18">
        <f>MAX(0,$D$55-(4-1)*$D$57)*$D$40+$D$57</f>
        <v/>
      </c>
      <c r="I93" s="18">
        <f>MAX(0,$D$55-(5-1)*$D$57)*$D$40+$D$57</f>
        <v/>
      </c>
      <c r="J93" s="18">
        <f>MAX(0,$D$55-(6-1)*$D$57)*$D$40+$D$57</f>
        <v/>
      </c>
      <c r="K93" s="18">
        <f>MAX(0,$D$55-(7-1)*$D$57)*$D$40+$D$57</f>
        <v/>
      </c>
      <c r="L93" s="18">
        <f>MAX(0,$D$55-(8-1)*$D$57)*$D$40+$D$57</f>
        <v/>
      </c>
      <c r="M93" s="18">
        <f>MAX(0,$D$55-(9-1)*$D$57)*$D$40+$D$57</f>
        <v/>
      </c>
      <c r="N93" s="18">
        <f>MAX(0,$D$55-(10-1)*$D$57)*$D$40+$D$57</f>
        <v/>
      </c>
    </row>
    <row r="95">
      <c r="A95" s="3" t="inlineStr">
        <is>
          <t>DSRA (Debt Service Reserve Account)</t>
        </is>
      </c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</row>
    <row r="96">
      <c r="A96" s="5" t="inlineStr">
        <is>
          <t>DSRA Target</t>
        </is>
      </c>
      <c r="B96" s="6" t="inlineStr">
        <is>
          <t>$mm</t>
        </is>
      </c>
      <c r="C96" s="6" t="inlineStr">
        <is>
          <t>Next Yr Scheduled DS × DSRA Months / 12</t>
        </is>
      </c>
      <c r="D96" s="18">
        <f>E93*$D$42/12</f>
        <v/>
      </c>
      <c r="E96" s="18">
        <f>F93*$D$42/12</f>
        <v/>
      </c>
      <c r="F96" s="18">
        <f>G93*$D$42/12</f>
        <v/>
      </c>
      <c r="G96" s="18">
        <f>H93*$D$42/12</f>
        <v/>
      </c>
      <c r="H96" s="18">
        <f>I93*$D$42/12</f>
        <v/>
      </c>
      <c r="I96" s="18">
        <f>J93*$D$42/12</f>
        <v/>
      </c>
      <c r="J96" s="18">
        <f>K93*$D$42/12</f>
        <v/>
      </c>
      <c r="K96" s="18">
        <f>L93*$D$42/12</f>
        <v/>
      </c>
      <c r="L96" s="18">
        <f>M93*$D$42/12</f>
        <v/>
      </c>
      <c r="M96" s="18">
        <f>N93*$D$42/12</f>
        <v/>
      </c>
      <c r="N96" s="18">
        <f>0</f>
        <v/>
      </c>
    </row>
    <row r="97">
      <c r="A97" s="5" t="inlineStr">
        <is>
          <t>DSRA Beginning</t>
        </is>
      </c>
      <c r="B97" s="6" t="inlineStr">
        <is>
          <t>$mm</t>
        </is>
      </c>
      <c r="C97" s="6" t="inlineStr"/>
      <c r="D97" s="18">
        <f>0</f>
        <v/>
      </c>
      <c r="E97" s="18">
        <f>D99</f>
        <v/>
      </c>
      <c r="F97" s="18">
        <f>E99</f>
        <v/>
      </c>
      <c r="G97" s="18">
        <f>F99</f>
        <v/>
      </c>
      <c r="H97" s="18">
        <f>G99</f>
        <v/>
      </c>
      <c r="I97" s="18">
        <f>H99</f>
        <v/>
      </c>
      <c r="J97" s="18">
        <f>I99</f>
        <v/>
      </c>
      <c r="K97" s="18">
        <f>J99</f>
        <v/>
      </c>
      <c r="L97" s="18">
        <f>K99</f>
        <v/>
      </c>
      <c r="M97" s="18">
        <f>L99</f>
        <v/>
      </c>
      <c r="N97" s="18">
        <f>M99</f>
        <v/>
      </c>
    </row>
    <row r="98">
      <c r="A98" s="5" t="inlineStr">
        <is>
          <t>DSRA Funding/(Release)</t>
        </is>
      </c>
      <c r="B98" s="6" t="inlineStr">
        <is>
          <t>$mm</t>
        </is>
      </c>
      <c r="C98" s="6" t="inlineStr">
        <is>
          <t>Target - Beginning</t>
        </is>
      </c>
      <c r="D98" s="18">
        <f>D96-D97</f>
        <v/>
      </c>
      <c r="E98" s="18">
        <f>E96-E97</f>
        <v/>
      </c>
      <c r="F98" s="18">
        <f>F96-F97</f>
        <v/>
      </c>
      <c r="G98" s="18">
        <f>G96-G97</f>
        <v/>
      </c>
      <c r="H98" s="18">
        <f>H96-H97</f>
        <v/>
      </c>
      <c r="I98" s="18">
        <f>I96-I97</f>
        <v/>
      </c>
      <c r="J98" s="18">
        <f>J96-J97</f>
        <v/>
      </c>
      <c r="K98" s="18">
        <f>K96-K97</f>
        <v/>
      </c>
      <c r="L98" s="18">
        <f>L96-L97</f>
        <v/>
      </c>
      <c r="M98" s="18">
        <f>M96-M97</f>
        <v/>
      </c>
      <c r="N98" s="18">
        <f>N96-N97</f>
        <v/>
      </c>
    </row>
    <row r="99">
      <c r="A99" s="5" t="inlineStr">
        <is>
          <t>DSRA Ending</t>
        </is>
      </c>
      <c r="B99" s="6" t="inlineStr">
        <is>
          <t>$mm</t>
        </is>
      </c>
      <c r="C99" s="6" t="inlineStr">
        <is>
          <t>Beginning + Funding</t>
        </is>
      </c>
      <c r="D99" s="18">
        <f>D97+D98</f>
        <v/>
      </c>
      <c r="E99" s="18">
        <f>E97+E98</f>
        <v/>
      </c>
      <c r="F99" s="18">
        <f>F97+F98</f>
        <v/>
      </c>
      <c r="G99" s="18">
        <f>G97+G98</f>
        <v/>
      </c>
      <c r="H99" s="18">
        <f>H97+H98</f>
        <v/>
      </c>
      <c r="I99" s="18">
        <f>I97+I98</f>
        <v/>
      </c>
      <c r="J99" s="18">
        <f>J97+J98</f>
        <v/>
      </c>
      <c r="K99" s="18">
        <f>K97+K98</f>
        <v/>
      </c>
      <c r="L99" s="18">
        <f>L97+L98</f>
        <v/>
      </c>
      <c r="M99" s="18">
        <f>M97+M98</f>
        <v/>
      </c>
      <c r="N99" s="18">
        <f>N97+N98</f>
        <v/>
      </c>
    </row>
    <row r="102">
      <c r="A102" s="3" t="inlineStr">
        <is>
          <t>DISTRIBUTION WATERFALL</t>
        </is>
      </c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</row>
    <row r="103">
      <c r="A103" s="5" t="inlineStr">
        <is>
          <t>Cash Available for Distribution</t>
        </is>
      </c>
      <c r="B103" s="6" t="inlineStr">
        <is>
          <t>$mm</t>
        </is>
      </c>
      <c r="C103" s="6" t="inlineStr">
        <is>
          <t>CFADS - Total DS - DSRA Fund</t>
        </is>
      </c>
      <c r="E103" s="18">
        <f>E80-(E85+E90)-E98</f>
        <v/>
      </c>
      <c r="F103" s="18">
        <f>F80-(F85+F90)-F98</f>
        <v/>
      </c>
      <c r="G103" s="18">
        <f>G80-(G85+G90)-G98</f>
        <v/>
      </c>
      <c r="H103" s="18">
        <f>H80-(H85+H90)-H98</f>
        <v/>
      </c>
      <c r="I103" s="18">
        <f>I80-(I85+I90)-I98</f>
        <v/>
      </c>
      <c r="J103" s="18">
        <f>J80-(J85+J90)-J98</f>
        <v/>
      </c>
      <c r="K103" s="18">
        <f>K80-(K85+K90)-K98</f>
        <v/>
      </c>
      <c r="L103" s="18">
        <f>L80-(L85+L90)-L98</f>
        <v/>
      </c>
      <c r="M103" s="18">
        <f>M80-(M85+M90)-M98</f>
        <v/>
      </c>
      <c r="N103" s="18">
        <f>N80-(N85+N90)-N98</f>
        <v/>
      </c>
    </row>
    <row r="104">
      <c r="A104" s="5" t="inlineStr">
        <is>
          <t>Lock-up Test</t>
        </is>
      </c>
      <c r="B104" s="6" t="inlineStr"/>
      <c r="C104" s="6" t="inlineStr">
        <is>
          <t>PASS if DSCR ≥ Lock-up</t>
        </is>
      </c>
      <c r="E104" s="22">
        <f>IF(E92&gt;=$D$44,"PASS","LOCKED")</f>
        <v/>
      </c>
      <c r="F104" s="22">
        <f>IF(F92&gt;=$D$44,"PASS","LOCKED")</f>
        <v/>
      </c>
      <c r="G104" s="22">
        <f>IF(G92&gt;=$D$44,"PASS","LOCKED")</f>
        <v/>
      </c>
      <c r="H104" s="22">
        <f>IF(H92&gt;=$D$44,"PASS","LOCKED")</f>
        <v/>
      </c>
      <c r="I104" s="22">
        <f>IF(I92&gt;=$D$44,"PASS","LOCKED")</f>
        <v/>
      </c>
      <c r="J104" s="22">
        <f>IF(J92&gt;=$D$44,"PASS","LOCKED")</f>
        <v/>
      </c>
      <c r="K104" s="22">
        <f>IF(K92&gt;=$D$44,"PASS","LOCKED")</f>
        <v/>
      </c>
      <c r="L104" s="22">
        <f>IF(L92&gt;=$D$44,"PASS","LOCKED")</f>
        <v/>
      </c>
      <c r="M104" s="22">
        <f>IF(M92&gt;=$D$44,"PASS","LOCKED")</f>
        <v/>
      </c>
      <c r="N104" s="22">
        <f>IF(N92&gt;=$D$44,"PASS","LOCKED")</f>
        <v/>
      </c>
    </row>
    <row r="105">
      <c r="A105" s="5" t="inlineStr">
        <is>
          <t>Distributable Cash</t>
        </is>
      </c>
      <c r="B105" s="6" t="inlineStr">
        <is>
          <t>$mm</t>
        </is>
      </c>
      <c r="C105" s="6" t="inlineStr">
        <is>
          <t>If PASS, MAX(0, Cash Avail)</t>
        </is>
      </c>
      <c r="E105" s="7">
        <f>IF(E104="PASS",MAX(0,E103),0)</f>
        <v/>
      </c>
      <c r="F105" s="7">
        <f>IF(F104="PASS",MAX(0,F103),0)</f>
        <v/>
      </c>
      <c r="G105" s="7">
        <f>IF(G104="PASS",MAX(0,G103),0)</f>
        <v/>
      </c>
      <c r="H105" s="7">
        <f>IF(H104="PASS",MAX(0,H103),0)</f>
        <v/>
      </c>
      <c r="I105" s="7">
        <f>IF(I104="PASS",MAX(0,I103),0)</f>
        <v/>
      </c>
      <c r="J105" s="7">
        <f>IF(J104="PASS",MAX(0,J103),0)</f>
        <v/>
      </c>
      <c r="K105" s="7">
        <f>IF(K104="PASS",MAX(0,K103),0)</f>
        <v/>
      </c>
      <c r="L105" s="7">
        <f>IF(L104="PASS",MAX(0,L103),0)</f>
        <v/>
      </c>
      <c r="M105" s="7">
        <f>IF(M104="PASS",MAX(0,M103),0)</f>
        <v/>
      </c>
      <c r="N105" s="7">
        <f>IF(N104="PASS",MAX(0,N103),0)</f>
        <v/>
      </c>
    </row>
    <row r="108">
      <c r="A108" s="3" t="inlineStr">
        <is>
          <t>SOURCES &amp; USES (Year 0)</t>
        </is>
      </c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</row>
    <row r="109">
      <c r="A109" s="23" t="inlineStr">
        <is>
          <t>USES</t>
        </is>
      </c>
      <c r="B109" s="6" t="inlineStr"/>
      <c r="C109" s="6" t="inlineStr"/>
    </row>
    <row r="110">
      <c r="A110" s="5" t="inlineStr">
        <is>
          <t xml:space="preserve">  Purchase Price</t>
        </is>
      </c>
      <c r="B110" s="6" t="inlineStr">
        <is>
          <t>$mm</t>
        </is>
      </c>
      <c r="C110" s="6" t="inlineStr"/>
      <c r="D110" s="18">
        <f>$D$17</f>
        <v/>
      </c>
    </row>
    <row r="111">
      <c r="A111" s="5" t="inlineStr">
        <is>
          <t xml:space="preserve">  Transaction Fees</t>
        </is>
      </c>
      <c r="B111" s="6" t="inlineStr">
        <is>
          <t>$mm</t>
        </is>
      </c>
      <c r="C111" s="6" t="inlineStr"/>
      <c r="D111" s="18">
        <f>$D$17*$D$18</f>
        <v/>
      </c>
    </row>
    <row r="112">
      <c r="A112" s="5" t="inlineStr">
        <is>
          <t xml:space="preserve">  DSRA Funding</t>
        </is>
      </c>
      <c r="B112" s="6" t="inlineStr">
        <is>
          <t>$mm</t>
        </is>
      </c>
      <c r="C112" s="6" t="inlineStr"/>
      <c r="D112" s="18">
        <f>D96</f>
        <v/>
      </c>
    </row>
    <row r="113">
      <c r="A113" s="5" t="inlineStr">
        <is>
          <t>Total Uses</t>
        </is>
      </c>
      <c r="B113" s="6" t="inlineStr">
        <is>
          <t>$mm</t>
        </is>
      </c>
      <c r="C113" s="6" t="inlineStr"/>
      <c r="D113" s="7">
        <f>D110+D111+D112</f>
        <v/>
      </c>
    </row>
    <row r="115">
      <c r="A115" s="23" t="inlineStr">
        <is>
          <t>SOURCES</t>
        </is>
      </c>
      <c r="B115" s="6" t="inlineStr"/>
      <c r="C115" s="6" t="inlineStr"/>
    </row>
    <row r="116">
      <c r="A116" s="5" t="inlineStr">
        <is>
          <t xml:space="preserve">  Debt</t>
        </is>
      </c>
      <c r="B116" s="6" t="inlineStr">
        <is>
          <t>$mm</t>
        </is>
      </c>
      <c r="C116" s="6" t="inlineStr"/>
      <c r="D116" s="18">
        <f>$D$55</f>
        <v/>
      </c>
    </row>
    <row r="117">
      <c r="A117" s="5" t="inlineStr">
        <is>
          <t xml:space="preserve">  Equity</t>
        </is>
      </c>
      <c r="B117" s="6" t="inlineStr">
        <is>
          <t>$mm</t>
        </is>
      </c>
      <c r="C117" s="6" t="inlineStr">
        <is>
          <t>Plug to balance</t>
        </is>
      </c>
      <c r="D117" s="18">
        <f>D113-D116</f>
        <v/>
      </c>
    </row>
    <row r="118">
      <c r="A118" s="5" t="inlineStr">
        <is>
          <t>Total Sources</t>
        </is>
      </c>
      <c r="B118" s="6" t="inlineStr">
        <is>
          <t>$mm</t>
        </is>
      </c>
      <c r="C118" s="6" t="inlineStr"/>
      <c r="D118" s="7">
        <f>D116+D117</f>
        <v/>
      </c>
    </row>
    <row r="119">
      <c r="A119" s="5" t="inlineStr">
        <is>
          <t>Balance Check</t>
        </is>
      </c>
      <c r="B119" s="6" t="inlineStr"/>
      <c r="C119" s="6" t="inlineStr"/>
      <c r="D119" s="10">
        <f>IF(ABS(D113-D118)&lt;0.01,"PASS","FAIL")</f>
        <v/>
      </c>
    </row>
    <row r="122">
      <c r="A122" s="3" t="inlineStr">
        <is>
          <t>EXIT CALCULATIONS</t>
        </is>
      </c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</row>
    <row r="123">
      <c r="A123" s="5" t="inlineStr">
        <is>
          <t>Exit EV</t>
        </is>
      </c>
      <c r="B123" s="6" t="inlineStr">
        <is>
          <t>$mm</t>
        </is>
      </c>
      <c r="C123" s="6" t="inlineStr">
        <is>
          <t>Exit Multiple × Exit Yr EBITDA</t>
        </is>
      </c>
      <c r="K123" s="18">
        <f>$D$19*K74</f>
        <v/>
      </c>
    </row>
    <row r="124">
      <c r="A124" s="5" t="inlineStr">
        <is>
          <t>Exit Debt Payoff</t>
        </is>
      </c>
      <c r="B124" s="6" t="inlineStr">
        <is>
          <t>$mm</t>
        </is>
      </c>
      <c r="C124" s="6" t="inlineStr">
        <is>
          <t>Ending Bal at Exit</t>
        </is>
      </c>
      <c r="K124" s="18">
        <f>K91</f>
        <v/>
      </c>
    </row>
    <row r="125">
      <c r="A125" s="5" t="inlineStr">
        <is>
          <t>DSRA Release</t>
        </is>
      </c>
      <c r="B125" s="6" t="inlineStr">
        <is>
          <t>$mm</t>
        </is>
      </c>
      <c r="C125" s="6" t="inlineStr">
        <is>
          <t>DSRA Ending at Exit</t>
        </is>
      </c>
      <c r="K125" s="18">
        <f>K99</f>
        <v/>
      </c>
    </row>
    <row r="126">
      <c r="A126" s="5" t="inlineStr">
        <is>
          <t>Exit Equity Proceeds</t>
        </is>
      </c>
      <c r="B126" s="6" t="inlineStr">
        <is>
          <t>$mm</t>
        </is>
      </c>
      <c r="C126" s="6" t="inlineStr">
        <is>
          <t>Exit EV - Debt + DSRA</t>
        </is>
      </c>
      <c r="K126" s="7">
        <f>K123-K124+K125</f>
        <v/>
      </c>
    </row>
    <row r="128">
      <c r="A128" s="3" t="inlineStr">
        <is>
          <t>EQUITY RETURNS</t>
        </is>
      </c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</row>
    <row r="129">
      <c r="A129" s="5" t="inlineStr">
        <is>
          <t>Equity Cash Flow</t>
        </is>
      </c>
      <c r="B129" s="6" t="inlineStr">
        <is>
          <t>$mm</t>
        </is>
      </c>
      <c r="C129" s="6" t="inlineStr"/>
      <c r="D129" s="18">
        <f>-D117</f>
        <v/>
      </c>
      <c r="E129" s="18">
        <f>E105</f>
        <v/>
      </c>
      <c r="F129" s="18">
        <f>F105</f>
        <v/>
      </c>
      <c r="G129" s="18">
        <f>G105</f>
        <v/>
      </c>
      <c r="H129" s="18">
        <f>H105</f>
        <v/>
      </c>
      <c r="I129" s="18">
        <f>I105</f>
        <v/>
      </c>
      <c r="J129" s="18">
        <f>J105</f>
        <v/>
      </c>
      <c r="K129" s="18">
        <f>K105+K126</f>
        <v/>
      </c>
      <c r="L129" s="18">
        <f>0</f>
        <v/>
      </c>
      <c r="M129" s="18">
        <f>0</f>
        <v/>
      </c>
      <c r="N129" s="18">
        <f>0</f>
        <v/>
      </c>
    </row>
    <row r="130">
      <c r="A130" s="5" t="inlineStr">
        <is>
          <t>Levered IRR</t>
        </is>
      </c>
      <c r="B130" s="6" t="inlineStr">
        <is>
          <t>%</t>
        </is>
      </c>
      <c r="C130" s="6" t="inlineStr">
        <is>
          <t>IRR of Equity CFs</t>
        </is>
      </c>
      <c r="D130" s="25">
        <f>IRR(D129:K129)</f>
        <v/>
      </c>
    </row>
    <row r="131">
      <c r="A131" s="5" t="inlineStr">
        <is>
          <t>MOIC</t>
        </is>
      </c>
      <c r="B131" s="6" t="inlineStr">
        <is>
          <t>x</t>
        </is>
      </c>
      <c r="C131" s="6" t="inlineStr">
        <is>
          <t>Sum inflows / outflow</t>
        </is>
      </c>
      <c r="D131" s="24">
        <f>SUMIF(D129:K129,"&gt;0")/ABS(D129)</f>
        <v/>
      </c>
    </row>
    <row r="133">
      <c r="A133" s="23" t="inlineStr">
        <is>
          <t>Unlevered Returns (for reference)</t>
        </is>
      </c>
      <c r="B133" s="6" t="inlineStr"/>
      <c r="C133" s="6" t="inlineStr"/>
    </row>
    <row r="134">
      <c r="A134" s="5" t="inlineStr">
        <is>
          <t>Unlevered Cash Flow</t>
        </is>
      </c>
      <c r="B134" s="6" t="inlineStr">
        <is>
          <t>$mm</t>
        </is>
      </c>
      <c r="C134" s="6" t="inlineStr"/>
      <c r="D134" s="18">
        <f>-$D$17-D111</f>
        <v/>
      </c>
      <c r="E134" s="18">
        <f>E80</f>
        <v/>
      </c>
      <c r="F134" s="18">
        <f>F80</f>
        <v/>
      </c>
      <c r="G134" s="18">
        <f>G80</f>
        <v/>
      </c>
      <c r="H134" s="18">
        <f>H80</f>
        <v/>
      </c>
      <c r="I134" s="18">
        <f>I80</f>
        <v/>
      </c>
      <c r="J134" s="18">
        <f>J80</f>
        <v/>
      </c>
      <c r="K134" s="18">
        <f>K80+K123</f>
        <v/>
      </c>
      <c r="L134" s="18">
        <f>0</f>
        <v/>
      </c>
      <c r="M134" s="18">
        <f>0</f>
        <v/>
      </c>
      <c r="N134" s="18">
        <f>0</f>
        <v/>
      </c>
    </row>
    <row r="135">
      <c r="A135" s="5" t="inlineStr">
        <is>
          <t>Unlevered IRR</t>
        </is>
      </c>
      <c r="B135" s="6" t="inlineStr">
        <is>
          <t>%</t>
        </is>
      </c>
      <c r="C135" s="6" t="inlineStr">
        <is>
          <t>IRR of Equity CFs</t>
        </is>
      </c>
      <c r="D135" s="25">
        <f>IRR(D134:K134)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2026-01-20T03:00:01Z</dcterms:created>
  <dcterms:modified xmlns:dcterms="http://purl.org/dc/terms/" xmlns:xsi="http://www.w3.org/2001/XMLSchema-instance" xsi:type="dcterms:W3CDTF">2026-01-20T05:38:18Z</dcterms:modified>
</cp:coreProperties>
</file>