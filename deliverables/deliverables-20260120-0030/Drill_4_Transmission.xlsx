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  <font>
      <b val="1"/>
      <sz val="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4" t="inlineStr">
        <is>
          <t>Intuition Guide - 4_Transmission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9" t="inlineStr">
        <is>
          <t>--- SITUATION ---</t>
        </is>
      </c>
    </row>
    <row r="16">
      <c r="A16" s="32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32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32" t="inlineStr">
        <is>
          <t>Upon COD, revenue comes from FERC-approved tariff based on rate base and
allowed ROE. The line has 40+ years expected useful life.</t>
        </is>
      </c>
    </row>
    <row r="22">
      <c r="A22" s="32" t="inlineStr">
        <is>
          <t>Lotus is offered $180mm equity during construction. Commitment needed by
March 15, 2026.</t>
        </is>
      </c>
    </row>
    <row r="24">
      <c r="A24" s="29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9" t="inlineStr">
        <is>
          <t>--- STEP-BY-STEP MODEL BUILDING GUIDE ---</t>
        </is>
      </c>
    </row>
    <row r="31">
      <c r="A31" s="32" t="inlineStr">
        <is>
          <t>STEP-BY-STEP MODEL BUILDING GUIDE FOR TRANSMISSION</t>
        </is>
      </c>
    </row>
    <row r="32">
      <c r="A32" s="32" t="inlineStr"/>
    </row>
    <row r="33">
      <c r="A33" s="32" t="inlineStr">
        <is>
          <t>KEY DIFFERENCES:</t>
        </is>
      </c>
    </row>
    <row r="34">
      <c r="A34" s="32" t="inlineStr">
        <is>
          <t>- CONSTRUCTION PERIOD before operations</t>
        </is>
      </c>
    </row>
    <row r="35">
      <c r="A35" s="32" t="inlineStr">
        <is>
          <t>- AFUDC (capitalized interest) accrues to rate base</t>
        </is>
      </c>
    </row>
    <row r="36">
      <c r="A36" s="32" t="inlineStr">
        <is>
          <t>- Revenue is REGULATED formula, not market prices</t>
        </is>
      </c>
    </row>
    <row r="37">
      <c r="A37" s="32" t="inlineStr">
        <is>
          <t>- Two financing events: Construction loan -&gt; Term debt takeout</t>
        </is>
      </c>
    </row>
    <row r="38">
      <c r="A38" s="32" t="inlineStr"/>
    </row>
    <row r="39">
      <c r="A39" s="32" t="inlineStr">
        <is>
          <t>1. CONSTRUCTION PERIOD (Years 0-2)</t>
        </is>
      </c>
    </row>
    <row r="40">
      <c r="A40" s="32" t="inlineStr">
        <is>
          <t xml:space="preserve">   Development Costs: $35mm</t>
        </is>
      </c>
    </row>
    <row r="41">
      <c r="A41" s="32" t="inlineStr">
        <is>
          <t xml:space="preserve">   Construction Costs: $550mm</t>
        </is>
      </c>
    </row>
    <row r="42">
      <c r="A42" s="32" t="inlineStr">
        <is>
          <t xml:space="preserve">   Construction Loan: 85% of construction</t>
        </is>
      </c>
    </row>
    <row r="43">
      <c r="A43" s="32" t="inlineStr">
        <is>
          <t xml:space="preserve">   AFUDC = Const Loan x Interest x Avg Period = ~$35mm</t>
        </is>
      </c>
    </row>
    <row r="44">
      <c r="A44" s="32" t="inlineStr">
        <is>
          <t xml:space="preserve">   AFUDC accrues to Rate Base (non-cash during construction)</t>
        </is>
      </c>
    </row>
    <row r="45">
      <c r="A45" s="32" t="inlineStr"/>
    </row>
    <row r="46">
      <c r="A46" s="32" t="inlineStr">
        <is>
          <t>2. RATE BASE AT COD (Year 3)</t>
        </is>
      </c>
    </row>
    <row r="47">
      <c r="A47" s="32" t="inlineStr">
        <is>
          <t xml:space="preserve">   Rate Base = Development + Construction + AFUDC</t>
        </is>
      </c>
    </row>
    <row r="48">
      <c r="A48" s="32" t="inlineStr">
        <is>
          <t xml:space="preserve">   = $35mm + $550mm + ~$35mm = ~$620mm</t>
        </is>
      </c>
    </row>
    <row r="49">
      <c r="A49" s="32" t="inlineStr"/>
    </row>
    <row r="50">
      <c r="A50" s="32" t="inlineStr">
        <is>
          <t>3. TERM DEBT TAKEOUT AT COD</t>
        </is>
      </c>
    </row>
    <row r="51">
      <c r="A51" s="32" t="inlineStr">
        <is>
          <t xml:space="preserve">   At COD, Construction Loan repaid by Term Debt</t>
        </is>
      </c>
    </row>
    <row r="52">
      <c r="A52" s="32" t="inlineStr">
        <is>
          <t xml:space="preserve">   Term Debt = Rate Base x Regulatory Debt % = $620mm x 50% = $310mm</t>
        </is>
      </c>
    </row>
    <row r="53">
      <c r="A53" s="32" t="inlineStr">
        <is>
          <t xml:space="preserve">   Use RATE BASE (not construction cost) for debt sizing</t>
        </is>
      </c>
    </row>
    <row r="54">
      <c r="A54" s="32" t="inlineStr"/>
    </row>
    <row r="55">
      <c r="A55" s="32" t="inlineStr">
        <is>
          <t>4. REVENUE CALCULATION (Years 3+)</t>
        </is>
      </c>
    </row>
    <row r="56">
      <c r="A56" s="32" t="inlineStr">
        <is>
          <t xml:space="preserve">   Revenue = Rate Base x (ROE + Depreciation/Life + O&amp;M/RB)</t>
        </is>
      </c>
    </row>
    <row r="57">
      <c r="A57" s="32" t="inlineStr"/>
    </row>
    <row r="58">
      <c r="A58" s="32" t="inlineStr">
        <is>
          <t>5. S&amp;U - TWO EVENTS</t>
        </is>
      </c>
    </row>
    <row r="59">
      <c r="A59" s="32" t="inlineStr">
        <is>
          <t xml:space="preserve">   At Close (Y0): Development costs, fees -&gt; Const loan, equity</t>
        </is>
      </c>
    </row>
    <row r="60">
      <c r="A60" s="32" t="inlineStr">
        <is>
          <t xml:space="preserve">   At COD (Y3): Const loan payoff -&gt; Term debt, permanent equity</t>
        </is>
      </c>
    </row>
    <row r="61">
      <c r="A61" s="32" t="inlineStr">
        <is>
          <t xml:space="preserve">   DSRA is a USE (funded by debt/equity), NOT a Source</t>
        </is>
      </c>
    </row>
    <row r="62">
      <c r="A62" s="32" t="inlineStr"/>
    </row>
    <row r="63">
      <c r="A63" s="32" t="inlineStr">
        <is>
          <t>6. SCULPTED DEBT</t>
        </is>
      </c>
    </row>
    <row r="64">
      <c r="A64" s="32" t="inlineStr">
        <is>
          <t xml:space="preserve">   Regulated cash flows support sculpted debt at 1.40x DSCR</t>
        </is>
      </c>
    </row>
    <row r="66">
      <c r="A66" s="29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9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9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9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Transmission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9</v>
      </c>
    </row>
    <row r="15">
      <c r="A15" t="inlineStr">
        <is>
          <t>Exit Year</t>
        </is>
      </c>
      <c r="B15" t="inlineStr">
        <is>
          <t>yr</t>
        </is>
      </c>
      <c r="D15" s="42" t="n">
        <v>20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</v>
      </c>
    </row>
    <row r="26">
      <c r="A26" t="inlineStr">
        <is>
          <t>Debt Tenor</t>
        </is>
      </c>
      <c r="B26" t="inlineStr">
        <is>
          <t>yrs</t>
        </is>
      </c>
      <c r="D26" s="42" t="n">
        <v>20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DRILL MODE - Fill in yellow cells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n"/>
      <c r="D3" s="7">
        <f>$D$63</f>
        <v/>
      </c>
      <c r="E3" s="4" t="n"/>
      <c r="F3" s="4" t="n"/>
      <c r="G3" s="4" t="n"/>
      <c r="H3" s="4" t="n"/>
      <c r="I3" s="4" t="n"/>
      <c r="J3" s="4" t="n"/>
      <c r="K3" s="4" t="n"/>
      <c r="L3" s="4" t="n"/>
      <c r="M3" s="51" t="inlineStr">
        <is>
          <t>IRR Sensitivity:</t>
        </is>
      </c>
      <c r="N3" s="4" t="n"/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52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2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n"/>
      <c r="C21" s="6" t="n"/>
      <c r="D21" s="10">
        <f>D112</f>
        <v/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5" t="inlineStr">
        <is>
          <t>Debt Payoff Y10</t>
        </is>
      </c>
      <c r="B22" s="6" t="n"/>
      <c r="C22" s="6" t="n"/>
      <c r="D22" s="10">
        <f>IF(N94&lt;1,"PASS","FAIL")</f>
        <v/>
      </c>
    </row>
    <row r="23">
      <c r="A23" s="5" t="inlineStr">
        <is>
          <t>Min DSCR ≥ 1.35x</t>
        </is>
      </c>
      <c r="B23" s="6" t="n"/>
      <c r="C23" s="6" t="inlineStr">
        <is>
          <t>CFADS / Debt Service</t>
        </is>
      </c>
      <c r="D23" s="10">
        <f>IF(D6&gt;=1.35,"PASS","FAIL")</f>
        <v/>
      </c>
    </row>
    <row r="24">
      <c r="A24" s="5" t="n"/>
      <c r="B24" s="6" t="n"/>
      <c r="C24" s="6" t="n"/>
      <c r="D24" s="10" t="n"/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1">
      <c r="A31" s="5" t="n"/>
      <c r="B31" s="6" t="n"/>
      <c r="C31" s="6" t="n"/>
      <c r="D31" s="12" t="n"/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6">
      <c r="A36" s="5" t="n"/>
      <c r="B36" s="6" t="n"/>
      <c r="C36" s="6" t="n"/>
      <c r="D36" s="12" t="n"/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0">
      <c r="A40" s="5" t="n"/>
      <c r="B40" s="6" t="n"/>
      <c r="C40" s="6" t="n"/>
      <c r="D40" s="27" t="n"/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4">
      <c r="A44" s="5" t="n"/>
      <c r="B44" s="6" t="n"/>
      <c r="C44" s="6" t="n"/>
      <c r="D44" s="27" t="n"/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2">
      <c r="A52" s="5" t="n"/>
      <c r="B52" s="6" t="n"/>
      <c r="C52" s="6" t="n"/>
      <c r="D52" s="28" t="n"/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6">
      <c r="A56" s="5" t="n"/>
      <c r="B56" s="6" t="n"/>
      <c r="C56" s="6" t="n"/>
      <c r="D56" s="12" t="n"/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n"/>
      <c r="B59" s="6" t="n"/>
      <c r="C59" s="6" t="n"/>
      <c r="D59" s="27" t="n"/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6">
      <c r="A66" s="5" t="n"/>
      <c r="B66" s="6" t="n"/>
      <c r="C66" s="6" t="n"/>
      <c r="D66" s="15" t="n"/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n"/>
      <c r="D68" s="16">
        <f>$D$27</f>
        <v/>
      </c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Development Equity Y1</t>
        </is>
      </c>
      <c r="B69" s="6" t="inlineStr">
        <is>
          <t>$mm</t>
        </is>
      </c>
      <c r="C69" s="6" t="n"/>
      <c r="D69" s="16" t="n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E70" s="16" t="n"/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F71" s="16" t="n"/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n"/>
      <c r="D72" s="7">
        <f>D68+E69+F70+G71</f>
        <v/>
      </c>
      <c r="G72" s="16" t="n"/>
    </row>
    <row r="73">
      <c r="A73" s="5" t="n"/>
      <c r="B73" s="6" t="n"/>
      <c r="C73" s="6" t="n"/>
      <c r="D73" s="7" t="n"/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D75" s="4" t="n"/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A76" s="5" t="n"/>
      <c r="B76" s="6" t="n"/>
      <c r="C76" s="6" t="n"/>
      <c r="E76" s="15" t="n">
        <v>0</v>
      </c>
      <c r="F76" s="15" t="n">
        <v>0</v>
      </c>
      <c r="G76" s="15">
        <f>$D$33*$D$34*G75/1000</f>
        <v/>
      </c>
      <c r="H76" s="15">
        <f>$D$33*$D$34*H75/1000</f>
        <v/>
      </c>
      <c r="I76" s="15">
        <f>$D$33*$D$34*I75/1000</f>
        <v/>
      </c>
      <c r="J76" s="15">
        <f>$D$33*$D$34*J75/1000</f>
        <v/>
      </c>
      <c r="K76" s="15">
        <f>$D$33*$D$34*K75/1000</f>
        <v/>
      </c>
      <c r="L76" s="15">
        <f>$D$33*$D$34*L75/1000</f>
        <v/>
      </c>
      <c r="M76" s="15">
        <f>$D$33*$D$34*M75/1000</f>
        <v/>
      </c>
      <c r="N76" s="15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</row>
    <row r="79">
      <c r="A79" s="5" t="n"/>
      <c r="B79" s="6" t="n"/>
      <c r="C79" s="6" t="n"/>
      <c r="E79" s="15" t="n">
        <v>0</v>
      </c>
      <c r="F79" s="15" t="n">
        <v>0</v>
      </c>
      <c r="G79" s="53">
        <f>G76-G77</f>
        <v/>
      </c>
      <c r="H79" s="53">
        <f>H76-H77</f>
        <v/>
      </c>
      <c r="I79" s="53">
        <f>I76-I77</f>
        <v/>
      </c>
      <c r="J79" s="53">
        <f>J76-J77</f>
        <v/>
      </c>
      <c r="K79" s="53">
        <f>K76-K77</f>
        <v/>
      </c>
      <c r="L79" s="53">
        <f>L76-L77</f>
        <v/>
      </c>
      <c r="M79" s="53">
        <f>M76-M77</f>
        <v/>
      </c>
      <c r="N79" s="53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5" t="n"/>
      <c r="B81" s="6" t="n"/>
      <c r="C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D83" s="4" t="n"/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5" t="n"/>
      <c r="B87" s="6" t="n"/>
      <c r="C87" s="6" t="n"/>
      <c r="D87" t="n">
        <v>0</v>
      </c>
      <c r="E87" s="7" t="n">
        <v>0</v>
      </c>
      <c r="F87" s="7" t="n">
        <v>0</v>
      </c>
      <c r="G87" s="7">
        <f>$D$64</f>
        <v/>
      </c>
      <c r="H87" s="7">
        <f>G92</f>
        <v/>
      </c>
      <c r="I87" s="7">
        <f>H92</f>
        <v/>
      </c>
      <c r="J87" s="7">
        <f>I92</f>
        <v/>
      </c>
      <c r="K87" s="7">
        <f>J92</f>
        <v/>
      </c>
      <c r="L87" s="7">
        <f>K92</f>
        <v/>
      </c>
      <c r="M87" s="7">
        <f>L92</f>
        <v/>
      </c>
      <c r="N87" s="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n"/>
      <c r="D89" s="4" t="n">
        <v>0</v>
      </c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/>
      <c r="F93" s="15" t="n"/>
      <c r="G93" s="54" t="n"/>
      <c r="H93" s="54" t="n"/>
      <c r="I93" s="54" t="n"/>
      <c r="J93" s="54" t="n"/>
      <c r="K93" s="54" t="n"/>
      <c r="L93" s="54" t="n"/>
      <c r="M93" s="54" t="n"/>
      <c r="N93" s="54" t="n"/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</row>
    <row r="96">
      <c r="A96" s="5" t="n"/>
      <c r="B96" s="6" t="n"/>
      <c r="C96" s="6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n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2">
      <c r="A102" s="5" t="n"/>
      <c r="B102" s="6" t="n"/>
      <c r="C102" s="6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D104" s="4" t="n"/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n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7">
      <c r="A107" s="5" t="n"/>
      <c r="B107" s="6" t="n"/>
      <c r="C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n"/>
      <c r="C109" s="6" t="n"/>
      <c r="D109" s="4">
        <f>$D$27+$D$28+$D$29+$D$62</f>
        <v/>
      </c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n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n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n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n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n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n"/>
      <c r="D115" s="7">
        <f>D110+D111+D112+D113+D114</f>
        <v/>
      </c>
    </row>
    <row r="116">
      <c r="A116" s="5" t="n"/>
      <c r="B116" s="6" t="n"/>
      <c r="C116" s="6" t="n"/>
      <c r="D116" s="7" t="n"/>
    </row>
    <row r="117">
      <c r="A117" s="18" t="inlineStr">
        <is>
          <t>SOURCES</t>
        </is>
      </c>
      <c r="B117" s="6" t="n"/>
      <c r="C117" s="6" t="n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n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n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n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n"/>
      <c r="D121" s="7">
        <f>D119+D120</f>
        <v/>
      </c>
    </row>
    <row r="122">
      <c r="A122" s="5" t="inlineStr">
        <is>
          <t>Balance Check</t>
        </is>
      </c>
      <c r="B122" s="6" t="n"/>
      <c r="C122" s="6" t="n"/>
      <c r="D122" s="10">
        <f>IF(ABS(D115-D121)&lt;0.01,"PASS","FAIL")</f>
        <v/>
      </c>
    </row>
    <row r="123">
      <c r="A123" s="5" t="n"/>
      <c r="B123" s="6" t="n"/>
      <c r="C123" s="6" t="n"/>
      <c r="D123" s="10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 s="4">
        <f>$D$65*(10-3+1)</f>
        <v/>
      </c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5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6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1">
      <c r="A131" s="5" t="n"/>
      <c r="B131" s="6" t="n"/>
      <c r="C131" s="6" t="n"/>
      <c r="N131" s="7" t="n"/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n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6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25" t="n"/>
    </row>
    <row r="136">
      <c r="A136" s="5" t="n"/>
      <c r="B136" s="6" t="n"/>
      <c r="C136" s="6" t="n"/>
      <c r="D136" s="25" t="n"/>
    </row>
    <row r="137">
      <c r="A137" s="18" t="inlineStr">
        <is>
          <t>Unlevered Returns (for reference)</t>
        </is>
      </c>
      <c r="B137" s="6" t="n"/>
      <c r="C137" s="6" t="n"/>
    </row>
    <row r="138">
      <c r="A138" s="5" t="inlineStr">
        <is>
          <t>Unlevered Cash Flow</t>
        </is>
      </c>
      <c r="B138" s="6" t="inlineStr">
        <is>
          <t>$mm</t>
        </is>
      </c>
      <c r="C138" s="6" t="n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6">
        <f>IRR(D138:N138)</f>
        <v/>
      </c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</row>
    <row r="140">
      <c r="A140" s="5" t="n"/>
      <c r="B140" s="6" t="n"/>
      <c r="C140" s="6" t="n"/>
      <c r="D140" s="26" t="n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31" t="inlineStr">
        <is>
          <t>Y0 (2025)</t>
        </is>
      </c>
      <c r="E1" s="31" t="inlineStr">
        <is>
          <t>Y1 (2026)</t>
        </is>
      </c>
      <c r="F1" s="31" t="inlineStr">
        <is>
          <t>Y2 (2027)</t>
        </is>
      </c>
      <c r="G1" s="31" t="inlineStr">
        <is>
          <t>Y3 (2028)</t>
        </is>
      </c>
      <c r="H1" s="31" t="inlineStr">
        <is>
          <t>Y4 (2029)</t>
        </is>
      </c>
      <c r="I1" s="31" t="inlineStr">
        <is>
          <t>Y5 (2030)</t>
        </is>
      </c>
      <c r="J1" s="31" t="inlineStr">
        <is>
          <t>Y6 (2031)</t>
        </is>
      </c>
      <c r="K1" s="31" t="inlineStr">
        <is>
          <t>Y7 (2032)</t>
        </is>
      </c>
      <c r="L1" s="31" t="inlineStr">
        <is>
          <t>Y8 (2033)</t>
        </is>
      </c>
      <c r="M1" s="31" t="inlineStr">
        <is>
          <t>Y9 (2034)</t>
        </is>
      </c>
      <c r="N1" s="31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8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7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/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7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7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7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7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7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7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8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8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8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7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/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25">
        <f>IF(E83&gt;0,E76/E83,0)</f>
        <v/>
      </c>
      <c r="F95" s="25">
        <f>IF(F83&gt;0,F76/F83,0)</f>
        <v/>
      </c>
      <c r="G95" s="25">
        <f>IF(G83&gt;0,G76/G83,0)</f>
        <v/>
      </c>
      <c r="H95" s="25">
        <f>IF(H83&gt;0,H76/H83,0)</f>
        <v/>
      </c>
      <c r="I95" s="25">
        <f>IF(I83&gt;0,I76/I83,0)</f>
        <v/>
      </c>
      <c r="J95" s="25">
        <f>IF(J83&gt;0,J76/J83,0)</f>
        <v/>
      </c>
      <c r="K95" s="25">
        <f>IF(K83&gt;0,K76/K83,0)</f>
        <v/>
      </c>
      <c r="L95" s="25">
        <f>IF(L83&gt;0,L76/L83,0)</f>
        <v/>
      </c>
      <c r="M95" s="25">
        <f>IF(M83&gt;0,M76/M83,0)</f>
        <v/>
      </c>
      <c r="N95" s="25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26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25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2026-01-21T02:00:16Z</dcterms:modified>
</cp:coreProperties>
</file>