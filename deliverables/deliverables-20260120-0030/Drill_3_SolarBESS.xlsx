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8" authorId="0" shapeId="0">
      <text>
        <t>30% ITC reduces equity basis at close. Net Equity = Gross − (EV × ITC%). Significantly improves IRR.</t>
      </text>
    </comment>
    <comment ref="C12" authorId="0" shapeId="0">
      <text>
        <t>Panels lose ~0.5%/yr efficiency. Year 10 output is ~95% of Year 1. Must model declining generation.</t>
      </text>
    </comment>
    <comment ref="C13" authorId="0" shapeId="0">
      <text>
        <t>Mandatory prepayment from excess cash. Lenders require this for merchant assets to accelerate deleveraging.</t>
      </text>
    </comment>
    <comment ref="C14" authorId="0" shapeId="0">
      <text>
        <t>30% ITC reduces equity basis at close. Net Equity = Gross − (EV × ITC%). Significantly improves IRR.</t>
      </text>
    </comment>
    <comment ref="C21" authorId="0" shapeId="0">
      <text>
        <t>Battery capacity degrades faster than solar (~2-3%/yr). Augmentation in Y5-7 restores capacity to meet PPA.</t>
      </text>
    </comment>
    <comment ref="C23" authorId="0" shapeId="0">
      <text>
        <t>Cash Flow Available for Debt Service. What remains after taxes to pay interest and principal. DSCR = CFADS ÷ DS.</t>
      </text>
    </comment>
    <comment ref="C31" authorId="0" shapeId="0">
      <text>
        <t>Mandatory prepayment from excess cash. Lenders require this for merchant assets to accelerate deleveraging.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0" t="inlineStr">
        <is>
          <t>SOLAR+BESS MODEL - INTUITION GUIDE</t>
        </is>
      </c>
      <c r="B1" s="21" t="inlineStr"/>
    </row>
    <row r="2" ht="30" customHeight="1">
      <c r="A2" s="20" t="inlineStr"/>
      <c r="B2" s="21" t="inlineStr"/>
    </row>
    <row r="3" ht="30" customHeight="1">
      <c r="A3" s="20" t="inlineStr">
        <is>
          <t>SECTION</t>
        </is>
      </c>
      <c r="B3" s="22" t="inlineStr">
        <is>
          <t>WHY IT MATTERS / KEY LOGIC</t>
        </is>
      </c>
    </row>
    <row r="4" ht="30" customHeight="1">
      <c r="A4" s="20" t="inlineStr"/>
      <c r="B4" s="21" t="inlineStr"/>
    </row>
    <row r="5" ht="30" customHeight="1">
      <c r="A5" s="23" t="inlineStr">
        <is>
          <t>═══ BUSINESS CONTEXT ═══</t>
        </is>
      </c>
      <c r="B5" s="24" t="n"/>
    </row>
    <row r="6" ht="30" customHeight="1">
      <c r="A6" s="20" t="inlineStr">
        <is>
          <t>Why Solar + Battery?</t>
        </is>
      </c>
      <c r="B6" s="21" t="inlineStr">
        <is>
          <t>Solar provides contracted PPA revenue. Battery adds arbitrage (buy low/sell high) and ancillary services (grid stability). Combined improves risk-adjusted returns.</t>
        </is>
      </c>
    </row>
    <row r="7" ht="30" customHeight="1">
      <c r="A7" s="20" t="inlineStr">
        <is>
          <t>Revenue Stability</t>
        </is>
      </c>
      <c r="B7" s="21" t="inlineStr">
        <is>
          <t>PPA contract provides revenue certainty. This supports sculpted debt (vs sweep) because cash flows are predictable.</t>
        </is>
      </c>
    </row>
    <row r="8" ht="30" customHeight="1">
      <c r="A8" s="20" t="inlineStr">
        <is>
          <t>ITC Impact</t>
        </is>
      </c>
      <c r="B8" s="21" t="inlineStr">
        <is>
          <t>30% Investment Tax Credit reduces equity requirement. Government subsidy makes project economics work.</t>
        </is>
      </c>
      <c r="C8" t="inlineStr">
        <is>
          <t>Investment Tax Credit %</t>
        </is>
      </c>
    </row>
    <row r="9" ht="30" customHeight="1">
      <c r="A9" s="20" t="inlineStr"/>
      <c r="B9" s="21" t="inlineStr"/>
    </row>
    <row r="10" ht="30" customHeight="1">
      <c r="A10" s="23" t="inlineStr">
        <is>
          <t>═══ KEY DIFFERENCES FROM THERMAL ═══</t>
        </is>
      </c>
      <c r="B10" s="24" t="n"/>
    </row>
    <row r="11" ht="30" customHeight="1">
      <c r="A11" s="20" t="inlineStr">
        <is>
          <t>No Fuel Cost</t>
        </is>
      </c>
      <c r="B11" s="21" t="inlineStr">
        <is>
          <t>Sun is free. No commodity exposure. Gross margin = revenue - O&amp;M only.</t>
        </is>
      </c>
    </row>
    <row r="12" ht="30" customHeight="1">
      <c r="A12" s="20" t="inlineStr">
        <is>
          <t>Degradation (0.5%/yr)</t>
        </is>
      </c>
      <c r="B12" s="21" t="inlineStr">
        <is>
          <t>Solar panels lose efficiency over time. Y10 generation is ~95% of Y1. Must model declining output.</t>
        </is>
      </c>
      <c r="C12" t="inlineStr">
        <is>
          <t>Annual output loss %</t>
        </is>
      </c>
    </row>
    <row r="13" ht="30" customHeight="1">
      <c r="A13" s="20" t="inlineStr">
        <is>
          <t>Sculpted vs Sweep Debt</t>
        </is>
      </c>
      <c r="B13" s="21" t="inlineStr">
        <is>
          <t>Contracted cash flows allow sculpting - size debt service to hit target DSCR. More efficient than sweep.</t>
        </is>
      </c>
      <c r="C13" t="inlineStr">
        <is>
          <t>% of excess cash to prepay</t>
        </is>
      </c>
    </row>
    <row r="14" ht="30" customHeight="1">
      <c r="A14" s="20" t="inlineStr">
        <is>
          <t>ITC in Sources &amp; Uses</t>
        </is>
      </c>
      <c r="B14" s="21" t="inlineStr">
        <is>
          <t>ITC is a 'source' that offsets equity. Pre-ITC Equity - ITC = Net Equity (your actual check).</t>
        </is>
      </c>
      <c r="C14" t="inlineStr">
        <is>
          <t>Investment Tax Credit %</t>
        </is>
      </c>
    </row>
    <row r="15" ht="30" customHeight="1">
      <c r="A15" s="20" t="inlineStr"/>
      <c r="B15" s="21" t="inlineStr"/>
    </row>
    <row r="16" ht="30" customHeight="1">
      <c r="A16" s="23" t="inlineStr">
        <is>
          <t>═══ DEBT SCULPTING LOGIC ═══</t>
        </is>
      </c>
      <c r="B16" s="24" t="n"/>
    </row>
    <row r="17" ht="30" customHeight="1">
      <c r="A17" s="20" t="inlineStr">
        <is>
          <t>How It Works</t>
        </is>
      </c>
      <c r="B17" s="21" t="inlineStr">
        <is>
          <t>Target DS = CFADS / Target DSCR. Then: Sculpted Principal = Target DS - Interest. Debt service sized to maintain constant coverage.</t>
        </is>
      </c>
    </row>
    <row r="18" ht="30" customHeight="1">
      <c r="A18" s="20" t="inlineStr">
        <is>
          <t>Why 1.35x Target?</t>
        </is>
      </c>
      <c r="B18" s="21" t="inlineStr">
        <is>
          <t>Contracted assets get lower DSCR targets (less volatile). 1.35x provides cushion while maximizing debt capacity.</t>
        </is>
      </c>
    </row>
    <row r="19" ht="30" customHeight="1">
      <c r="A19" s="20" t="inlineStr">
        <is>
          <t>Benefit</t>
        </is>
      </c>
      <c r="B19" s="21" t="inlineStr">
        <is>
          <t>Efficient structure - pay principal when you have cash, not on fixed schedule. Better matches asset profile.</t>
        </is>
      </c>
    </row>
    <row r="20" ht="30" customHeight="1">
      <c r="A20" s="20" t="inlineStr"/>
      <c r="B20" s="21" t="inlineStr"/>
    </row>
    <row r="21" ht="30" customHeight="1">
      <c r="A21" s="23" t="inlineStr">
        <is>
          <t>═══ BESS AUGMENTATION ═══</t>
        </is>
      </c>
      <c r="B21" s="24" t="n"/>
      <c r="C21" t="inlineStr">
        <is>
          <t>Battery replacement capex</t>
        </is>
      </c>
    </row>
    <row r="22" ht="30" customHeight="1">
      <c r="A22" s="20" t="inlineStr">
        <is>
          <t>Why Y7 Capex?</t>
        </is>
      </c>
      <c r="B22" s="21" t="inlineStr">
        <is>
          <t>Battery capacity degrades over time. Augmentation restores capacity to maintain contracted services. Budget $5mm.</t>
        </is>
      </c>
    </row>
    <row r="23" ht="30" customHeight="1">
      <c r="A23" s="20" t="inlineStr">
        <is>
          <t>Impact on CFADS</t>
        </is>
      </c>
      <c r="B23" s="21" t="inlineStr">
        <is>
          <t>Y7 CFADS reduced by augmentation capex. Check that DSCR still passes in that year.</t>
        </is>
      </c>
      <c r="C23">
        <f> EBITDA − Taxes</f>
        <v/>
      </c>
    </row>
    <row r="24" ht="30" customHeight="1">
      <c r="A24" s="20" t="inlineStr"/>
      <c r="B24" s="21" t="inlineStr"/>
    </row>
    <row r="25" ht="30" customHeight="1">
      <c r="A25" s="23" t="inlineStr">
        <is>
          <t>═══ TAX TREATMENT ═══</t>
        </is>
      </c>
      <c r="B25" s="24" t="n"/>
    </row>
    <row r="26" ht="30" customHeight="1">
      <c r="A26" s="20" t="inlineStr">
        <is>
          <t>MACRS Shield Y1-Y6</t>
        </is>
      </c>
      <c r="B26" s="21" t="inlineStr">
        <is>
          <t>Accelerated depreciation creates tax losses, shielding income. Zero cash taxes early years.</t>
        </is>
      </c>
    </row>
    <row r="27" ht="30" customHeight="1">
      <c r="A27" s="20" t="inlineStr">
        <is>
          <t>Post-MACRS (Y7+)</t>
        </is>
      </c>
      <c r="B27" s="21" t="inlineStr">
        <is>
          <t>MACRS exhausted. Now pay taxes, but at reduced effective rate (15% vs 25%) due to remaining depreciation.</t>
        </is>
      </c>
    </row>
    <row r="28" ht="30" customHeight="1">
      <c r="A28" s="20" t="inlineStr"/>
      <c r="B28" s="21" t="inlineStr"/>
    </row>
    <row r="29" ht="30" customHeight="1">
      <c r="A29" s="23" t="inlineStr">
        <is>
          <t>═══ COMMON IC QUESTIONS ═══</t>
        </is>
      </c>
      <c r="B29" s="24" t="n"/>
    </row>
    <row r="30" ht="30" customHeight="1">
      <c r="A30" s="25" t="inlineStr">
        <is>
          <t>Q: What happens if panels degrade faster?</t>
        </is>
      </c>
      <c r="B30" s="26" t="inlineStr">
        <is>
          <t>Lower generation = lower PPA revenue. Run sensitivity on degradation rate showing EBITDA and DSCR impact.</t>
        </is>
      </c>
    </row>
    <row r="31" ht="30" customHeight="1">
      <c r="A31" s="25" t="inlineStr">
        <is>
          <t>Q: Why sculpted vs sweep?</t>
        </is>
      </c>
      <c r="B31" s="26" t="inlineStr">
        <is>
          <t>Contracted cash flows are predictable, allowing efficient sculpting. Sweeps are for volatile merchant assets.</t>
        </is>
      </c>
      <c r="C31" t="inlineStr">
        <is>
          <t>% of excess cash to prepay</t>
        </is>
      </c>
    </row>
    <row r="32" ht="30" customHeight="1">
      <c r="A32" s="25" t="inlineStr">
        <is>
          <t>Q: What's BESS basis risk?</t>
        </is>
      </c>
      <c r="B32" s="26" t="inlineStr">
        <is>
          <t>Battery revenue depends on price volatility. Low volatility = less arbitrage opportunity. PPA hedges this.</t>
        </is>
      </c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/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/>
      <c r="D6" s="27">
        <f>MIN(E82:N82)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8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7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8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/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9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9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30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9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9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9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9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9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9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9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30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30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9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9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 t="inlineStr"/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IF(1&lt;=$D$50,0,E68*$D$51)</f>
        <v/>
      </c>
      <c r="F71" s="16">
        <f>IF(2&lt;=$D$50,0,F68*$D$51)</f>
        <v/>
      </c>
      <c r="G71" s="16">
        <f>IF(3&lt;=$D$50,0,G68*$D$51)</f>
        <v/>
      </c>
      <c r="H71" s="16">
        <f>IF(4&lt;=$D$50,0,H68*$D$51)</f>
        <v/>
      </c>
      <c r="I71" s="16">
        <f>IF(5&lt;=$D$50,0,I68*$D$51)</f>
        <v/>
      </c>
      <c r="J71" s="16">
        <f>IF(6&lt;=$D$50,0,J68*$D$51)</f>
        <v/>
      </c>
      <c r="K71" s="16">
        <f>IF(7&lt;=$D$50,0,K68*$D$51)</f>
        <v/>
      </c>
      <c r="L71" s="16">
        <f>IF(8&lt;=$D$50,0,L68*$D$51)</f>
        <v/>
      </c>
      <c r="M71" s="16">
        <f>IF(9&lt;=$D$50,0,M68*$D$51)</f>
        <v/>
      </c>
      <c r="N71" s="16">
        <f>IF(10&lt;=$D$50,0,N68*$D$51)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7">
        <f>IF(E80&gt;0,E73/E80,0)</f>
        <v/>
      </c>
      <c r="F82" s="27">
        <f>IF(F80&gt;0,F73/F80,0)</f>
        <v/>
      </c>
      <c r="G82" s="27">
        <f>IF(G80&gt;0,G73/G80,0)</f>
        <v/>
      </c>
      <c r="H82" s="27">
        <f>IF(H80&gt;0,H73/H80,0)</f>
        <v/>
      </c>
      <c r="I82" s="27">
        <f>IF(I80&gt;0,I73/I80,0)</f>
        <v/>
      </c>
      <c r="J82" s="27">
        <f>IF(J80&gt;0,J73/J80,0)</f>
        <v/>
      </c>
      <c r="K82" s="27">
        <f>IF(K80&gt;0,K73/K80,0)</f>
        <v/>
      </c>
      <c r="L82" s="27">
        <f>IF(L80&gt;0,L73/L80,0)</f>
        <v/>
      </c>
      <c r="M82" s="27">
        <f>IF(M80&gt;0,M73/M80,0)</f>
        <v/>
      </c>
      <c r="N82" s="27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/>
      <c r="D118" s="28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7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/>
      <c r="D123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2026-01-20T02:10:38Z</dcterms:created>
  <dcterms:modified xmlns:dcterms="http://purl.org/dc/terms/" xmlns:xsi="http://www.w3.org/2001/XMLSchema-instance" xsi:type="dcterms:W3CDTF">2026-01-20T02:50:58Z</dcterms:modified>
</cp:coreProperties>
</file>