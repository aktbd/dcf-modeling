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1" authorId="0" shapeId="0">
      <text>
        <t>Mandatory prepayment from excess cash. Lenders require this for merchant assets.</t>
      </text>
    </comment>
    <comment ref="C42" authorId="0" shapeId="0">
      <text>
        <t>Debt Service Coverage Ratio. Key lender metric. Target: 1.25-1.40x.</t>
      </text>
    </comment>
    <comment ref="C62" authorId="0" shapeId="0">
      <text>
        <t>Cash earnings before financing. What is available to service debt and pay equity.</t>
      </text>
    </comment>
    <comment ref="C68" authorId="0" shapeId="0">
      <text>
        <t>Cash Flow Available for Debt Service. What remains after taxes to pay interest and principal.</t>
      </text>
    </comment>
    <comment ref="C76" authorId="0" shapeId="0">
      <text>
        <t>Mandatory prepayment from excess cash. Lenders require this for merchant assets.</t>
      </text>
    </comment>
    <comment ref="C79" authorId="0" shapeId="0">
      <text>
        <t>Debt Service Coverage Ratio. Key lender metric. Target: 1.25-1.40x.</t>
      </text>
    </comment>
    <comment ref="C80" authorId="0" shapeId="0">
      <text>
        <t>Debt service using straight-line principal only. Used for DSRA to avoid circularity.</t>
      </text>
    </comment>
    <comment ref="C83" authorId="0" shapeId="0">
      <text>
        <t>Reserve sized to cover NEXT years debt service. Uses SCHEDULED DS to avoid circular reference.</t>
      </text>
    </comment>
    <comment ref="C113" authorId="0" shapeId="0">
      <text>
        <t>Return to equity after debt service. Should exceed cost of equity (12-15% for infra).</t>
      </text>
    </comment>
    <comment ref="C114" authorId="0" shapeId="0">
      <text>
        <t>Multiple on Invested Capital. Cash-on-cash return. 2.0x = doubled money.</t>
      </text>
    </comment>
    <comment ref="C118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8">
      <c r="A78" t="inlineStr"/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2">
      <c r="A82" t="inlineStr"/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6">
      <c r="A86" t="inlineStr"/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3">
      <c r="A93" t="inlineStr"/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>
        <is>
          <t>CFADS / Debt Service</t>
        </is>
      </c>
      <c r="D6" s="22">
        <f>IF(COUNTIF(E79:I79,"&gt;0")&gt;0,MINIFS(E79:I79,E79:I79,"&gt;0"),0)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3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2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3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4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25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24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24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24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4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24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24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24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25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24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24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</f>
        <v/>
      </c>
      <c r="F59" s="16">
        <f>F56*F57</f>
        <v/>
      </c>
      <c r="G59" s="16">
        <f>G56*G57</f>
        <v/>
      </c>
      <c r="H59" s="16">
        <f>H56*H57</f>
        <v/>
      </c>
      <c r="I59" s="16">
        <f>I56*I57</f>
        <v/>
      </c>
      <c r="J59" s="16">
        <f>J56*J57</f>
        <v/>
      </c>
      <c r="K59" s="16">
        <f>K56*K57</f>
        <v/>
      </c>
      <c r="L59" s="16">
        <f>L56*L57</f>
        <v/>
      </c>
      <c r="M59" s="16">
        <f>M56*M57</f>
        <v/>
      </c>
      <c r="N59" s="16">
        <f>N56*N57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>
        <is>
          <t>Revenue minus OpEx</t>
        </is>
      </c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2">
        <f>IF(E74&gt;0,E68/E74,0)</f>
        <v/>
      </c>
      <c r="F79" s="22">
        <f>IF(F74&gt;0,F68/F74,0)</f>
        <v/>
      </c>
      <c r="G79" s="22">
        <f>IF(G74&gt;0,G68/G74,0)</f>
        <v/>
      </c>
      <c r="H79" s="22">
        <f>IF(H74&gt;0,H68/H74,0)</f>
        <v/>
      </c>
      <c r="I79" s="22">
        <f>IF(I74&gt;0,I68/I74,0)</f>
        <v/>
      </c>
      <c r="J79" s="22">
        <f>IF(J74&gt;0,J68/J74,0)</f>
        <v/>
      </c>
      <c r="K79" s="22">
        <f>IF(K74&gt;0,K68/K74,0)</f>
        <v/>
      </c>
      <c r="L79" s="22">
        <f>IF(L74&gt;0,L68/L74,0)</f>
        <v/>
      </c>
      <c r="M79" s="22">
        <f>IF(M74&gt;0,M68/M74,0)</f>
        <v/>
      </c>
      <c r="N79" s="22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>
        <is>
          <t>IRR of Equity CFs</t>
        </is>
      </c>
      <c r="D113" s="23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2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>
        <is>
          <t>IRR of Equity CFs</t>
        </is>
      </c>
      <c r="D118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2026-01-20T05:38:18Z</dcterms:modified>
</cp:coreProperties>
</file>