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&quot;x&quot;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5" fontId="0" fillId="2" borderId="0" pivotButton="0" quotePrefix="0" xfId="0"/>
    <xf numFmtId="0" fontId="7" fillId="3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0">
      <c r="A30" t="inlineStr"/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6">
      <c r="A36" t="inlineStr"/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4">
      <c r="A4" t="inlineStr"/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9">
      <c r="A9" t="inlineStr"/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5">
      <c r="A15" t="inlineStr"/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7">
      <c r="A7" t="inlineStr"/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1">
      <c r="A11" t="inlineStr"/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7">
      <c r="A17" t="inlineStr"/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2">
      <c r="A22" t="inlineStr"/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7">
      <c r="A27" t="inlineStr"/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8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0">
        <f>$D$21*(1+$D$22)^(1-1)</f>
        <v/>
      </c>
      <c r="F42" s="10">
        <f>$D$21*(1+$D$22)^(2-1)</f>
        <v/>
      </c>
      <c r="G42" s="10">
        <f>$D$21*(1+$D$22)^(3-1)</f>
        <v/>
      </c>
      <c r="H42" s="10">
        <f>$D$21*(1+$D$22)^(4-1)</f>
        <v/>
      </c>
      <c r="I42" s="10">
        <f>$D$21*(1+$D$22)^(5-1)</f>
        <v/>
      </c>
      <c r="J42" s="10">
        <f>$D$21*(1+$D$22)^(6-1)</f>
        <v/>
      </c>
      <c r="K42" s="10">
        <f>$D$21*(1+$D$22)^(7-1)</f>
        <v/>
      </c>
      <c r="L42" s="10">
        <f>$D$21*(1+$D$22)^(8-1)</f>
        <v/>
      </c>
      <c r="M42" s="10">
        <f>$D$21*(1+$D$22)^(9-1)</f>
        <v/>
      </c>
      <c r="N42" s="10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1">
        <f>E45*$D$26</f>
        <v/>
      </c>
      <c r="F46" s="11">
        <f>F45*$D$26</f>
        <v/>
      </c>
      <c r="G46" s="11">
        <f>G45*$D$26</f>
        <v/>
      </c>
      <c r="H46" s="11">
        <f>H45*$D$26</f>
        <v/>
      </c>
      <c r="I46" s="11">
        <f>I45*$D$26</f>
        <v/>
      </c>
      <c r="J46" s="11">
        <f>J45*$D$26</f>
        <v/>
      </c>
      <c r="K46" s="11">
        <f>K45*$D$26</f>
        <v/>
      </c>
      <c r="L46" s="11">
        <f>L45*$D$26</f>
        <v/>
      </c>
      <c r="M46" s="11">
        <f>M45*$D$26</f>
        <v/>
      </c>
      <c r="N46" s="11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1">
        <f>MIN($D$36/$D$27,E45)</f>
        <v/>
      </c>
      <c r="F47" s="11">
        <f>MIN($D$36/$D$27,F45)</f>
        <v/>
      </c>
      <c r="G47" s="11">
        <f>MIN($D$36/$D$27,G45)</f>
        <v/>
      </c>
      <c r="H47" s="11">
        <f>MIN($D$36/$D$27,H45)</f>
        <v/>
      </c>
      <c r="I47" s="11">
        <f>MIN($D$36/$D$27,I45)</f>
        <v/>
      </c>
      <c r="J47" s="11">
        <f>MIN($D$36/$D$27,J45)</f>
        <v/>
      </c>
      <c r="K47" s="11">
        <f>MIN($D$36/$D$27,K45)</f>
        <v/>
      </c>
      <c r="L47" s="11">
        <f>MIN($D$36/$D$27,L45)</f>
        <v/>
      </c>
      <c r="M47" s="11">
        <f>MIN($D$36/$D$27,M45)</f>
        <v/>
      </c>
      <c r="N47" s="11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1">
        <f>MAX(0,E45-E47)</f>
        <v/>
      </c>
      <c r="F48" s="11">
        <f>MAX(0,F45-F47)</f>
        <v/>
      </c>
      <c r="G48" s="11">
        <f>MAX(0,G45-G47)</f>
        <v/>
      </c>
      <c r="H48" s="11">
        <f>MAX(0,H45-H47)</f>
        <v/>
      </c>
      <c r="I48" s="11">
        <f>MAX(0,I45-I47)</f>
        <v/>
      </c>
      <c r="J48" s="11">
        <f>MAX(0,J45-J47)</f>
        <v/>
      </c>
      <c r="K48" s="11">
        <f>MAX(0,K45-K47)</f>
        <v/>
      </c>
      <c r="L48" s="11">
        <f>MAX(0,L45-L47)</f>
        <v/>
      </c>
      <c r="M48" s="11">
        <f>MAX(0,M45-M47)</f>
        <v/>
      </c>
      <c r="N48" s="11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1">
        <f>OFFSET(E42,0,$D$15-1)</f>
        <v/>
      </c>
    </row>
    <row r="52">
      <c r="A52" t="inlineStr">
        <is>
          <t>Exit EV</t>
        </is>
      </c>
      <c r="D52" s="10">
        <f>D51*$D$14</f>
        <v/>
      </c>
    </row>
    <row r="53">
      <c r="A53" t="inlineStr">
        <is>
          <t>Exit Debt</t>
        </is>
      </c>
      <c r="D53" s="11">
        <f>OFFSET(E48,0,$D$15-1)</f>
        <v/>
      </c>
    </row>
    <row r="54">
      <c r="A54" t="inlineStr">
        <is>
          <t>Exit Equity</t>
        </is>
      </c>
      <c r="D54" s="10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1">
        <f>IF(1=$D$15,D54,0)</f>
        <v/>
      </c>
      <c r="F56" s="11">
        <f>IF(2=$D$15,D54,0)</f>
        <v/>
      </c>
      <c r="G56" s="11">
        <f>IF(3=$D$15,D54,0)</f>
        <v/>
      </c>
      <c r="H56" s="11">
        <f>IF(4=$D$15,D54,0)</f>
        <v/>
      </c>
      <c r="I56" s="11">
        <f>IF(5=$D$15,D54,0)</f>
        <v/>
      </c>
      <c r="J56" s="11">
        <f>IF(6=$D$15,D54,0)</f>
        <v/>
      </c>
      <c r="K56" s="11">
        <f>IF(7=$D$15,D54,0)</f>
        <v/>
      </c>
      <c r="L56" s="11">
        <f>IF(8=$D$15,D54,0)</f>
        <v/>
      </c>
      <c r="M56" s="11">
        <f>IF(9=$D$15,D54,0)</f>
        <v/>
      </c>
      <c r="N56" s="11">
        <f>IF(10=$D$15,D54,0)</f>
        <v/>
      </c>
    </row>
    <row r="58">
      <c r="A58" s="5" t="inlineStr">
        <is>
          <t>Levered IRR</t>
        </is>
      </c>
      <c r="D58" s="8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0">
        <f>IF(1&lt;=$D$20,E65*$D$40*(1+$D$42)^(1-1)/1E6,E65*$D$41*(1+$D$42)^(1-1)/1E6)</f>
        <v/>
      </c>
      <c r="F66" s="10">
        <f>IF(2&lt;=$D$20,F65*$D$40*(1+$D$42)^(2-1)/1E6,F65*$D$41*(1+$D$42)^(2-1)/1E6)</f>
        <v/>
      </c>
      <c r="G66" s="10">
        <f>IF(3&lt;=$D$20,G65*$D$40*(1+$D$42)^(3-1)/1E6,G65*$D$41*(1+$D$42)^(3-1)/1E6)</f>
        <v/>
      </c>
      <c r="H66" s="10">
        <f>IF(4&lt;=$D$20,H65*$D$40*(1+$D$42)^(4-1)/1E6,H65*$D$41*(1+$D$42)^(4-1)/1E6)</f>
        <v/>
      </c>
      <c r="I66" s="10">
        <f>IF(5&lt;=$D$20,I65*$D$40*(1+$D$42)^(5-1)/1E6,I65*$D$41*(1+$D$42)^(5-1)/1E6)</f>
        <v/>
      </c>
      <c r="J66" s="10">
        <f>IF(6&lt;=$D$20,J65*$D$40*(1+$D$42)^(6-1)/1E6,J65*$D$41*(1+$D$42)^(6-1)/1E6)</f>
        <v/>
      </c>
      <c r="K66" s="10">
        <f>IF(7&lt;=$D$20,K65*$D$40*(1+$D$42)^(7-1)/1E6,K65*$D$41*(1+$D$42)^(7-1)/1E6)</f>
        <v/>
      </c>
      <c r="L66" s="10">
        <f>IF(8&lt;=$D$20,L65*$D$40*(1+$D$42)^(8-1)/1E6,L65*$D$41*(1+$D$42)^(8-1)/1E6)</f>
        <v/>
      </c>
      <c r="M66" s="10">
        <f>IF(9&lt;=$D$20,M65*$D$40*(1+$D$42)^(9-1)/1E6,M65*$D$41*(1+$D$42)^(9-1)/1E6)</f>
        <v/>
      </c>
      <c r="N66" s="10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1">
        <f>$D$45*$D$37*(1+$D$46)^(1-1)/1E6</f>
        <v/>
      </c>
      <c r="F68" s="11">
        <f>$D$45*$D$37*(1+$D$46)^(2-1)/1E6</f>
        <v/>
      </c>
      <c r="G68" s="11">
        <f>$D$45*$D$37*(1+$D$46)^(3-1)/1E6</f>
        <v/>
      </c>
      <c r="H68" s="11">
        <f>$D$45*$D$37*(1+$D$46)^(4-1)/1E6</f>
        <v/>
      </c>
      <c r="I68" s="11">
        <f>$D$45*$D$37*(1+$D$46)^(5-1)/1E6</f>
        <v/>
      </c>
      <c r="J68" s="11">
        <f>$D$45*$D$37*(1+$D$46)^(6-1)/1E6</f>
        <v/>
      </c>
      <c r="K68" s="11">
        <f>$D$45*$D$37*(1+$D$46)^(7-1)/1E6</f>
        <v/>
      </c>
      <c r="L68" s="11">
        <f>$D$45*$D$37*(1+$D$46)^(8-1)/1E6</f>
        <v/>
      </c>
      <c r="M68" s="11">
        <f>$D$45*$D$37*(1+$D$46)^(9-1)/1E6</f>
        <v/>
      </c>
      <c r="N68" s="11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1">
        <f>$D$47</f>
        <v/>
      </c>
      <c r="F69" s="11">
        <f>$D$47</f>
        <v/>
      </c>
      <c r="G69" s="11">
        <f>$D$47</f>
        <v/>
      </c>
      <c r="H69" s="11">
        <f>$D$47</f>
        <v/>
      </c>
      <c r="I69" s="11">
        <f>$D$47</f>
        <v/>
      </c>
      <c r="J69" s="11">
        <f>$D$47</f>
        <v/>
      </c>
      <c r="K69" s="11">
        <f>$D$47</f>
        <v/>
      </c>
      <c r="L69" s="11">
        <f>$D$47</f>
        <v/>
      </c>
      <c r="M69" s="11">
        <f>$D$47</f>
        <v/>
      </c>
      <c r="N69" s="11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1">
        <f>$D$32*$D$48</f>
        <v/>
      </c>
      <c r="F70" s="11">
        <f>$D$32*$D$48</f>
        <v/>
      </c>
      <c r="G70" s="11">
        <f>$D$32*$D$48</f>
        <v/>
      </c>
      <c r="H70" s="11">
        <f>$D$32*$D$48</f>
        <v/>
      </c>
      <c r="I70" s="11">
        <f>$D$32*$D$48</f>
        <v/>
      </c>
      <c r="J70" s="11">
        <f>$D$32*$D$48</f>
        <v/>
      </c>
      <c r="K70" s="11">
        <f>$D$32*$D$48</f>
        <v/>
      </c>
      <c r="L70" s="11">
        <f>$D$32*$D$48</f>
        <v/>
      </c>
      <c r="M70" s="11">
        <f>$D$32*$D$48</f>
        <v/>
      </c>
      <c r="N70" s="11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0">
        <f>E66-E68-E69-E70</f>
        <v/>
      </c>
      <c r="F71" s="10">
        <f>F66-F68-F69-F70</f>
        <v/>
      </c>
      <c r="G71" s="10">
        <f>G66-G68-G69-G70</f>
        <v/>
      </c>
      <c r="H71" s="10">
        <f>H66-H68-H69-H70</f>
        <v/>
      </c>
      <c r="I71" s="10">
        <f>I66-I68-I69-I70</f>
        <v/>
      </c>
      <c r="J71" s="10">
        <f>J66-J68-J69-J70</f>
        <v/>
      </c>
      <c r="K71" s="10">
        <f>K66-K68-K69-K70</f>
        <v/>
      </c>
      <c r="L71" s="10">
        <f>L66-L68-L69-L70</f>
        <v/>
      </c>
      <c r="M71" s="10">
        <f>M66-M68-M69-M70</f>
        <v/>
      </c>
      <c r="N71" s="10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1">
        <f>IF(1&lt;=$D$54,$D$53*$D$32/$D$54,0)</f>
        <v/>
      </c>
      <c r="F74" s="11">
        <f>IF(2&lt;=$D$54,$D$53*$D$32/$D$54,0)</f>
        <v/>
      </c>
      <c r="G74" s="11">
        <f>IF(3&lt;=$D$54,$D$53*$D$32/$D$54,0)</f>
        <v/>
      </c>
      <c r="H74" s="11">
        <f>IF(4&lt;=$D$54,$D$53*$D$32/$D$54,0)</f>
        <v/>
      </c>
      <c r="I74" s="11">
        <f>IF(5&lt;=$D$54,$D$53*$D$32/$D$54,0)</f>
        <v/>
      </c>
      <c r="J74" s="11">
        <f>IF(6&lt;=$D$54,$D$53*$D$32/$D$54,0)</f>
        <v/>
      </c>
      <c r="K74" s="11">
        <f>IF(7&lt;=$D$54,$D$53*$D$32/$D$54,0)</f>
        <v/>
      </c>
      <c r="L74" s="11">
        <f>IF(8&lt;=$D$54,$D$53*$D$32/$D$54,0)</f>
        <v/>
      </c>
      <c r="M74" s="11">
        <f>IF(9&lt;=$D$54,$D$53*$D$32/$D$54,0)</f>
        <v/>
      </c>
      <c r="N74" s="11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1">
        <f>E71-E74</f>
        <v/>
      </c>
      <c r="F75" s="11">
        <f>F71-F74</f>
        <v/>
      </c>
      <c r="G75" s="11">
        <f>G71-G74</f>
        <v/>
      </c>
      <c r="H75" s="11">
        <f>H71-H74</f>
        <v/>
      </c>
      <c r="I75" s="11">
        <f>I71-I74</f>
        <v/>
      </c>
      <c r="J75" s="11">
        <f>J71-J74</f>
        <v/>
      </c>
      <c r="K75" s="11">
        <f>K71-K74</f>
        <v/>
      </c>
      <c r="L75" s="11">
        <f>L71-L74</f>
        <v/>
      </c>
      <c r="M75" s="11">
        <f>M71-M74</f>
        <v/>
      </c>
      <c r="N75" s="11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1">
        <f>MAX(0,E75)*$D$51</f>
        <v/>
      </c>
      <c r="F76" s="11">
        <f>MAX(0,F75)*$D$51</f>
        <v/>
      </c>
      <c r="G76" s="11">
        <f>MAX(0,G75)*$D$51</f>
        <v/>
      </c>
      <c r="H76" s="11">
        <f>MAX(0,H75)*$D$51</f>
        <v/>
      </c>
      <c r="I76" s="11">
        <f>MAX(0,I75)*$D$51</f>
        <v/>
      </c>
      <c r="J76" s="11">
        <f>MAX(0,J75)*$D$51</f>
        <v/>
      </c>
      <c r="K76" s="11">
        <f>MAX(0,K75)*$D$51</f>
        <v/>
      </c>
      <c r="L76" s="11">
        <f>MAX(0,L75)*$D$51</f>
        <v/>
      </c>
      <c r="M76" s="11">
        <f>MAX(0,M75)*$D$51</f>
        <v/>
      </c>
      <c r="N76" s="11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1">
        <f>IF(1&lt;=$D$24,E65*$D$52/1E6,0)</f>
        <v/>
      </c>
      <c r="F77" s="11">
        <f>IF(2&lt;=$D$24,F65*$D$52/1E6,0)</f>
        <v/>
      </c>
      <c r="G77" s="11">
        <f>IF(3&lt;=$D$24,G65*$D$52/1E6,0)</f>
        <v/>
      </c>
      <c r="H77" s="11">
        <f>IF(4&lt;=$D$24,H65*$D$52/1E6,0)</f>
        <v/>
      </c>
      <c r="I77" s="11">
        <f>IF(5&lt;=$D$24,I65*$D$52/1E6,0)</f>
        <v/>
      </c>
      <c r="J77" s="11">
        <f>IF(6&lt;=$D$24,J65*$D$52/1E6,0)</f>
        <v/>
      </c>
      <c r="K77" s="11">
        <f>IF(7&lt;=$D$24,K65*$D$52/1E6,0)</f>
        <v/>
      </c>
      <c r="L77" s="11">
        <f>IF(8&lt;=$D$24,L65*$D$52/1E6,0)</f>
        <v/>
      </c>
      <c r="M77" s="11">
        <f>IF(9&lt;=$D$24,M65*$D$52/1E6,0)</f>
        <v/>
      </c>
      <c r="N77" s="11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0">
        <f>MIN(E77,E76)</f>
        <v/>
      </c>
      <c r="F78" s="10">
        <f>MIN(F77,F76)</f>
        <v/>
      </c>
      <c r="G78" s="10">
        <f>MIN(G77,G76)</f>
        <v/>
      </c>
      <c r="H78" s="10">
        <f>MIN(H77,H76)</f>
        <v/>
      </c>
      <c r="I78" s="10">
        <f>MIN(I77,I76)</f>
        <v/>
      </c>
      <c r="J78" s="10">
        <f>MIN(J77,J76)</f>
        <v/>
      </c>
      <c r="K78" s="10">
        <f>MIN(K77,K76)</f>
        <v/>
      </c>
      <c r="L78" s="10">
        <f>MIN(L77,L76)</f>
        <v/>
      </c>
      <c r="M78" s="10">
        <f>MIN(M77,M76)</f>
        <v/>
      </c>
      <c r="N78" s="10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1">
        <f>E76-E78</f>
        <v/>
      </c>
      <c r="F79" s="11">
        <f>F76-F78</f>
        <v/>
      </c>
      <c r="G79" s="11">
        <f>G76-G78</f>
        <v/>
      </c>
      <c r="H79" s="11">
        <f>H76-H78</f>
        <v/>
      </c>
      <c r="I79" s="11">
        <f>I76-I78</f>
        <v/>
      </c>
      <c r="J79" s="11">
        <f>J76-J78</f>
        <v/>
      </c>
      <c r="K79" s="11">
        <f>K76-K78</f>
        <v/>
      </c>
      <c r="L79" s="11">
        <f>L76-L78</f>
        <v/>
      </c>
      <c r="M79" s="11">
        <f>M76-M78</f>
        <v/>
      </c>
      <c r="N79" s="11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0">
        <f>E71-E79</f>
        <v/>
      </c>
      <c r="F81" s="10">
        <f>F71-F79</f>
        <v/>
      </c>
      <c r="G81" s="10">
        <f>G71-G79</f>
        <v/>
      </c>
      <c r="H81" s="10">
        <f>H71-H79</f>
        <v/>
      </c>
      <c r="I81" s="10">
        <f>I71-I79</f>
        <v/>
      </c>
      <c r="J81" s="10">
        <f>J71-J79</f>
        <v/>
      </c>
      <c r="K81" s="10">
        <f>K71-K79</f>
        <v/>
      </c>
      <c r="L81" s="10">
        <f>L71-L79</f>
        <v/>
      </c>
      <c r="M81" s="10">
        <f>M71-M79</f>
        <v/>
      </c>
      <c r="N81" s="10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0">
        <f>E81/$D$60</f>
        <v/>
      </c>
      <c r="F84" s="10">
        <f>F81/$D$60</f>
        <v/>
      </c>
      <c r="G84" s="10">
        <f>G81/$D$60</f>
        <v/>
      </c>
      <c r="H84" s="10">
        <f>H81/$D$60</f>
        <v/>
      </c>
      <c r="I84" s="10">
        <f>I81/$D$60</f>
        <v/>
      </c>
      <c r="J84" s="10">
        <f>J81/$D$60</f>
        <v/>
      </c>
      <c r="K84" s="10">
        <f>K81/$D$60</f>
        <v/>
      </c>
      <c r="L84" s="10">
        <f>L81/$D$60</f>
        <v/>
      </c>
      <c r="M84" s="10">
        <f>M81/$D$60</f>
        <v/>
      </c>
      <c r="N84" s="10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1">
        <f>D86</f>
        <v/>
      </c>
      <c r="F86" s="11">
        <f>E90</f>
        <v/>
      </c>
      <c r="G86" s="11">
        <f>F90</f>
        <v/>
      </c>
      <c r="H86" s="11">
        <f>G90</f>
        <v/>
      </c>
      <c r="I86" s="11">
        <f>H90</f>
        <v/>
      </c>
      <c r="J86" s="11">
        <f>I90</f>
        <v/>
      </c>
      <c r="K86" s="11">
        <f>J90</f>
        <v/>
      </c>
      <c r="L86" s="11">
        <f>K90</f>
        <v/>
      </c>
      <c r="M86" s="11">
        <f>L90</f>
        <v/>
      </c>
      <c r="N86" s="11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1">
        <f>E86*$D$58</f>
        <v/>
      </c>
      <c r="F87" s="11">
        <f>F86*$D$58</f>
        <v/>
      </c>
      <c r="G87" s="11">
        <f>G86*$D$58</f>
        <v/>
      </c>
      <c r="H87" s="11">
        <f>H86*$D$58</f>
        <v/>
      </c>
      <c r="I87" s="11">
        <f>I86*$D$58</f>
        <v/>
      </c>
      <c r="J87" s="11">
        <f>J86*$D$58</f>
        <v/>
      </c>
      <c r="K87" s="11">
        <f>K86*$D$58</f>
        <v/>
      </c>
      <c r="L87" s="11">
        <f>L86*$D$58</f>
        <v/>
      </c>
      <c r="M87" s="11">
        <f>M86*$D$58</f>
        <v/>
      </c>
      <c r="N87" s="11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1">
        <f>MAX(0,E84-E87)</f>
        <v/>
      </c>
      <c r="F88" s="11">
        <f>MAX(0,F84-F87)</f>
        <v/>
      </c>
      <c r="G88" s="11">
        <f>MAX(0,G84-G87)</f>
        <v/>
      </c>
      <c r="H88" s="11">
        <f>MAX(0,H84-H87)</f>
        <v/>
      </c>
      <c r="I88" s="11">
        <f>MAX(0,I84-I87)</f>
        <v/>
      </c>
      <c r="J88" s="11">
        <f>MAX(0,J84-J87)</f>
        <v/>
      </c>
      <c r="K88" s="11">
        <f>MAX(0,K84-K87)</f>
        <v/>
      </c>
      <c r="L88" s="11">
        <f>MAX(0,L84-L87)</f>
        <v/>
      </c>
      <c r="M88" s="11">
        <f>MAX(0,M84-M87)</f>
        <v/>
      </c>
      <c r="N88" s="11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1">
        <f>MIN(E88,E86)</f>
        <v/>
      </c>
      <c r="F89" s="11">
        <f>MIN(F88,F86)</f>
        <v/>
      </c>
      <c r="G89" s="11">
        <f>MIN(G88,G86)</f>
        <v/>
      </c>
      <c r="H89" s="11">
        <f>MIN(H88,H86)</f>
        <v/>
      </c>
      <c r="I89" s="11">
        <f>MIN(I88,I86)</f>
        <v/>
      </c>
      <c r="J89" s="11">
        <f>MIN(J88,J86)</f>
        <v/>
      </c>
      <c r="K89" s="11">
        <f>MIN(K88,K86)</f>
        <v/>
      </c>
      <c r="L89" s="11">
        <f>MIN(L88,L86)</f>
        <v/>
      </c>
      <c r="M89" s="11">
        <f>MIN(M88,M86)</f>
        <v/>
      </c>
      <c r="N89" s="11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1">
        <f>MAX(0,E86-E89)</f>
        <v/>
      </c>
      <c r="F90" s="11">
        <f>MAX(0,F86-F89)</f>
        <v/>
      </c>
      <c r="G90" s="11">
        <f>MAX(0,G86-G89)</f>
        <v/>
      </c>
      <c r="H90" s="11">
        <f>MAX(0,H86-H89)</f>
        <v/>
      </c>
      <c r="I90" s="11">
        <f>MAX(0,I86-I89)</f>
        <v/>
      </c>
      <c r="J90" s="11">
        <f>MAX(0,J86-J89)</f>
        <v/>
      </c>
      <c r="K90" s="11">
        <f>MAX(0,K86-K89)</f>
        <v/>
      </c>
      <c r="L90" s="11">
        <f>MAX(0,L86-L89)</f>
        <v/>
      </c>
      <c r="M90" s="11">
        <f>MAX(0,M86-M89)</f>
        <v/>
      </c>
      <c r="N90" s="11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1">
        <f>E87+E89</f>
        <v/>
      </c>
      <c r="F92" s="11">
        <f>F87+F89</f>
        <v/>
      </c>
      <c r="G92" s="11">
        <f>G87+G89</f>
        <v/>
      </c>
      <c r="H92" s="11">
        <f>H87+H89</f>
        <v/>
      </c>
      <c r="I92" s="11">
        <f>I87+I89</f>
        <v/>
      </c>
      <c r="J92" s="11">
        <f>J87+J89</f>
        <v/>
      </c>
      <c r="K92" s="11">
        <f>K87+K89</f>
        <v/>
      </c>
      <c r="L92" s="11">
        <f>L87+L89</f>
        <v/>
      </c>
      <c r="M92" s="11">
        <f>M87+M89</f>
        <v/>
      </c>
      <c r="N92" s="11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1">
        <f>F92*$D$61/12</f>
        <v/>
      </c>
      <c r="F97" s="11">
        <f>G92*$D$61/12</f>
        <v/>
      </c>
      <c r="G97" s="11">
        <f>H92*$D$61/12</f>
        <v/>
      </c>
      <c r="H97" s="11">
        <f>I92*$D$61/12</f>
        <v/>
      </c>
      <c r="I97" s="11">
        <f>J92*$D$61/12</f>
        <v/>
      </c>
      <c r="J97" s="11">
        <f>K92*$D$61/12</f>
        <v/>
      </c>
      <c r="K97" s="11">
        <f>L92*$D$61/12</f>
        <v/>
      </c>
      <c r="L97" s="11">
        <f>M92*$D$61/12</f>
        <v/>
      </c>
      <c r="M97" s="11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1">
        <f>E100</f>
        <v/>
      </c>
      <c r="G98" s="11">
        <f>F100</f>
        <v/>
      </c>
      <c r="H98" s="11">
        <f>G100</f>
        <v/>
      </c>
      <c r="I98" s="11">
        <f>H100</f>
        <v/>
      </c>
      <c r="J98" s="11">
        <f>I100</f>
        <v/>
      </c>
      <c r="K98" s="11">
        <f>J100</f>
        <v/>
      </c>
      <c r="L98" s="11">
        <f>K100</f>
        <v/>
      </c>
      <c r="M98" s="11">
        <f>L100</f>
        <v/>
      </c>
      <c r="N98" s="11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1">
        <f>E97-E98</f>
        <v/>
      </c>
      <c r="F99" s="11">
        <f>F97-F98</f>
        <v/>
      </c>
      <c r="G99" s="11">
        <f>G97-G98</f>
        <v/>
      </c>
      <c r="H99" s="11">
        <f>H97-H98</f>
        <v/>
      </c>
      <c r="I99" s="11">
        <f>I97-I98</f>
        <v/>
      </c>
      <c r="J99" s="11">
        <f>J97-J98</f>
        <v/>
      </c>
      <c r="K99" s="11">
        <f>K97-K98</f>
        <v/>
      </c>
      <c r="L99" s="11">
        <f>L97-L98</f>
        <v/>
      </c>
      <c r="M99" s="11">
        <f>M97-M98</f>
        <v/>
      </c>
      <c r="N99" s="11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1">
        <f>E98+E99</f>
        <v/>
      </c>
      <c r="F100" s="11">
        <f>F98+F99</f>
        <v/>
      </c>
      <c r="G100" s="11">
        <f>G98+G99</f>
        <v/>
      </c>
      <c r="H100" s="11">
        <f>H98+H99</f>
        <v/>
      </c>
      <c r="I100" s="11">
        <f>I98+I99</f>
        <v/>
      </c>
      <c r="J100" s="11">
        <f>J98+J99</f>
        <v/>
      </c>
      <c r="K100" s="11">
        <f>K98+K99</f>
        <v/>
      </c>
      <c r="L100" s="11">
        <f>L98+L99</f>
        <v/>
      </c>
      <c r="M100" s="11">
        <f>M98+M99</f>
        <v/>
      </c>
      <c r="N100" s="11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1">
        <f>E81-E92-E99</f>
        <v/>
      </c>
      <c r="F103" s="11">
        <f>F81-F92-F99</f>
        <v/>
      </c>
      <c r="G103" s="11">
        <f>G81-G92-G99</f>
        <v/>
      </c>
      <c r="H103" s="11">
        <f>H81-H92-H99</f>
        <v/>
      </c>
      <c r="I103" s="11">
        <f>I81-I92-I99</f>
        <v/>
      </c>
      <c r="J103" s="11">
        <f>J81-J92-J99</f>
        <v/>
      </c>
      <c r="K103" s="11">
        <f>K81-K92-K99</f>
        <v/>
      </c>
      <c r="L103" s="11">
        <f>L81-L92-L99</f>
        <v/>
      </c>
      <c r="M103" s="11">
        <f>M81-M92-M99</f>
        <v/>
      </c>
      <c r="N103" s="11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0">
        <f>MAX(0,E103)</f>
        <v/>
      </c>
      <c r="F104" s="10">
        <f>MAX(0,F103)</f>
        <v/>
      </c>
      <c r="G104" s="10">
        <f>MAX(0,G103)</f>
        <v/>
      </c>
      <c r="H104" s="10">
        <f>MAX(0,H103)</f>
        <v/>
      </c>
      <c r="I104" s="10">
        <f>MAX(0,I103)</f>
        <v/>
      </c>
      <c r="J104" s="10">
        <f>MAX(0,J103)</f>
        <v/>
      </c>
      <c r="K104" s="10">
        <f>MAX(0,K103)</f>
        <v/>
      </c>
      <c r="L104" s="10">
        <f>MAX(0,L103)</f>
        <v/>
      </c>
      <c r="M104" s="10">
        <f>MAX(0,M103)</f>
        <v/>
      </c>
      <c r="N104" s="10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1">
        <f>OFFSET(E71,0,$D$23-1)</f>
        <v/>
      </c>
    </row>
    <row r="121">
      <c r="A121" t="inlineStr">
        <is>
          <t>Exit EV</t>
        </is>
      </c>
      <c r="D121" s="10">
        <f>D120*$D$34</f>
        <v/>
      </c>
    </row>
    <row r="122">
      <c r="A122" t="inlineStr">
        <is>
          <t>Exit Debt Payoff</t>
        </is>
      </c>
      <c r="D122" s="11">
        <f>OFFSET(E90,0,$D$23-1)</f>
        <v/>
      </c>
    </row>
    <row r="123">
      <c r="A123" t="inlineStr">
        <is>
          <t>DSRA Release</t>
        </is>
      </c>
      <c r="D123" s="11">
        <f>OFFSET(E100,0,$D$23-1)</f>
        <v/>
      </c>
    </row>
    <row r="124">
      <c r="A124" s="5" t="inlineStr">
        <is>
          <t>Exit Equity Proceeds</t>
        </is>
      </c>
      <c r="D124" s="10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1">
        <f>E104+IF(1=$D$23,D124,0)</f>
        <v/>
      </c>
      <c r="F126" s="11">
        <f>F104+IF(2=$D$23,D124,0)</f>
        <v/>
      </c>
      <c r="G126" s="11">
        <f>G104+IF(3=$D$23,D124,0)</f>
        <v/>
      </c>
      <c r="H126" s="11">
        <f>H104+IF(4=$D$23,D124,0)</f>
        <v/>
      </c>
      <c r="I126" s="11">
        <f>I104+IF(5=$D$23,D124,0)</f>
        <v/>
      </c>
      <c r="J126" s="11">
        <f>J104+IF(6=$D$23,D124,0)</f>
        <v/>
      </c>
      <c r="K126" s="11">
        <f>K104+IF(7=$D$23,D124,0)</f>
        <v/>
      </c>
      <c r="L126" s="11">
        <f>L104+IF(8=$D$23,D124,0)</f>
        <v/>
      </c>
      <c r="M126" s="11">
        <f>M104+IF(9=$D$23,D124,0)</f>
        <v/>
      </c>
      <c r="N126" s="11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8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0">
        <f>IF(1&lt;=$D$20,E65*$D$40*(1+$D$42)^(1-1)/1E6,E65*$D$41*(1+$D$42)^(1-1)/1E6)</f>
        <v/>
      </c>
      <c r="F66" s="10">
        <f>IF(2&lt;=$D$20,F65*$D$40*(1+$D$42)^(2-1)/1E6,F65*$D$41*(1+$D$42)^(2-1)/1E6)</f>
        <v/>
      </c>
      <c r="G66" s="10">
        <f>IF(3&lt;=$D$20,G65*$D$40*(1+$D$42)^(3-1)/1E6,G65*$D$41*(1+$D$42)^(3-1)/1E6)</f>
        <v/>
      </c>
      <c r="H66" s="10">
        <f>IF(4&lt;=$D$20,H65*$D$40*(1+$D$42)^(4-1)/1E6,H65*$D$41*(1+$D$42)^(4-1)/1E6)</f>
        <v/>
      </c>
      <c r="I66" s="10">
        <f>IF(5&lt;=$D$20,I65*$D$40*(1+$D$42)^(5-1)/1E6,I65*$D$41*(1+$D$42)^(5-1)/1E6)</f>
        <v/>
      </c>
      <c r="J66" s="10">
        <f>IF(6&lt;=$D$20,J65*$D$40*(1+$D$42)^(6-1)/1E6,J65*$D$41*(1+$D$42)^(6-1)/1E6)</f>
        <v/>
      </c>
      <c r="K66" s="10">
        <f>IF(7&lt;=$D$20,K65*$D$40*(1+$D$42)^(7-1)/1E6,K65*$D$41*(1+$D$42)^(7-1)/1E6)</f>
        <v/>
      </c>
      <c r="L66" s="10">
        <f>IF(8&lt;=$D$20,L65*$D$40*(1+$D$42)^(8-1)/1E6,L65*$D$41*(1+$D$42)^(8-1)/1E6)</f>
        <v/>
      </c>
      <c r="M66" s="10">
        <f>IF(9&lt;=$D$20,M65*$D$40*(1+$D$42)^(9-1)/1E6,M65*$D$41*(1+$D$42)^(9-1)/1E6)</f>
        <v/>
      </c>
      <c r="N66" s="10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1">
        <f>$D$45*$D$37*(1+$D$46)^(1-1)/1E6</f>
        <v/>
      </c>
      <c r="F68" s="11">
        <f>$D$45*$D$37*(1+$D$46)^(2-1)/1E6</f>
        <v/>
      </c>
      <c r="G68" s="11">
        <f>$D$45*$D$37*(1+$D$46)^(3-1)/1E6</f>
        <v/>
      </c>
      <c r="H68" s="11">
        <f>$D$45*$D$37*(1+$D$46)^(4-1)/1E6</f>
        <v/>
      </c>
      <c r="I68" s="11">
        <f>$D$45*$D$37*(1+$D$46)^(5-1)/1E6</f>
        <v/>
      </c>
      <c r="J68" s="11">
        <f>$D$45*$D$37*(1+$D$46)^(6-1)/1E6</f>
        <v/>
      </c>
      <c r="K68" s="11">
        <f>$D$45*$D$37*(1+$D$46)^(7-1)/1E6</f>
        <v/>
      </c>
      <c r="L68" s="11">
        <f>$D$45*$D$37*(1+$D$46)^(8-1)/1E6</f>
        <v/>
      </c>
      <c r="M68" s="11">
        <f>$D$45*$D$37*(1+$D$46)^(9-1)/1E6</f>
        <v/>
      </c>
      <c r="N68" s="11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1">
        <f>$D$47</f>
        <v/>
      </c>
      <c r="F69" s="11">
        <f>$D$47</f>
        <v/>
      </c>
      <c r="G69" s="11">
        <f>$D$47</f>
        <v/>
      </c>
      <c r="H69" s="11">
        <f>$D$47</f>
        <v/>
      </c>
      <c r="I69" s="11">
        <f>$D$47</f>
        <v/>
      </c>
      <c r="J69" s="11">
        <f>$D$47</f>
        <v/>
      </c>
      <c r="K69" s="11">
        <f>$D$47</f>
        <v/>
      </c>
      <c r="L69" s="11">
        <f>$D$47</f>
        <v/>
      </c>
      <c r="M69" s="11">
        <f>$D$47</f>
        <v/>
      </c>
      <c r="N69" s="11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1">
        <f>$D$32*$D$48</f>
        <v/>
      </c>
      <c r="F70" s="11">
        <f>$D$32*$D$48</f>
        <v/>
      </c>
      <c r="G70" s="11">
        <f>$D$32*$D$48</f>
        <v/>
      </c>
      <c r="H70" s="11">
        <f>$D$32*$D$48</f>
        <v/>
      </c>
      <c r="I70" s="11">
        <f>$D$32*$D$48</f>
        <v/>
      </c>
      <c r="J70" s="11">
        <f>$D$32*$D$48</f>
        <v/>
      </c>
      <c r="K70" s="11">
        <f>$D$32*$D$48</f>
        <v/>
      </c>
      <c r="L70" s="11">
        <f>$D$32*$D$48</f>
        <v/>
      </c>
      <c r="M70" s="11">
        <f>$D$32*$D$48</f>
        <v/>
      </c>
      <c r="N70" s="11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0">
        <f>E66-E68-E69-E70</f>
        <v/>
      </c>
      <c r="F71" s="10">
        <f>F66-F68-F69-F70</f>
        <v/>
      </c>
      <c r="G71" s="10">
        <f>G66-G68-G69-G70</f>
        <v/>
      </c>
      <c r="H71" s="10">
        <f>H66-H68-H69-H70</f>
        <v/>
      </c>
      <c r="I71" s="10">
        <f>I66-I68-I69-I70</f>
        <v/>
      </c>
      <c r="J71" s="10">
        <f>J66-J68-J69-J70</f>
        <v/>
      </c>
      <c r="K71" s="10">
        <f>K66-K68-K69-K70</f>
        <v/>
      </c>
      <c r="L71" s="10">
        <f>L66-L68-L69-L70</f>
        <v/>
      </c>
      <c r="M71" s="10">
        <f>M66-M68-M69-M70</f>
        <v/>
      </c>
      <c r="N71" s="10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1">
        <f>IF(1&lt;=$D$54,$D$53*$D$32/$D$54,0)</f>
        <v/>
      </c>
      <c r="F74" s="11">
        <f>IF(2&lt;=$D$54,$D$53*$D$32/$D$54,0)</f>
        <v/>
      </c>
      <c r="G74" s="11">
        <f>IF(3&lt;=$D$54,$D$53*$D$32/$D$54,0)</f>
        <v/>
      </c>
      <c r="H74" s="11">
        <f>IF(4&lt;=$D$54,$D$53*$D$32/$D$54,0)</f>
        <v/>
      </c>
      <c r="I74" s="11">
        <f>IF(5&lt;=$D$54,$D$53*$D$32/$D$54,0)</f>
        <v/>
      </c>
      <c r="J74" s="11">
        <f>IF(6&lt;=$D$54,$D$53*$D$32/$D$54,0)</f>
        <v/>
      </c>
      <c r="K74" s="11">
        <f>IF(7&lt;=$D$54,$D$53*$D$32/$D$54,0)</f>
        <v/>
      </c>
      <c r="L74" s="11">
        <f>IF(8&lt;=$D$54,$D$53*$D$32/$D$54,0)</f>
        <v/>
      </c>
      <c r="M74" s="11">
        <f>IF(9&lt;=$D$54,$D$53*$D$32/$D$54,0)</f>
        <v/>
      </c>
      <c r="N74" s="11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1">
        <f>E71-E74</f>
        <v/>
      </c>
      <c r="F75" s="11">
        <f>F71-F74</f>
        <v/>
      </c>
      <c r="G75" s="11">
        <f>G71-G74</f>
        <v/>
      </c>
      <c r="H75" s="11">
        <f>H71-H74</f>
        <v/>
      </c>
      <c r="I75" s="11">
        <f>I71-I74</f>
        <v/>
      </c>
      <c r="J75" s="11">
        <f>J71-J74</f>
        <v/>
      </c>
      <c r="K75" s="11">
        <f>K71-K74</f>
        <v/>
      </c>
      <c r="L75" s="11">
        <f>L71-L74</f>
        <v/>
      </c>
      <c r="M75" s="11">
        <f>M71-M74</f>
        <v/>
      </c>
      <c r="N75" s="11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1">
        <f>MAX(0,E75)*$D$51</f>
        <v/>
      </c>
      <c r="F76" s="11">
        <f>MAX(0,F75)*$D$51</f>
        <v/>
      </c>
      <c r="G76" s="11">
        <f>MAX(0,G75)*$D$51</f>
        <v/>
      </c>
      <c r="H76" s="11">
        <f>MAX(0,H75)*$D$51</f>
        <v/>
      </c>
      <c r="I76" s="11">
        <f>MAX(0,I75)*$D$51</f>
        <v/>
      </c>
      <c r="J76" s="11">
        <f>MAX(0,J75)*$D$51</f>
        <v/>
      </c>
      <c r="K76" s="11">
        <f>MAX(0,K75)*$D$51</f>
        <v/>
      </c>
      <c r="L76" s="11">
        <f>MAX(0,L75)*$D$51</f>
        <v/>
      </c>
      <c r="M76" s="11">
        <f>MAX(0,M75)*$D$51</f>
        <v/>
      </c>
      <c r="N76" s="11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1">
        <f>IF(1&lt;=$D$24,E65*$D$52/1E6,0)</f>
        <v/>
      </c>
      <c r="F77" s="11">
        <f>IF(2&lt;=$D$24,F65*$D$52/1E6,0)</f>
        <v/>
      </c>
      <c r="G77" s="11">
        <f>IF(3&lt;=$D$24,G65*$D$52/1E6,0)</f>
        <v/>
      </c>
      <c r="H77" s="11">
        <f>IF(4&lt;=$D$24,H65*$D$52/1E6,0)</f>
        <v/>
      </c>
      <c r="I77" s="11">
        <f>IF(5&lt;=$D$24,I65*$D$52/1E6,0)</f>
        <v/>
      </c>
      <c r="J77" s="11">
        <f>IF(6&lt;=$D$24,J65*$D$52/1E6,0)</f>
        <v/>
      </c>
      <c r="K77" s="11">
        <f>IF(7&lt;=$D$24,K65*$D$52/1E6,0)</f>
        <v/>
      </c>
      <c r="L77" s="11">
        <f>IF(8&lt;=$D$24,L65*$D$52/1E6,0)</f>
        <v/>
      </c>
      <c r="M77" s="11">
        <f>IF(9&lt;=$D$24,M65*$D$52/1E6,0)</f>
        <v/>
      </c>
      <c r="N77" s="11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0">
        <f>MIN(E77,E76)</f>
        <v/>
      </c>
      <c r="F78" s="10">
        <f>MIN(F77,F76)</f>
        <v/>
      </c>
      <c r="G78" s="10">
        <f>MIN(G77,G76)</f>
        <v/>
      </c>
      <c r="H78" s="10">
        <f>MIN(H77,H76)</f>
        <v/>
      </c>
      <c r="I78" s="10">
        <f>MIN(I77,I76)</f>
        <v/>
      </c>
      <c r="J78" s="10">
        <f>MIN(J77,J76)</f>
        <v/>
      </c>
      <c r="K78" s="10">
        <f>MIN(K77,K76)</f>
        <v/>
      </c>
      <c r="L78" s="10">
        <f>MIN(L77,L76)</f>
        <v/>
      </c>
      <c r="M78" s="10">
        <f>MIN(M77,M76)</f>
        <v/>
      </c>
      <c r="N78" s="10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1">
        <f>E76-E78</f>
        <v/>
      </c>
      <c r="F79" s="11">
        <f>F76-F78</f>
        <v/>
      </c>
      <c r="G79" s="11">
        <f>G76-G78</f>
        <v/>
      </c>
      <c r="H79" s="11">
        <f>H76-H78</f>
        <v/>
      </c>
      <c r="I79" s="11">
        <f>I76-I78</f>
        <v/>
      </c>
      <c r="J79" s="11">
        <f>J76-J78</f>
        <v/>
      </c>
      <c r="K79" s="11">
        <f>K76-K78</f>
        <v/>
      </c>
      <c r="L79" s="11">
        <f>L76-L78</f>
        <v/>
      </c>
      <c r="M79" s="11">
        <f>M76-M78</f>
        <v/>
      </c>
      <c r="N79" s="11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0">
        <f>E71-E79</f>
        <v/>
      </c>
      <c r="F81" s="10">
        <f>F71-F79</f>
        <v/>
      </c>
      <c r="G81" s="10">
        <f>G71-G79</f>
        <v/>
      </c>
      <c r="H81" s="10">
        <f>H71-H79</f>
        <v/>
      </c>
      <c r="I81" s="10">
        <f>I71-I79</f>
        <v/>
      </c>
      <c r="J81" s="10">
        <f>J71-J79</f>
        <v/>
      </c>
      <c r="K81" s="10">
        <f>K71-K79</f>
        <v/>
      </c>
      <c r="L81" s="10">
        <f>L71-L79</f>
        <v/>
      </c>
      <c r="M81" s="10">
        <f>M71-M79</f>
        <v/>
      </c>
      <c r="N81" s="10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0">
        <f>E81/$D$60</f>
        <v/>
      </c>
      <c r="F84" s="10">
        <f>F81/$D$60</f>
        <v/>
      </c>
      <c r="G84" s="10">
        <f>G81/$D$60</f>
        <v/>
      </c>
      <c r="H84" s="10">
        <f>H81/$D$60</f>
        <v/>
      </c>
      <c r="I84" s="10">
        <f>I81/$D$60</f>
        <v/>
      </c>
      <c r="J84" s="10">
        <f>J81/$D$60</f>
        <v/>
      </c>
      <c r="K84" s="10">
        <f>K81/$D$60</f>
        <v/>
      </c>
      <c r="L84" s="10">
        <f>L81/$D$60</f>
        <v/>
      </c>
      <c r="M84" s="10">
        <f>M81/$D$60</f>
        <v/>
      </c>
      <c r="N84" s="10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1">
        <f>D86</f>
        <v/>
      </c>
      <c r="F86" s="11">
        <f>E90</f>
        <v/>
      </c>
      <c r="G86" s="11">
        <f>F90</f>
        <v/>
      </c>
      <c r="H86" s="11">
        <f>G90</f>
        <v/>
      </c>
      <c r="I86" s="11">
        <f>H90</f>
        <v/>
      </c>
      <c r="J86" s="11">
        <f>I90</f>
        <v/>
      </c>
      <c r="K86" s="11">
        <f>J90</f>
        <v/>
      </c>
      <c r="L86" s="11">
        <f>K90</f>
        <v/>
      </c>
      <c r="M86" s="11">
        <f>L90</f>
        <v/>
      </c>
      <c r="N86" s="11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1">
        <f>E86*$D$58</f>
        <v/>
      </c>
      <c r="F87" s="11">
        <f>F86*$D$58</f>
        <v/>
      </c>
      <c r="G87" s="11">
        <f>G86*$D$58</f>
        <v/>
      </c>
      <c r="H87" s="11">
        <f>H86*$D$58</f>
        <v/>
      </c>
      <c r="I87" s="11">
        <f>I86*$D$58</f>
        <v/>
      </c>
      <c r="J87" s="11">
        <f>J86*$D$58</f>
        <v/>
      </c>
      <c r="K87" s="11">
        <f>K86*$D$58</f>
        <v/>
      </c>
      <c r="L87" s="11">
        <f>L86*$D$58</f>
        <v/>
      </c>
      <c r="M87" s="11">
        <f>M86*$D$58</f>
        <v/>
      </c>
      <c r="N87" s="11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1">
        <f>MAX(0,E84-E87)</f>
        <v/>
      </c>
      <c r="F88" s="11">
        <f>MAX(0,F84-F87)</f>
        <v/>
      </c>
      <c r="G88" s="11">
        <f>MAX(0,G84-G87)</f>
        <v/>
      </c>
      <c r="H88" s="11">
        <f>MAX(0,H84-H87)</f>
        <v/>
      </c>
      <c r="I88" s="11">
        <f>MAX(0,I84-I87)</f>
        <v/>
      </c>
      <c r="J88" s="11">
        <f>MAX(0,J84-J87)</f>
        <v/>
      </c>
      <c r="K88" s="11">
        <f>MAX(0,K84-K87)</f>
        <v/>
      </c>
      <c r="L88" s="11">
        <f>MAX(0,L84-L87)</f>
        <v/>
      </c>
      <c r="M88" s="11">
        <f>MAX(0,M84-M87)</f>
        <v/>
      </c>
      <c r="N88" s="11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1">
        <f>MIN(E88,E86)</f>
        <v/>
      </c>
      <c r="F89" s="11">
        <f>MIN(F88,F86)</f>
        <v/>
      </c>
      <c r="G89" s="11">
        <f>MIN(G88,G86)</f>
        <v/>
      </c>
      <c r="H89" s="11">
        <f>MIN(H88,H86)</f>
        <v/>
      </c>
      <c r="I89" s="11">
        <f>MIN(I88,I86)</f>
        <v/>
      </c>
      <c r="J89" s="11">
        <f>MIN(J88,J86)</f>
        <v/>
      </c>
      <c r="K89" s="11">
        <f>MIN(K88,K86)</f>
        <v/>
      </c>
      <c r="L89" s="11">
        <f>MIN(L88,L86)</f>
        <v/>
      </c>
      <c r="M89" s="11">
        <f>MIN(M88,M86)</f>
        <v/>
      </c>
      <c r="N89" s="11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1">
        <f>MAX(0,E86-E89)</f>
        <v/>
      </c>
      <c r="F90" s="11">
        <f>MAX(0,F86-F89)</f>
        <v/>
      </c>
      <c r="G90" s="11">
        <f>MAX(0,G86-G89)</f>
        <v/>
      </c>
      <c r="H90" s="11">
        <f>MAX(0,H86-H89)</f>
        <v/>
      </c>
      <c r="I90" s="11">
        <f>MAX(0,I86-I89)</f>
        <v/>
      </c>
      <c r="J90" s="11">
        <f>MAX(0,J86-J89)</f>
        <v/>
      </c>
      <c r="K90" s="11">
        <f>MAX(0,K86-K89)</f>
        <v/>
      </c>
      <c r="L90" s="11">
        <f>MAX(0,L86-L89)</f>
        <v/>
      </c>
      <c r="M90" s="11">
        <f>MAX(0,M86-M89)</f>
        <v/>
      </c>
      <c r="N90" s="11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1">
        <f>E87+E89</f>
        <v/>
      </c>
      <c r="F92" s="11">
        <f>F87+F89</f>
        <v/>
      </c>
      <c r="G92" s="11">
        <f>G87+G89</f>
        <v/>
      </c>
      <c r="H92" s="11">
        <f>H87+H89</f>
        <v/>
      </c>
      <c r="I92" s="11">
        <f>I87+I89</f>
        <v/>
      </c>
      <c r="J92" s="11">
        <f>J87+J89</f>
        <v/>
      </c>
      <c r="K92" s="11">
        <f>K87+K89</f>
        <v/>
      </c>
      <c r="L92" s="11">
        <f>L87+L89</f>
        <v/>
      </c>
      <c r="M92" s="11">
        <f>M87+M89</f>
        <v/>
      </c>
      <c r="N92" s="11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1">
        <f>F92*$D$61/12</f>
        <v/>
      </c>
      <c r="F97" s="11">
        <f>G92*$D$61/12</f>
        <v/>
      </c>
      <c r="G97" s="11">
        <f>H92*$D$61/12</f>
        <v/>
      </c>
      <c r="H97" s="11">
        <f>I92*$D$61/12</f>
        <v/>
      </c>
      <c r="I97" s="11">
        <f>J92*$D$61/12</f>
        <v/>
      </c>
      <c r="J97" s="11">
        <f>K92*$D$61/12</f>
        <v/>
      </c>
      <c r="K97" s="11">
        <f>L92*$D$61/12</f>
        <v/>
      </c>
      <c r="L97" s="11">
        <f>M92*$D$61/12</f>
        <v/>
      </c>
      <c r="M97" s="11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1">
        <f>E100</f>
        <v/>
      </c>
      <c r="G98" s="11">
        <f>F100</f>
        <v/>
      </c>
      <c r="H98" s="11">
        <f>G100</f>
        <v/>
      </c>
      <c r="I98" s="11">
        <f>H100</f>
        <v/>
      </c>
      <c r="J98" s="11">
        <f>I100</f>
        <v/>
      </c>
      <c r="K98" s="11">
        <f>J100</f>
        <v/>
      </c>
      <c r="L98" s="11">
        <f>K100</f>
        <v/>
      </c>
      <c r="M98" s="11">
        <f>L100</f>
        <v/>
      </c>
      <c r="N98" s="11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1">
        <f>E97-E98</f>
        <v/>
      </c>
      <c r="F99" s="11">
        <f>F97-F98</f>
        <v/>
      </c>
      <c r="G99" s="11">
        <f>G97-G98</f>
        <v/>
      </c>
      <c r="H99" s="11">
        <f>H97-H98</f>
        <v/>
      </c>
      <c r="I99" s="11">
        <f>I97-I98</f>
        <v/>
      </c>
      <c r="J99" s="11">
        <f>J97-J98</f>
        <v/>
      </c>
      <c r="K99" s="11">
        <f>K97-K98</f>
        <v/>
      </c>
      <c r="L99" s="11">
        <f>L97-L98</f>
        <v/>
      </c>
      <c r="M99" s="11">
        <f>M97-M98</f>
        <v/>
      </c>
      <c r="N99" s="11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1">
        <f>E98+E99</f>
        <v/>
      </c>
      <c r="F100" s="11">
        <f>F98+F99</f>
        <v/>
      </c>
      <c r="G100" s="11">
        <f>G98+G99</f>
        <v/>
      </c>
      <c r="H100" s="11">
        <f>H98+H99</f>
        <v/>
      </c>
      <c r="I100" s="11">
        <f>I98+I99</f>
        <v/>
      </c>
      <c r="J100" s="11">
        <f>J98+J99</f>
        <v/>
      </c>
      <c r="K100" s="11">
        <f>K98+K99</f>
        <v/>
      </c>
      <c r="L100" s="11">
        <f>L98+L99</f>
        <v/>
      </c>
      <c r="M100" s="11">
        <f>M98+M99</f>
        <v/>
      </c>
      <c r="N100" s="11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1">
        <f>E81-E92-E99</f>
        <v/>
      </c>
      <c r="F103" s="11">
        <f>F81-F92-F99</f>
        <v/>
      </c>
      <c r="G103" s="11">
        <f>G81-G92-G99</f>
        <v/>
      </c>
      <c r="H103" s="11">
        <f>H81-H92-H99</f>
        <v/>
      </c>
      <c r="I103" s="11">
        <f>I81-I92-I99</f>
        <v/>
      </c>
      <c r="J103" s="11">
        <f>J81-J92-J99</f>
        <v/>
      </c>
      <c r="K103" s="11">
        <f>K81-K92-K99</f>
        <v/>
      </c>
      <c r="L103" s="11">
        <f>L81-L92-L99</f>
        <v/>
      </c>
      <c r="M103" s="11">
        <f>M81-M92-M99</f>
        <v/>
      </c>
      <c r="N103" s="11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0">
        <f>MAX(0,E103)</f>
        <v/>
      </c>
      <c r="F104" s="10">
        <f>MAX(0,F103)</f>
        <v/>
      </c>
      <c r="G104" s="10">
        <f>MAX(0,G103)</f>
        <v/>
      </c>
      <c r="H104" s="10">
        <f>MAX(0,H103)</f>
        <v/>
      </c>
      <c r="I104" s="10">
        <f>MAX(0,I103)</f>
        <v/>
      </c>
      <c r="J104" s="10">
        <f>MAX(0,J103)</f>
        <v/>
      </c>
      <c r="K104" s="10">
        <f>MAX(0,K103)</f>
        <v/>
      </c>
      <c r="L104" s="10">
        <f>MAX(0,L103)</f>
        <v/>
      </c>
      <c r="M104" s="10">
        <f>MAX(0,M103)</f>
        <v/>
      </c>
      <c r="N104" s="10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1">
        <f>OFFSET(E71,0,$D$23-1)</f>
        <v/>
      </c>
    </row>
    <row r="121">
      <c r="A121" t="inlineStr">
        <is>
          <t>Exit EV</t>
        </is>
      </c>
      <c r="D121" s="10">
        <f>D120*$D$34</f>
        <v/>
      </c>
    </row>
    <row r="122">
      <c r="A122" t="inlineStr">
        <is>
          <t>Exit Debt Payoff</t>
        </is>
      </c>
      <c r="D122" s="11">
        <f>OFFSET(E90,0,$D$23-1)</f>
        <v/>
      </c>
    </row>
    <row r="123">
      <c r="A123" t="inlineStr">
        <is>
          <t>DSRA Release</t>
        </is>
      </c>
      <c r="D123" s="11">
        <f>OFFSET(E100,0,$D$23-1)</f>
        <v/>
      </c>
    </row>
    <row r="124">
      <c r="A124" s="5" t="inlineStr">
        <is>
          <t>Exit Equity Proceeds</t>
        </is>
      </c>
      <c r="D124" s="10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1">
        <f>E104+IF(1=$D$23,D124,0)</f>
        <v/>
      </c>
      <c r="F126" s="11">
        <f>F104+IF(2=$D$23,D124,0)</f>
        <v/>
      </c>
      <c r="G126" s="11">
        <f>G104+IF(3=$D$23,D124,0)</f>
        <v/>
      </c>
      <c r="H126" s="11">
        <f>H104+IF(4=$D$23,D124,0)</f>
        <v/>
      </c>
      <c r="I126" s="11">
        <f>I104+IF(5=$D$23,D124,0)</f>
        <v/>
      </c>
      <c r="J126" s="11">
        <f>J104+IF(6=$D$23,D124,0)</f>
        <v/>
      </c>
      <c r="K126" s="11">
        <f>K104+IF(7=$D$23,D124,0)</f>
        <v/>
      </c>
      <c r="L126" s="11">
        <f>L104+IF(8=$D$23,D124,0)</f>
        <v/>
      </c>
      <c r="M126" s="11">
        <f>M104+IF(9=$D$23,D124,0)</f>
        <v/>
      </c>
      <c r="N126" s="11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8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2026-01-20T22:45:47Z</dcterms:modified>
</cp:coreProperties>
</file>