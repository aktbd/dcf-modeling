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 Prompt" sheetId="2" state="visible" r:id="rId2"/>
    <sheet xmlns:r="http://schemas.openxmlformats.org/officeDocument/2006/relationships" name="IC Memo" sheetId="3" state="visible" r:id="rId3"/>
    <sheet xmlns:r="http://schemas.openxmlformats.org/officeDocument/2006/relationships" name="Model_Quick" sheetId="4" state="visible" r:id="rId4"/>
    <sheet xmlns:r="http://schemas.openxmlformats.org/officeDocument/2006/relationships" name="Model_Standard" sheetId="5" state="visible" r:id="rId5"/>
    <sheet xmlns:r="http://schemas.openxmlformats.org/officeDocument/2006/relationships" name="Model_Fu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_);(#,##0.0)"/>
    <numFmt numFmtId="165" formatCode="0.00&quot;x&quot;"/>
    <numFmt numFmtId="166" formatCode="0.0%"/>
    <numFmt numFmtId="167" formatCode="#,##0.0"/>
  </numFmts>
  <fonts count="22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  <color rgb="00FFFFFF"/>
    </font>
    <font>
      <color rgb="00000000"/>
    </font>
    <font>
      <i val="1"/>
      <color rgb="00666666"/>
    </font>
    <font>
      <b val="1"/>
      <color rgb="000000FF"/>
    </font>
    <font>
      <name val="Calibri"/>
      <sz val="11"/>
    </font>
    <font>
      <name val="Calibri"/>
      <b val="1"/>
      <color rgb="001F4E79"/>
      <sz val="14"/>
    </font>
    <font>
      <name val="Calibri"/>
      <b val="1"/>
      <sz val="12"/>
    </font>
    <font>
      <name val="Consolas"/>
      <sz val="10"/>
    </font>
    <font>
      <b val="1"/>
    </font>
    <font>
      <i val="1"/>
      <color rgb="000066CC"/>
    </font>
    <font>
      <b val="1"/>
      <sz val="12"/>
    </font>
    <font>
      <b val="1"/>
      <sz val="11"/>
    </font>
    <font>
      <b val="1"/>
      <color rgb="001F4E79"/>
      <sz val="14"/>
    </font>
    <font>
      <sz val="10"/>
    </font>
    <font>
      <b val="1"/>
      <color rgb="001F4E79"/>
      <sz val="12"/>
    </font>
    <font/>
    <font>
      <b val="1"/>
      <i val="1"/>
      <color rgb="00666666"/>
    </font>
    <font>
      <b val="1"/>
      <sz val="9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7"/>
        <bgColor rgb="00FFFFC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2" fillId="4" borderId="1" pivotButton="0" quotePrefix="0" xfId="0"/>
    <xf numFmtId="165" fontId="2" fillId="4" borderId="1" pivotButton="0" quotePrefix="0" xfId="0"/>
    <xf numFmtId="166" fontId="2" fillId="4" borderId="1" pivotButton="0" quotePrefix="0" xfId="0"/>
    <xf numFmtId="0" fontId="2" fillId="4" borderId="1" pivotButton="0" quotePrefix="0" xfId="0"/>
    <xf numFmtId="164" fontId="6" fillId="3" borderId="1" pivotButton="0" quotePrefix="0" xfId="0"/>
    <xf numFmtId="166" fontId="6" fillId="3" borderId="1" pivotButton="0" quotePrefix="0" xfId="0"/>
    <xf numFmtId="165" fontId="6" fillId="3" borderId="1" pivotButton="0" quotePrefix="0" xfId="0"/>
    <xf numFmtId="3" fontId="6" fillId="3" borderId="1" pivotButton="0" quotePrefix="0" xfId="0"/>
    <xf numFmtId="4" fontId="6" fillId="3" borderId="1" pivotButton="0" quotePrefix="0" xfId="0"/>
    <xf numFmtId="167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164" fontId="2" fillId="0" borderId="1" pivotButton="0" quotePrefix="0" xfId="0"/>
    <xf numFmtId="164" fontId="4" fillId="5" borderId="1" pivotButton="0" quotePrefix="0" xfId="0"/>
    <xf numFmtId="0" fontId="4" fillId="0" borderId="1" pivotButton="0" quotePrefix="0" xfId="0"/>
    <xf numFmtId="0" fontId="2" fillId="0" borderId="0" pivotButton="0" quotePrefix="0" xfId="0"/>
    <xf numFmtId="165" fontId="2" fillId="4" borderId="1" pivotButton="0" quotePrefix="0" xfId="0"/>
    <xf numFmtId="166" fontId="2" fillId="4" borderId="1" pivotButton="0" quotePrefix="0" xfId="0"/>
    <xf numFmtId="166" fontId="6" fillId="3" borderId="1" pivotButton="0" quotePrefix="0" xfId="0"/>
    <xf numFmtId="165" fontId="6" fillId="3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4" borderId="0" pivotButton="0" quotePrefix="0" xfId="0"/>
    <xf numFmtId="0" fontId="6" fillId="3" borderId="0" pivotButton="0" quotePrefix="0" xfId="0"/>
    <xf numFmtId="166" fontId="0" fillId="4" borderId="0" pivotButton="0" quotePrefix="0" xfId="0"/>
    <xf numFmtId="165" fontId="0" fillId="4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164" fontId="18" fillId="0" borderId="1" pivotButton="0" quotePrefix="0" xfId="0"/>
    <xf numFmtId="165" fontId="18" fillId="0" borderId="1" pivotButton="0" quotePrefix="0" xfId="0"/>
    <xf numFmtId="166" fontId="18" fillId="0" borderId="1" pivotButton="0" quotePrefix="0" xfId="0"/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  <xf numFmtId="4" fontId="0" fillId="4" borderId="0" pivotButton="0" quotePrefix="0" xfId="0"/>
    <xf numFmtId="0" fontId="20" fillId="0" borderId="0" pivotButton="0" quotePrefix="0" xfId="0"/>
    <xf numFmtId="0" fontId="21" fillId="0" borderId="0" pivotButton="0" quotePrefix="0" xfId="0"/>
    <xf numFmtId="165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Lotus Infrastructure</author>
    <author>Claude</author>
  </authors>
  <commentList>
    <comment ref="C3" authorId="0" shapeId="0">
      <text>
        <t>Enterprise Value = Equity + Debt. Represents total asset value regardless of financing structure.</t>
      </text>
    </comment>
    <comment ref="C4" authorId="0" shapeId="0">
      <text>
        <t>Cash earnings before financing. What is available to service debt and pay equity.</t>
      </text>
    </comment>
    <comment ref="C15" authorId="0" shapeId="0">
      <text>
        <t>Cash Flow Available for Debt Service. What remains after taxes to pay interest and principal.</t>
      </text>
    </comment>
    <comment ref="C16" authorId="0" shapeId="0">
      <text>
        <t>Debt Service Coverage Ratio. Key lender metric. Target: 1.25-1.40x.</t>
      </text>
    </comment>
    <comment ref="C17" authorId="0" shapeId="0">
      <text>
        <t>Return to equity after debt service. Should exceed cost of equity (12-15% for infra).</t>
      </text>
    </comment>
    <comment ref="C18" authorId="0" shapeId="0">
      <text>
        <t>Multiple on Invested Capital. Cash-on-cash return. 2.0x = doubled money.</t>
      </text>
    </comment>
    <comment ref="C19" authorId="0" shapeId="0">
      <text>
        <t>Return to equity after debt service. Should exceed cost of equity (12-15% for infra).</t>
      </text>
    </comment>
    <comment ref="C24" authorId="0" shapeId="0">
      <text>
        <t>Debt Service Coverage Ratio. Key lender metric. Target: 1.25-1.40x.</t>
      </text>
    </comment>
    <comment ref="C28" authorId="0" shapeId="0">
      <text>
        <t>Enterprise Value = Equity + Debt. Represents total asset value regardless of financing structure.</t>
      </text>
    </comment>
    <comment ref="C54" authorId="0" shapeId="0">
      <text>
        <t>Mandatory prepayment from excess cash. Lenders require this for merchant assets.</t>
      </text>
    </comment>
    <comment ref="C55" authorId="0" shapeId="0">
      <text>
        <t>Debt Service Coverage Ratio. Key lender metric. Target: 1.25-1.40x.</t>
      </text>
    </comment>
    <comment ref="C80" authorId="0" shapeId="0">
      <text>
        <t>Largest variable cost for thermal plants. Divide by 1E9 to convert to $mm.</t>
      </text>
    </comment>
    <comment ref="A81" authorId="1" shapeId="0">
      <text>
        <t xml:space="preserve">SPARK SPREAD
Profit per MWh after fuel cost.
= Power Price - (HR × Gas / 1000)
Traders call this "heat rate spread":
If Market HR &gt; Plant HR → Profitable
Think: "Call option on scarcity"
</t>
      </text>
    </comment>
    <comment ref="C86" authorId="0" shapeId="0">
      <text>
        <t>Cash earnings before financing. What is available to service debt and pay equity.</t>
      </text>
    </comment>
    <comment ref="C92" authorId="0" shapeId="0">
      <text>
        <t>Cash Flow Available for Debt Service. What remains after taxes to pay interest and principal.</t>
      </text>
    </comment>
    <comment ref="C95" authorId="0" shapeId="0">
      <text>
        <t>Mandatory prepayment from excess cash. Lenders require this for merchant assets.</t>
      </text>
    </comment>
    <comment ref="C101" authorId="0" shapeId="0">
      <text>
        <t>Mandatory prepayment from excess cash. Lenders require this for merchant assets.</t>
      </text>
    </comment>
    <comment ref="C104" authorId="0" shapeId="0">
      <text>
        <t>Debt Service Coverage Ratio. Key lender metric. Target: 1.25-1.40x.</t>
      </text>
    </comment>
    <comment ref="C105" authorId="0" shapeId="0">
      <text>
        <t>Debt service using straight-line principal only. Used for DSRA to avoid circularity.</t>
      </text>
    </comment>
    <comment ref="C108" authorId="0" shapeId="0">
      <text>
        <t>Reserve sized to cover NEXT years debt service. Uses SCHEDULED DS to avoid circular reference.</t>
      </text>
    </comment>
    <comment ref="C142" authorId="0" shapeId="0">
      <text>
        <t>Return to equity after debt service. Should exceed cost of equity (12-15% for infra).</t>
      </text>
    </comment>
    <comment ref="C143" authorId="0" shapeId="0">
      <text>
        <t>Multiple on Invested Capital. Cash-on-cash return. 2.0x = doubled money.</t>
      </text>
    </comment>
    <comment ref="C147" authorId="0" shapeId="0">
      <text>
        <t>Return to equity after debt service. Should exceed cost of equity (12-15% for infra).</t>
      </text>
    </comment>
  </commentList>
</comments>
</file>

<file path=xl/comments/comment2.xml><?xml version="1.0" encoding="utf-8"?>
<comments xmlns="http://schemas.openxmlformats.org/spreadsheetml/2006/main">
  <authors>
    <author>Lotus Infrastructure</author>
    <author>Claude</author>
  </authors>
  <commentList>
    <comment ref="C3" authorId="0" shapeId="0">
      <text>
        <t>Enterprise Value = Equity + Debt. Represents total asset value regardless of financing structure.</t>
      </text>
    </comment>
    <comment ref="C4" authorId="0" shapeId="0">
      <text>
        <t>Cash earnings before financing. What is available to service debt and pay equity.</t>
      </text>
    </comment>
    <comment ref="C15" authorId="0" shapeId="0">
      <text>
        <t>Cash Flow Available for Debt Service. What remains after taxes to pay interest and principal.</t>
      </text>
    </comment>
    <comment ref="C16" authorId="0" shapeId="0">
      <text>
        <t>Debt Service Coverage Ratio. Key lender metric. Target: 1.25-1.40x.</t>
      </text>
    </comment>
    <comment ref="C17" authorId="0" shapeId="0">
      <text>
        <t>Return to equity after debt service. Should exceed cost of equity (12-15% for infra).</t>
      </text>
    </comment>
    <comment ref="C18" authorId="0" shapeId="0">
      <text>
        <t>Multiple on Invested Capital. Cash-on-cash return. 2.0x = doubled money.</t>
      </text>
    </comment>
    <comment ref="C19" authorId="0" shapeId="0">
      <text>
        <t>Return to equity after debt service. Should exceed cost of equity (12-15% for infra).</t>
      </text>
    </comment>
    <comment ref="C24" authorId="0" shapeId="0">
      <text>
        <t>Debt Service Coverage Ratio. Key lender metric. Target: 1.25-1.40x.</t>
      </text>
    </comment>
    <comment ref="C28" authorId="0" shapeId="0">
      <text>
        <t>Enterprise Value = Equity + Debt. Represents total asset value regardless of financing structure.</t>
      </text>
    </comment>
    <comment ref="C54" authorId="0" shapeId="0">
      <text>
        <t>Mandatory prepayment from excess cash. Lenders require this for merchant assets.</t>
      </text>
    </comment>
    <comment ref="C55" authorId="0" shapeId="0">
      <text>
        <t>Debt Service Coverage Ratio. Key lender metric. Target: 1.25-1.40x.</t>
      </text>
    </comment>
    <comment ref="C80" authorId="0" shapeId="0">
      <text>
        <t>Largest variable cost for thermal plants. Divide by 1E9 to convert to $mm.</t>
      </text>
    </comment>
    <comment ref="A81" authorId="1" shapeId="0">
      <text>
        <t xml:space="preserve">SPARK SPREAD
Profit per MWh after fuel cost.
= Power Price - (HR × Gas / 1000)
Traders call this "heat rate spread":
If Market HR &gt; Plant HR → Profitable
Think: "Call option on scarcity"
</t>
      </text>
    </comment>
    <comment ref="C86" authorId="0" shapeId="0">
      <text>
        <t>Cash earnings before financing. What is available to service debt and pay equity.</t>
      </text>
    </comment>
    <comment ref="C92" authorId="0" shapeId="0">
      <text>
        <t>Cash Flow Available for Debt Service. What remains after taxes to pay interest and principal.</t>
      </text>
    </comment>
    <comment ref="C95" authorId="0" shapeId="0">
      <text>
        <t>Mandatory prepayment from excess cash. Lenders require this for merchant assets.</t>
      </text>
    </comment>
    <comment ref="C101" authorId="0" shapeId="0">
      <text>
        <t>Mandatory prepayment from excess cash. Lenders require this for merchant assets.</t>
      </text>
    </comment>
    <comment ref="C104" authorId="0" shapeId="0">
      <text>
        <t>Debt Service Coverage Ratio. Key lender metric. Target: 1.25-1.40x.</t>
      </text>
    </comment>
    <comment ref="C105" authorId="0" shapeId="0">
      <text>
        <t>Debt service using straight-line principal only. Used for DSRA to avoid circularity.</t>
      </text>
    </comment>
    <comment ref="C108" authorId="0" shapeId="0">
      <text>
        <t>Reserve sized to cover NEXT years debt service. Uses SCHEDULED DS to avoid circular reference.</t>
      </text>
    </comment>
    <comment ref="C142" authorId="0" shapeId="0">
      <text>
        <t>Return to equity after debt service. Should exceed cost of equity (12-15% for infra).</t>
      </text>
    </comment>
    <comment ref="C143" authorId="0" shapeId="0">
      <text>
        <t>Multiple on Invested Capital. Cash-on-cash return. 2.0x = doubled money.</t>
      </text>
    </comment>
    <comment ref="C147" authorId="0" shapeId="0">
      <text>
        <t>Return to equity after debt service. Should exceed cost of equity (12-15% for infra).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>
        <f>==========================================================================</f>
        <v/>
      </c>
    </row>
    <row r="2">
      <c r="A2" s="1" t="inlineStr">
        <is>
          <t>LOTUS INFRASTRUCTURE PARTNERS</t>
        </is>
      </c>
    </row>
    <row r="3">
      <c r="A3" s="1" t="inlineStr">
        <is>
          <t>CASE STUDY: COMBINED CYCLE GAS TURBINE ACQUISITION</t>
        </is>
      </c>
    </row>
    <row r="4">
      <c r="A4">
        <f>==========================================================================</f>
        <v/>
      </c>
    </row>
    <row r="6">
      <c r="A6" t="inlineStr">
        <is>
          <t>TIME: 4 Hours | DATE: January 2026 | DELIVERABLES: Model + IC Memo</t>
        </is>
      </c>
    </row>
    <row r="8">
      <c r="A8" s="32" t="inlineStr">
        <is>
          <t>--- MODEL TIMELINE ---</t>
        </is>
      </c>
    </row>
    <row r="9">
      <c r="A9" t="inlineStr">
        <is>
          <t>Year 0 (2025): Transaction close Q4; debt funding at close</t>
        </is>
      </c>
    </row>
    <row r="10">
      <c r="A10" t="inlineStr">
        <is>
          <t>Year 1 (2026): First full operating year under Lotus ownership</t>
        </is>
      </c>
    </row>
    <row r="11">
      <c r="A11" t="inlineStr">
        <is>
          <t>Year 7 (2032): Target exit / debt maturity (75% cash sweep structure)</t>
        </is>
      </c>
    </row>
    <row r="12">
      <c r="A12" t="inlineStr">
        <is>
          <t>Year 10 (2035): Model horizon end</t>
        </is>
      </c>
    </row>
    <row r="14">
      <c r="A14" s="32" t="inlineStr">
        <is>
          <t>--- SITUATION ---</t>
        </is>
      </c>
    </row>
    <row r="15">
      <c r="A15" s="34" t="inlineStr">
        <is>
          <t>Lotus Infrastructure Partners has been approached by GenCo Partners regarding
the potential acquisition of a 365 MW combined-cycle gas turbine power plant
located in PJM West (AEP zone). The facility achieved commercial operation in
2015 and has approximately 15 years of remaining useful life.</t>
        </is>
      </c>
    </row>
    <row r="17">
      <c r="A17" s="34" t="inlineStr">
        <is>
          <t>The plant operates as a fully merchant facility, selling energy into PJM's
day-ahead and real-time markets and clearing in the RPM capacity auction.
Historical capacity factors have averaged 50-60%. The 7,000 Btu/kWh heat rate
makes it competitive against older thermal generation.</t>
        </is>
      </c>
    </row>
    <row r="19">
      <c r="A19" s="34" t="inlineStr">
        <is>
          <t>GenCo is divesting non-core assets to fund renewable development. They are
seeking $520mm with final bids expected by February 15, 2026.</t>
        </is>
      </c>
    </row>
    <row r="21">
      <c r="A21" s="32" t="inlineStr">
        <is>
          <t>--- KEY VALUE DRIVERS ---</t>
        </is>
      </c>
    </row>
    <row r="22">
      <c r="A22" t="inlineStr">
        <is>
          <t>* Spark Spread: Power price minus (Heat Rate x Gas Price) - core margin driver</t>
        </is>
      </c>
    </row>
    <row r="23">
      <c r="A23" t="inlineStr">
        <is>
          <t>* Capacity Factor: Drives MWh generation; modeled NET of outages</t>
        </is>
      </c>
    </row>
    <row r="24">
      <c r="A24" t="inlineStr">
        <is>
          <t>* Capacity Accreditation: UCAP rating determines capacity revenue</t>
        </is>
      </c>
    </row>
    <row r="25">
      <c r="A25" t="inlineStr">
        <is>
          <t>* Gas Basis: Spread between Henry Hub and local delivery point</t>
        </is>
      </c>
    </row>
    <row r="27">
      <c r="A27" s="32" t="inlineStr">
        <is>
          <t>--- STEP-BY-STEP MODEL BUILDING GUIDE ---</t>
        </is>
      </c>
    </row>
    <row r="28">
      <c r="A28" s="34" t="inlineStr">
        <is>
          <t>STEP-BY-STEP MODEL BUILDING GUIDE</t>
        </is>
      </c>
    </row>
    <row r="29">
      <c r="A29" s="34" t="inlineStr"/>
    </row>
    <row r="30">
      <c r="A30" s="34" t="inlineStr">
        <is>
          <t>1. SET UP INPUTS (Column D)</t>
        </is>
      </c>
    </row>
    <row r="31">
      <c r="A31" s="34" t="inlineStr">
        <is>
          <t xml:space="preserve">   - Transaction: Entry EV ($520mm), fees (1.5%), exit multiple (7x), exit year (7)</t>
        </is>
      </c>
    </row>
    <row r="32">
      <c r="A32" s="34" t="inlineStr">
        <is>
          <t xml:space="preserve">   - Asset: Capacity (365 MW), heat rate (7,000), CF (55%), FOR (5%)</t>
        </is>
      </c>
    </row>
    <row r="33">
      <c r="A33" s="34" t="inlineStr">
        <is>
          <t xml:space="preserve">   - Pricing: Power ($48/MWh), capacity ($110/kW-yr), gas ($3/MMBtu), esc (2.5%)</t>
        </is>
      </c>
    </row>
    <row r="34">
      <c r="A34" s="34" t="inlineStr">
        <is>
          <t xml:space="preserve">   - Financing: Leverage (45%), rate (6.5%), tenor (7 yrs), DSRA (6 mo), sweep (75%)</t>
        </is>
      </c>
    </row>
    <row r="35">
      <c r="A35" s="34" t="inlineStr"/>
    </row>
    <row r="36">
      <c r="A36" s="34" t="inlineStr">
        <is>
          <t>2. BUILD CALCULATED ITEMS</t>
        </is>
      </c>
    </row>
    <row r="37">
      <c r="A37" s="34" t="inlineStr">
        <is>
          <t xml:space="preserve">   - UCAP = Capacity x (1 - FOR) = 365 x 0.95 = 346.75 MW</t>
        </is>
      </c>
    </row>
    <row r="38">
      <c r="A38" s="34" t="inlineStr">
        <is>
          <t xml:space="preserve">   - Generation = Capacity x CF x 8,760 = 1,758,900 MWh</t>
        </is>
      </c>
    </row>
    <row r="39">
      <c r="A39" s="34" t="inlineStr">
        <is>
          <t xml:space="preserve">   - Debt Amount = Entry EV x Leverage = $234mm</t>
        </is>
      </c>
    </row>
    <row r="40">
      <c r="A40" s="34" t="inlineStr"/>
    </row>
    <row r="41">
      <c r="A41" s="34" t="inlineStr">
        <is>
          <t>3. BUILD OPERATING MODEL (Columns E-N)</t>
        </is>
      </c>
    </row>
    <row r="42">
      <c r="A42" s="34" t="inlineStr">
        <is>
          <t xml:space="preserve">   - Escalate prices: Yn = Y1 x (1 + esc)^(n-1)</t>
        </is>
      </c>
    </row>
    <row r="43">
      <c r="A43" s="34" t="inlineStr">
        <is>
          <t xml:space="preserve">   - Energy Revenue = Generation x Power Price / 1,000,000</t>
        </is>
      </c>
    </row>
    <row r="44">
      <c r="A44" s="34" t="inlineStr">
        <is>
          <t xml:space="preserve">   - Capacity Revenue = UCAP x Cap Price x 1,000 / 1,000,000</t>
        </is>
      </c>
    </row>
    <row r="45">
      <c r="A45" s="34" t="inlineStr">
        <is>
          <t xml:space="preserve">   - Fuel Cost = Generation x Heat Rate x Gas / 1,000,000,000</t>
        </is>
      </c>
    </row>
    <row r="46">
      <c r="A46" s="34" t="inlineStr">
        <is>
          <t xml:space="preserve">   - EBITDA = Revenue - OpEx</t>
        </is>
      </c>
    </row>
    <row r="47">
      <c r="A47" s="34" t="inlineStr"/>
    </row>
    <row r="48">
      <c r="A48" s="34" t="inlineStr">
        <is>
          <t>4. BUILD CASH FLOW</t>
        </is>
      </c>
    </row>
    <row r="49">
      <c r="A49" s="34" t="inlineStr">
        <is>
          <t xml:space="preserve">   - EBIT = EBITDA - Depreciation</t>
        </is>
      </c>
    </row>
    <row r="50">
      <c r="A50" s="34" t="inlineStr">
        <is>
          <t xml:space="preserve">   - Taxes = MAX(0, EBIT) x Tax Rate</t>
        </is>
      </c>
    </row>
    <row r="51">
      <c r="A51" s="34" t="inlineStr">
        <is>
          <t xml:space="preserve">   - CFADS = EBITDA - Taxes</t>
        </is>
      </c>
    </row>
    <row r="52">
      <c r="A52" s="34" t="inlineStr"/>
    </row>
    <row r="53">
      <c r="A53" s="34" t="inlineStr">
        <is>
          <t>5. BUILD DEBT SCHEDULE (CASH SWEEP)</t>
        </is>
      </c>
    </row>
    <row r="54">
      <c r="A54" s="34" t="inlineStr">
        <is>
          <t xml:space="preserve">   a) Beginning Balance: Y1 = Debt; Yn = Prior End Bal</t>
        </is>
      </c>
    </row>
    <row r="55">
      <c r="A55" s="34" t="inlineStr">
        <is>
          <t xml:space="preserve">   b) Interest = Beg Bal x Rate</t>
        </is>
      </c>
    </row>
    <row r="56">
      <c r="A56" s="34" t="inlineStr">
        <is>
          <t xml:space="preserve">   c) Scheduled Principal = MIN(Debt/Tenor, Beg Bal)</t>
        </is>
      </c>
    </row>
    <row r="57">
      <c r="A57" s="34" t="inlineStr">
        <is>
          <t xml:space="preserve">   d) Debt Service (Pre-Sweep) = Interest + Sched Prin</t>
        </is>
      </c>
    </row>
    <row r="58">
      <c r="A58" s="34" t="inlineStr">
        <is>
          <t xml:space="preserve">   e) Scheduled DS (for DSRA) = Independent calc using straight-line</t>
        </is>
      </c>
    </row>
    <row r="59">
      <c r="A59" s="34" t="inlineStr">
        <is>
          <t xml:space="preserve">   f) DSRA Target = NEXT Year's Sched DS x (DSRA Mo / 12)</t>
        </is>
      </c>
    </row>
    <row r="60">
      <c r="A60" s="34" t="inlineStr">
        <is>
          <t xml:space="preserve">   g) Excess Cash = CFADS - DS - DSRA Funding</t>
        </is>
      </c>
    </row>
    <row r="61">
      <c r="A61" s="34" t="inlineStr">
        <is>
          <t xml:space="preserve">   h) Cash Sweep = MIN(Excess x 75%, Beg Bal - Sched Prin)</t>
        </is>
      </c>
    </row>
    <row r="62">
      <c r="A62" s="34" t="inlineStr">
        <is>
          <t xml:space="preserve">   i) Ending Balance = MAX(0, Beg - Total Principal)</t>
        </is>
      </c>
    </row>
    <row r="63">
      <c r="A63" s="34" t="inlineStr">
        <is>
          <t xml:space="preserve">   j) DSCR = CFADS / DS (Pre-Sweep)</t>
        </is>
      </c>
    </row>
    <row r="64">
      <c r="A64" s="34" t="inlineStr"/>
    </row>
    <row r="65">
      <c r="A65" s="34" t="inlineStr">
        <is>
          <t>6. BUILD S&amp;U, EXIT, RETURNS</t>
        </is>
      </c>
    </row>
    <row r="66">
      <c r="A66" s="34" t="inlineStr">
        <is>
          <t xml:space="preserve">   - S&amp;U must balance (Uses = Sources)</t>
        </is>
      </c>
    </row>
    <row r="67">
      <c r="A67" s="34" t="inlineStr">
        <is>
          <t xml:space="preserve">   - Exit EV = EBITDA x Multiple</t>
        </is>
      </c>
    </row>
    <row r="68">
      <c r="A68" s="34" t="inlineStr">
        <is>
          <t xml:space="preserve">   - Levered IRR = IRR of equity cash flows</t>
        </is>
      </c>
    </row>
    <row r="70">
      <c r="A70" s="32" t="inlineStr">
        <is>
          <t>--- HOW TO AVOID CIRCULARITY ---</t>
        </is>
      </c>
    </row>
    <row r="71">
      <c r="A71" t="inlineStr">
        <is>
          <t>HOW TO AVOID DSRA CIRCULARITY</t>
        </is>
      </c>
    </row>
    <row r="73">
      <c r="A73" t="inlineStr">
        <is>
          <t>The Problem:</t>
        </is>
      </c>
    </row>
    <row r="74">
      <c r="A74" t="inlineStr">
        <is>
          <t>DSRA Target -&gt; Debt Service -&gt; Sweep -&gt; Excess Cash -&gt; DSRA Funding -&gt; DSRA Target</t>
        </is>
      </c>
    </row>
    <row r="76">
      <c r="A76" t="inlineStr">
        <is>
          <t>The Solution:</t>
        </is>
      </c>
    </row>
    <row r="77">
      <c r="A77" t="inlineStr">
        <is>
          <t>Use "Scheduled DS" (straight-line, no sweep) for DSRA sizing:</t>
        </is>
      </c>
    </row>
    <row r="78">
      <c r="A78" t="inlineStr">
        <is>
          <t>- Scheduled DS assumes NO cash sweep, just scheduled payments</t>
        </is>
      </c>
    </row>
    <row r="79">
      <c r="A79" t="inlineStr">
        <is>
          <t>- It's calculated INDEPENDENTLY of actual debt paydown</t>
        </is>
      </c>
    </row>
    <row r="80">
      <c r="A80" t="inlineStr">
        <is>
          <t>- DSRA Target references this independent row</t>
        </is>
      </c>
    </row>
    <row r="82">
      <c r="A82" t="inlineStr">
        <is>
          <t>Formula: Scheduled DS = MAX(0, Debt - (Yr-1) x Sched Prin) x Rate + Sched Prin</t>
        </is>
      </c>
    </row>
    <row r="84">
      <c r="A84" s="32" t="inlineStr">
        <is>
          <t>--- ALTERNATIVE SCENARIOS ---</t>
        </is>
      </c>
    </row>
    <row r="85">
      <c r="A85" t="inlineStr">
        <is>
          <t>ALTERNATIVE SCENARIOS</t>
        </is>
      </c>
    </row>
    <row r="87">
      <c r="A87" t="inlineStr">
        <is>
          <t>A. Sculpted Debt (not sweep):</t>
        </is>
      </c>
    </row>
    <row r="88">
      <c r="A88" t="inlineStr">
        <is>
          <t xml:space="preserve">   - Principal = CFADS / Target DSCR - Interest</t>
        </is>
      </c>
    </row>
    <row r="89">
      <c r="A89" t="inlineStr">
        <is>
          <t xml:space="preserve">   - No sweep mechanics needed</t>
        </is>
      </c>
    </row>
    <row r="91">
      <c r="A91" t="inlineStr">
        <is>
          <t>B. Contracted Revenue (PPA/Hedge):</t>
        </is>
      </c>
    </row>
    <row r="92">
      <c r="A92" t="inlineStr">
        <is>
          <t xml:space="preserve">   - Use contract price, not merchant</t>
        </is>
      </c>
    </row>
    <row r="93">
      <c r="A93" t="inlineStr">
        <is>
          <t xml:space="preserve">   - More debt capacity</t>
        </is>
      </c>
    </row>
    <row r="95">
      <c r="A95" t="inlineStr">
        <is>
          <t>C. Major Maintenance Reserve:</t>
        </is>
      </c>
    </row>
    <row r="96">
      <c r="A96" t="inlineStr">
        <is>
          <t xml:space="preserve">   - Add MRA similar to DSRA</t>
        </is>
      </c>
    </row>
    <row r="97">
      <c r="A97" t="inlineStr">
        <is>
          <t xml:space="preserve">   - Funds hot gas path inspection</t>
        </is>
      </c>
    </row>
    <row r="99">
      <c r="A99" s="32" t="inlineStr">
        <is>
          <t>--- QA CHECKS ---</t>
        </is>
      </c>
    </row>
    <row r="100">
      <c r="A100" t="inlineStr">
        <is>
          <t>QA CHECKS TO VERIFY MODEL</t>
        </is>
      </c>
    </row>
    <row r="102">
      <c r="A102" t="inlineStr">
        <is>
          <t>1. S&amp;U Balance: =IF(ABS(Uses-Sources)&lt;0.01,"PASS","FAIL")</t>
        </is>
      </c>
    </row>
    <row r="103">
      <c r="A103" t="inlineStr">
        <is>
          <t>2. Debt Payoff: Ending Bal near $0 by tenor end</t>
        </is>
      </c>
    </row>
    <row r="104">
      <c r="A104" t="inlineStr">
        <is>
          <t>3. Min DSCR: Use MINIFS to exclude post-payoff zeros</t>
        </is>
      </c>
    </row>
    <row r="105">
      <c r="A105" t="inlineStr">
        <is>
          <t>4. DSRA: Never negative; releases at debt payoff</t>
        </is>
      </c>
    </row>
    <row r="106">
      <c r="A106" t="inlineStr">
        <is>
          <t>5. Sign Convention: Outflows negative, inflows positive</t>
        </is>
      </c>
    </row>
    <row r="107">
      <c r="A107" t="inlineStr">
        <is>
          <t>6. No Circular Refs: Excel shouldn't show warning</t>
        </is>
      </c>
    </row>
    <row r="109">
      <c r="A109" s="32" t="inlineStr">
        <is>
          <t>--- HINTS &amp; PITFALLS ---</t>
        </is>
      </c>
    </row>
    <row r="110">
      <c r="A110" s="35" t="inlineStr">
        <is>
          <t>* Spark spread: $1/MWh x 1.76M MWh = $1.76mm EBITDA impact</t>
        </is>
      </c>
    </row>
    <row r="111">
      <c r="A111" s="35" t="inlineStr">
        <is>
          <t>* CF is NET of outages - don't double-count FOR in generation</t>
        </is>
      </c>
    </row>
    <row r="112">
      <c r="A112" s="35" t="inlineStr">
        <is>
          <t>* FOR only derates UCAP for capacity revenue</t>
        </is>
      </c>
    </row>
    <row r="113">
      <c r="A113" s="35" t="inlineStr">
        <is>
          <t>* Fuel divisor is 1E9 (billion), not 1E6 (million)</t>
        </is>
      </c>
    </row>
    <row r="115">
      <c r="A115" s="32" t="inlineStr">
        <is>
          <t>--- INTERVIEW QUESTIONS ---</t>
        </is>
      </c>
    </row>
    <row r="116">
      <c r="A116" t="inlineStr">
        <is>
          <t>Q: Walk me through how $5/MWh power price change affects IRR.</t>
        </is>
      </c>
    </row>
    <row r="117">
      <c r="A117" t="inlineStr">
        <is>
          <t>Q: Why cash sweep instead of sculpted debt?</t>
        </is>
      </c>
    </row>
    <row r="118">
      <c r="A118" t="inlineStr">
        <is>
          <t>Q: What would make you walk away from this deal?</t>
        </is>
      </c>
    </row>
    <row r="119">
      <c r="A119" t="inlineStr">
        <is>
          <t>Q: How would you hedge the spark spread exposure?</t>
        </is>
      </c>
    </row>
    <row r="121">
      <c r="A121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122">
      <c r="A122" s="42" t="inlineStr">
        <is>
          <t>COLD START WORKFLOW (4-Hour Test)</t>
        </is>
      </c>
    </row>
    <row r="124">
      <c r="A124" s="37" t="inlineStr">
        <is>
          <t>Phase 1: Setup (15 min)</t>
        </is>
      </c>
    </row>
    <row r="125">
      <c r="A125" s="43" t="inlineStr">
        <is>
          <t>→ Create workbook, freeze panes at E2</t>
        </is>
      </c>
    </row>
    <row r="126">
      <c r="A126" s="43" t="inlineStr">
        <is>
          <t>→ Set column widths: A=32, B=12, C=38, D-N=14</t>
        </is>
      </c>
    </row>
    <row r="127">
      <c r="A127" s="43" t="inlineStr">
        <is>
          <t>→ Build year headers: Y0 (2025), Y1 (2026), ... Y10 (2035)</t>
        </is>
      </c>
    </row>
    <row r="129">
      <c r="A129" s="37" t="inlineStr">
        <is>
          <t>Phase 2: Inputs &amp; S&amp;U (30 min)</t>
        </is>
      </c>
    </row>
    <row r="130">
      <c r="A130" s="43" t="inlineStr">
        <is>
          <t>→ Transaction: Entry EV, Fees %, Exit Multiple, Exit Year</t>
        </is>
      </c>
    </row>
    <row r="131">
      <c r="A131" s="43" t="inlineStr">
        <is>
          <t>→ Asset: Capacity, CF/Dispatch, Prices, Escalation</t>
        </is>
      </c>
    </row>
    <row r="132">
      <c r="A132" s="43" t="inlineStr">
        <is>
          <t>→ Financing: Leverage, Rate, Tenor, DSRA months, Sweep %</t>
        </is>
      </c>
    </row>
    <row r="133">
      <c r="A133" s="43" t="inlineStr">
        <is>
          <t>→ Build Uses first, then Sources (equity = balancing item)</t>
        </is>
      </c>
    </row>
    <row r="135">
      <c r="A135" s="37" t="inlineStr">
        <is>
          <t>Phase 3: Operating Model (45 min)</t>
        </is>
      </c>
    </row>
    <row r="136">
      <c r="A136" s="43" t="inlineStr">
        <is>
          <t>→ Generation = Capacity × CF × 8760 (baseload) OR Capacity × Dispatch × Avail (peaker)</t>
        </is>
      </c>
    </row>
    <row r="137">
      <c r="A137" s="43" t="inlineStr">
        <is>
          <t>→ Revenue = Generation × Price / 1E6  (capacity $/kW needs ×1000)</t>
        </is>
      </c>
    </row>
    <row r="138">
      <c r="A138" s="43" t="inlineStr">
        <is>
          <t>→ Fuel = Gen × HR × Gas / 1E9  (CRITICAL: divide by BILLION)</t>
        </is>
      </c>
    </row>
    <row r="139">
      <c r="A139" s="43" t="inlineStr">
        <is>
          <t>→ EBITDA = Revenue - OpEx; Taxes = MAX(0, Taxable Income) × Rate</t>
        </is>
      </c>
    </row>
    <row r="141">
      <c r="A141" s="37" t="inlineStr">
        <is>
          <t>Phase 4: Debt Schedule (45 min)</t>
        </is>
      </c>
    </row>
    <row r="142">
      <c r="A142" s="43" t="inlineStr">
        <is>
          <t>→ Beginning Bal Y1 = Funded Debt; Yn = Prior Ending</t>
        </is>
      </c>
    </row>
    <row r="143">
      <c r="A143" s="43" t="inlineStr">
        <is>
          <t>→ Interest = Beg Bal × Rate; Principal: Straight-line/Sculpted/Sweep</t>
        </is>
      </c>
    </row>
    <row r="144">
      <c r="A144" s="43" t="inlineStr">
        <is>
          <t>→ DSCR = CFADS / Debt Service</t>
        </is>
      </c>
    </row>
    <row r="145">
      <c r="A145" s="43" t="inlineStr">
        <is>
          <t>→ DSRA Target = NEXT year's DS × (months/12)  [TRAP: not current!]</t>
        </is>
      </c>
    </row>
    <row r="147">
      <c r="A147" s="37" t="inlineStr">
        <is>
          <t>Phase 5: Exit &amp; Returns (30 min)</t>
        </is>
      </c>
    </row>
    <row r="148">
      <c r="A148" s="43" t="inlineStr">
        <is>
          <t>→ Exit EV = Exit EBITDA × Multiple</t>
        </is>
      </c>
    </row>
    <row r="149">
      <c r="A149" s="43" t="inlineStr">
        <is>
          <t>→ Exit Equity = Exit EV - Debt Payoff + DSRA Release</t>
        </is>
      </c>
    </row>
    <row r="150">
      <c r="A150" s="43" t="inlineStr">
        <is>
          <t>→ IRR = IRR(Y0:Y10 equity CFs); MOIC = Total / Entry</t>
        </is>
      </c>
    </row>
    <row r="152">
      <c r="A152" s="37" t="inlineStr">
        <is>
          <t>Phase 6: QA &amp; Polish (15 min)</t>
        </is>
      </c>
    </row>
    <row r="153">
      <c r="A153" s="43" t="inlineStr">
        <is>
          <t>→ S&amp;U Balance Check = PASS; Debt Payoff = PASS; Min DSCR ≥1.25x</t>
        </is>
      </c>
    </row>
    <row r="156">
      <c r="A156" s="44" t="inlineStr">
        <is>
          <t>4-HOUR TIME BUDGET</t>
        </is>
      </c>
    </row>
    <row r="158">
      <c r="A158" t="inlineStr">
        <is>
          <t>Setup &amp; Structure</t>
        </is>
      </c>
      <c r="B158" t="inlineStr">
        <is>
          <t>15 min</t>
        </is>
      </c>
    </row>
    <row r="159">
      <c r="A159" t="inlineStr">
        <is>
          <t>Transaction Inputs</t>
        </is>
      </c>
      <c r="B159" t="inlineStr">
        <is>
          <t>15 min</t>
        </is>
      </c>
    </row>
    <row r="160">
      <c r="A160" t="inlineStr">
        <is>
          <t>Sources &amp; Uses</t>
        </is>
      </c>
      <c r="B160" t="inlineStr">
        <is>
          <t>15 min</t>
        </is>
      </c>
    </row>
    <row r="161">
      <c r="A161" t="inlineStr">
        <is>
          <t>Operating Model</t>
        </is>
      </c>
      <c r="B161" t="inlineStr">
        <is>
          <t>45 min</t>
        </is>
      </c>
    </row>
    <row r="162">
      <c r="A162" t="inlineStr">
        <is>
          <t>Depreciation &amp; Tax</t>
        </is>
      </c>
      <c r="B162" t="inlineStr">
        <is>
          <t>15 min</t>
        </is>
      </c>
    </row>
    <row r="163">
      <c r="A163" t="inlineStr">
        <is>
          <t>Debt Schedule</t>
        </is>
      </c>
      <c r="B163" t="inlineStr">
        <is>
          <t>45 min</t>
        </is>
      </c>
    </row>
    <row r="164">
      <c r="A164" t="inlineStr">
        <is>
          <t>DSRA (if needed)</t>
        </is>
      </c>
      <c r="B164" t="inlineStr">
        <is>
          <t>15 min</t>
        </is>
      </c>
    </row>
    <row r="165">
      <c r="A165" t="inlineStr">
        <is>
          <t>Waterfall &amp; Returns</t>
        </is>
      </c>
      <c r="B165" t="inlineStr">
        <is>
          <t>30 min</t>
        </is>
      </c>
    </row>
    <row r="166">
      <c r="A166" t="inlineStr">
        <is>
          <t>Exit Mechanics</t>
        </is>
      </c>
      <c r="B166" t="inlineStr">
        <is>
          <t>15 min</t>
        </is>
      </c>
    </row>
    <row r="167">
      <c r="A167" t="inlineStr">
        <is>
          <t>QA &amp; Sanity Checks</t>
        </is>
      </c>
      <c r="B167" t="inlineStr">
        <is>
          <t>15 min</t>
        </is>
      </c>
    </row>
    <row r="168">
      <c r="A168" t="inlineStr">
        <is>
          <t>Buffer / Iterate</t>
        </is>
      </c>
      <c r="B168" t="inlineStr">
        <is>
          <t>15 min</t>
        </is>
      </c>
    </row>
    <row r="169">
      <c r="A169" s="32" t="inlineStr">
        <is>
          <t>TOTAL</t>
        </is>
      </c>
      <c r="B169" s="32" t="inlineStr">
        <is>
          <t>4:00</t>
        </is>
      </c>
    </row>
    <row r="172">
      <c r="A172" s="44" t="inlineStr">
        <is>
          <t>KEY FORMULA CONCEPTS</t>
        </is>
      </c>
    </row>
    <row r="174">
      <c r="A174" s="32" t="inlineStr">
        <is>
          <t>SPARK SPREAD = Power Price - (HR × Gas / 1000)</t>
        </is>
      </c>
      <c r="C174" t="inlineStr">
        <is>
          <t>Core margin for thermal</t>
        </is>
      </c>
    </row>
    <row r="175">
      <c r="A175" s="32" t="inlineStr">
        <is>
          <t>UCAP = Nameplate × (1 - FOR)</t>
        </is>
      </c>
      <c r="C175" t="inlineStr">
        <is>
          <t>Capacity revenue basis</t>
        </is>
      </c>
    </row>
    <row r="176">
      <c r="A176" s="32" t="inlineStr">
        <is>
          <t>LLCR = NPV(CFADS loan life) / Debt</t>
        </is>
      </c>
      <c r="C176" t="inlineStr">
        <is>
          <t>Loan coverage ratio</t>
        </is>
      </c>
    </row>
    <row r="177">
      <c r="A177" s="32" t="inlineStr">
        <is>
          <t>PLCR = NPV(CFADS project life) / Debt</t>
        </is>
      </c>
      <c r="C177" t="inlineStr">
        <is>
          <t>Project coverage ratio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CASE STUDY: CCGT ACQUISITION</t>
        </is>
      </c>
    </row>
    <row r="3">
      <c r="A3" t="inlineStr">
        <is>
          <t>Time: 4 hours | Deliverables: Model + IC Memo</t>
        </is>
      </c>
    </row>
    <row r="5">
      <c r="A5" s="32" t="inlineStr">
        <is>
          <t>SITUATION</t>
        </is>
      </c>
    </row>
    <row r="6">
      <c r="A6" t="inlineStr">
        <is>
          <t>365 MW CCGT in PJM West. Seller seeks $520mm.</t>
        </is>
      </c>
    </row>
    <row r="8">
      <c r="A8" s="32" t="inlineStr">
        <is>
          <t>KEY QUESTIONS</t>
        </is>
      </c>
    </row>
    <row r="9">
      <c r="A9" t="inlineStr">
        <is>
          <t>1. What levered IRR at indicative price?</t>
        </is>
      </c>
    </row>
    <row r="10">
      <c r="A10" t="inlineStr">
        <is>
          <t>2. Downside DSCR under stress?</t>
        </is>
      </c>
    </row>
    <row r="11">
      <c r="A11" t="inlineStr">
        <is>
          <t>3. Key diligence items?</t>
        </is>
      </c>
    </row>
    <row r="12">
      <c r="A12" t="inlineStr">
        <is>
          <t>4. Protections to negotiate?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8" t="inlineStr">
        <is>
          <t>PROJECT SPARTAN</t>
        </is>
      </c>
    </row>
    <row r="2">
      <c r="A2" s="29" t="inlineStr">
        <is>
          <t>INVESTMENT COMMITTEE MEMORANDUM</t>
        </is>
      </c>
    </row>
    <row r="3">
      <c r="A3" s="28" t="inlineStr">
        <is>
          <t>365 MW Combined Cycle Gas Turbine – PJM West</t>
        </is>
      </c>
    </row>
    <row r="4">
      <c r="A4" s="29" t="inlineStr">
        <is>
          <t>RECOMMENDATION: Proceed to final bid at $520mm</t>
        </is>
      </c>
    </row>
    <row r="5">
      <c r="A5" s="28" t="inlineStr">
        <is>
          <t>────────────────────────────────────────────────────────────</t>
        </is>
      </c>
    </row>
    <row r="6">
      <c r="A6" s="29" t="inlineStr">
        <is>
          <t>KEY METRICS</t>
        </is>
      </c>
    </row>
    <row r="7">
      <c r="A7" s="28" t="inlineStr">
        <is>
          <t>────────────────────────────────────────────────────────────</t>
        </is>
      </c>
    </row>
    <row r="8">
      <c r="A8" s="29" t="inlineStr">
        <is>
          <t>INVESTMENT THESIS</t>
        </is>
      </c>
    </row>
    <row r="9">
      <c r="A9" s="28" t="inlineStr">
        <is>
          <t>• Strategic PJM West location with dual revenue streams (energy + capacity) provides diversified cash flow profile</t>
        </is>
      </c>
    </row>
    <row r="10">
      <c r="A10" s="28" t="inlineStr">
        <is>
          <t>• Efficient 7,000 Btu/kWh heat rate positions asset competitively on dispatch stack, ensuring consistent energy margins</t>
        </is>
      </c>
    </row>
    <row r="11">
      <c r="A11" s="28" t="inlineStr">
        <is>
          <t>• Recent PJM capacity auction results support sustained capacity revenue outlook through the hold period</t>
        </is>
      </c>
    </row>
    <row r="12">
      <c r="A12" s="28" t="inlineStr">
        <is>
          <t>• Clear exit path to strategic buyers (utilities seeking gas generation) and infrastructure yield vehicles</t>
        </is>
      </c>
    </row>
    <row r="13">
      <c r="A13" s="28" t="inlineStr">
        <is>
          <t>────────────────────────────────────────────────────────────</t>
        </is>
      </c>
    </row>
    <row r="14">
      <c r="A14" s="29" t="inlineStr">
        <is>
          <t>KEY RISKS &amp; MITIGANTS</t>
        </is>
      </c>
    </row>
    <row r="15">
      <c r="A15" s="28" t="inlineStr">
        <is>
          <t>────────────────────────────────────────────────────────────</t>
        </is>
      </c>
    </row>
    <row r="16">
      <c r="A16" s="29" t="inlineStr">
        <is>
          <t>FINANCING STRUCTURE RATIONALE</t>
        </is>
      </c>
    </row>
    <row r="17">
      <c r="A17" s="28" t="inlineStr">
        <is>
          <t>Structure: 7-year term loan with 75% cash sweep and 6-month DSRA</t>
        </is>
      </c>
    </row>
    <row r="18">
      <c r="A18" s="28" t="inlineStr">
        <is>
          <t>Rationale:</t>
        </is>
      </c>
    </row>
    <row r="19">
      <c r="A19" s="28" t="inlineStr">
        <is>
          <t>• Cash sweep structure appropriate for merchant asset with variable CFADS – accelerates paydown in strong years</t>
        </is>
      </c>
    </row>
    <row r="20">
      <c r="A20" s="28" t="inlineStr">
        <is>
          <t>• 45% leverage balances return enhancement with covenant headroom for commodity cycles</t>
        </is>
      </c>
    </row>
    <row r="21">
      <c r="A21" s="28" t="inlineStr">
        <is>
          <t>• 6-month DSRA provides liquidity buffer, sizing is market standard for merchant power</t>
        </is>
      </c>
    </row>
    <row r="22">
      <c r="A22" s="28" t="inlineStr">
        <is>
          <t>• Lock-up DSCR at 1.10x protects lenders while allowing distributions in base case</t>
        </is>
      </c>
    </row>
    <row r="23">
      <c r="A23" s="28" t="inlineStr">
        <is>
          <t>────────────────────────────────────────────────────────────</t>
        </is>
      </c>
    </row>
    <row r="24">
      <c r="A24" s="29" t="inlineStr">
        <is>
          <t>ANTICIPATED IC Q&amp;A</t>
        </is>
      </c>
    </row>
    <row r="25">
      <c r="A25" s="29" t="inlineStr">
        <is>
          <t>VALUATION</t>
        </is>
      </c>
    </row>
    <row r="26">
      <c r="A26" s="29" t="inlineStr">
        <is>
          <t>Q: How did you arrive at 7.8x entry multiple?</t>
        </is>
      </c>
    </row>
    <row r="27">
      <c r="A27" s="28" t="inlineStr">
        <is>
          <t>A: Based on recent PJM CCGT transactions ranging 7.0-8.5x, adjusted down for merchant exposure vs contracted comps. Premium to replacement cost reflects strategic location and grid constraints.</t>
        </is>
      </c>
    </row>
    <row r="28">
      <c r="A28" s="29" t="inlineStr">
        <is>
          <t>Q: What's the exit buyer universe?</t>
        </is>
      </c>
    </row>
    <row r="29">
      <c r="A29" s="28" t="inlineStr">
        <is>
          <t>A: Primary: Utilities seeking gas generation for reliability (AES, NRG, Vistra). Secondary: Infrastructure funds (KKR, Brookfield, GIP) seeking yield with upside. Tertiary: IPPs for portfolio buildout.</t>
        </is>
      </c>
    </row>
    <row r="30">
      <c r="A30" s="29" t="inlineStr">
        <is>
          <t>Q: Why 7.0x exit multiple vs 7.8x entry?</t>
        </is>
      </c>
    </row>
    <row r="31">
      <c r="A31" s="28" t="inlineStr">
        <is>
          <t>A: Conservative assumption reflects shorter remaining life at exit. Sensitivity shows 0.5x multiple change = 200bps IRR impact.</t>
        </is>
      </c>
    </row>
    <row r="32">
      <c r="A32" s="29" t="inlineStr">
        <is>
          <t>FINANCING</t>
        </is>
      </c>
    </row>
    <row r="33">
      <c r="A33" s="29" t="inlineStr">
        <is>
          <t>Q: Why sweep instead of sculpt?</t>
        </is>
      </c>
    </row>
    <row r="34">
      <c r="A34" s="28" t="inlineStr">
        <is>
          <t>A: Merchant CFADS volatility makes sculpting impractical – you'd need to re-sculpt every year. Sweep naturally adjusts paydown to actual cash flow.</t>
        </is>
      </c>
    </row>
    <row r="35">
      <c r="A35" s="29" t="inlineStr">
        <is>
          <t>Q: How did you size the DSRA?</t>
        </is>
      </c>
    </row>
    <row r="36">
      <c r="A36" s="28" t="inlineStr">
        <is>
          <t>A: 6-month debt service is market standard for merchant power. Provides 6 months of runway if spark spreads compress or outage occurs.</t>
        </is>
      </c>
    </row>
    <row r="37">
      <c r="A37" s="29" t="inlineStr">
        <is>
          <t>Q: What happens if DSCR drops below 1.10x?</t>
        </is>
      </c>
    </row>
    <row r="38">
      <c r="A38" s="28" t="inlineStr">
        <is>
          <t>A: Distributions locked up – all excess cash goes to debt paydown. Likely scenario: temporary commodity dislocation. Recovery expected within 1-2 years.</t>
        </is>
      </c>
    </row>
    <row r="39">
      <c r="A39" s="29" t="inlineStr">
        <is>
          <t>RETURNS</t>
        </is>
      </c>
    </row>
    <row r="40">
      <c r="A40" s="30" t="inlineStr">
        <is>
          <t>Q: Walk me through the IRR bridge from unlevered to levered.</t>
        </is>
      </c>
    </row>
    <row r="41">
      <c r="A41" s="28" t="inlineStr">
        <is>
          <t>A: Unlevered 12.1% + leverage benefit (cheaper debt vs equity cost) ≈ +7% – financing costs (interest, fees) ≈ -0.6% = Levered 18.5%. Leverage adds ~6.5% to returns.</t>
        </is>
      </c>
    </row>
    <row r="42">
      <c r="A42" s="30" t="inlineStr">
        <is>
          <t>Q: Why is MOIC 2.15x lower than I'd expect for 18.5% IRR?</t>
        </is>
      </c>
    </row>
    <row r="43">
      <c r="A43" s="28" t="inlineStr">
        <is>
          <t>A: 7-year hold period. MOIC = cash-on-cash regardless of timing. 18.5% IRR over 7 years compounds to 2.15x.</t>
        </is>
      </c>
    </row>
    <row r="44">
      <c r="A44" s="29" t="inlineStr">
        <is>
          <t>Q: What's the downside scenario?</t>
        </is>
      </c>
    </row>
    <row r="45">
      <c r="A45" s="28" t="inlineStr">
        <is>
          <t>A: Gas +25%, power flat = squeezed spark spreads. IRR drops to 14.2%, still above hurdle. DSCR 1.28x maintains covenant compliance.</t>
        </is>
      </c>
    </row>
    <row r="46">
      <c r="A46" s="29" t="inlineStr">
        <is>
          <t>MARKET</t>
        </is>
      </c>
    </row>
    <row r="47">
      <c r="A47" s="29" t="inlineStr">
        <is>
          <t>Q: What happens if PJM capacity prices collapse?</t>
        </is>
      </c>
    </row>
    <row r="48">
      <c r="A48" s="28" t="inlineStr">
        <is>
          <t>A: Downside scenario assumes 20% capacity price decline. Still economic due to energy revenue diversification. Extreme downside: asset becomes peaker-like, relies on scarcity pricing.</t>
        </is>
      </c>
    </row>
    <row r="49">
      <c r="A49" s="30" t="inlineStr">
        <is>
          <t>Q: How does carbon regulation affect the investment?</t>
        </is>
      </c>
    </row>
    <row r="50">
      <c r="A50" s="28" t="inlineStr">
        <is>
          <t>A: Gas is bridge fuel – CCGTs run when renewables can't. Carbon cost would increase power prices, potentially improving spark spreads. Natural gas is 50% lower emissions than coal.</t>
        </is>
      </c>
    </row>
    <row r="51">
      <c r="A51" s="29" t="inlineStr">
        <is>
          <t>OPERATIONS</t>
        </is>
      </c>
    </row>
    <row r="52">
      <c r="A52" s="29" t="inlineStr">
        <is>
          <t>Q: What are the key operational risks?</t>
        </is>
      </c>
    </row>
    <row r="53">
      <c r="A53" s="28" t="inlineStr">
        <is>
          <t>A: Equipment failure (mitigated by LTSA), fuel supply disruption (mitigated by pipeline redundancy), grid curtailment (mitigated by must-run status).</t>
        </is>
      </c>
    </row>
    <row r="54">
      <c r="A54" s="29" t="inlineStr">
        <is>
          <t>Q: What value creation levers exist?</t>
        </is>
      </c>
    </row>
    <row r="55">
      <c r="A55" s="28" t="inlineStr">
        <is>
          <t>A: 1) Heat rate improvement project (+$2mm EBITDA), 2) Ancillary services expansion, 3) Capacity factor optimization through better dispatch strategy.</t>
        </is>
      </c>
    </row>
    <row r="56">
      <c r="A56" s="28" t="inlineStr">
        <is>
          <t>────────────────────────────────────────────────────────────</t>
        </is>
      </c>
    </row>
    <row r="57">
      <c r="A57" s="29" t="inlineStr">
        <is>
          <t>DILIGENCE PLAN</t>
        </is>
      </c>
    </row>
    <row r="58">
      <c r="A58" s="29" t="inlineStr">
        <is>
          <t>Technical:</t>
        </is>
      </c>
    </row>
    <row r="59">
      <c r="A59" s="28" t="inlineStr">
        <is>
          <t>☐ Independent engineer report (Wood Mackenzie)</t>
        </is>
      </c>
    </row>
    <row r="60">
      <c r="A60" s="28" t="inlineStr">
        <is>
          <t>☐ Equipment condition assessment – turbine hours remaining</t>
        </is>
      </c>
    </row>
    <row r="61">
      <c r="A61" s="28" t="inlineStr">
        <is>
          <t>☐ Environmental compliance review – air permits, water discharge</t>
        </is>
      </c>
    </row>
    <row r="62">
      <c r="A62" s="28" t="inlineStr">
        <is>
          <t>☐ Grid interconnection study – transmission constraints</t>
        </is>
      </c>
    </row>
    <row r="63">
      <c r="A63" s="29" t="inlineStr">
        <is>
          <t>Commercial:</t>
        </is>
      </c>
    </row>
    <row r="64">
      <c r="A64" s="28" t="inlineStr">
        <is>
          <t>☐ PPA/hedging contract review</t>
        </is>
      </c>
    </row>
    <row r="65">
      <c r="A65" s="28" t="inlineStr">
        <is>
          <t>☐ Market study validation (ERCOT/PJM consultant)</t>
        </is>
      </c>
    </row>
    <row r="66">
      <c r="A66" s="28" t="inlineStr">
        <is>
          <t>☐ Fuel supply and transportation agreements</t>
        </is>
      </c>
    </row>
    <row r="67">
      <c r="A67" s="28" t="inlineStr">
        <is>
          <t>☐ Counterparty credit analysis</t>
        </is>
      </c>
    </row>
    <row r="68">
      <c r="A68" s="29" t="inlineStr">
        <is>
          <t>Legal:</t>
        </is>
      </c>
    </row>
    <row r="69">
      <c r="A69" s="28" t="inlineStr">
        <is>
          <t>☐ Title and land rights review</t>
        </is>
      </c>
    </row>
    <row r="70">
      <c r="A70" s="28" t="inlineStr">
        <is>
          <t>☐ Permitting status and renewal timeline</t>
        </is>
      </c>
    </row>
    <row r="71">
      <c r="A71" s="28" t="inlineStr">
        <is>
          <t>☐ Environmental liability assessment</t>
        </is>
      </c>
    </row>
    <row r="72">
      <c r="A72" s="28" t="inlineStr">
        <is>
          <t>☐ Regulatory status and rate case history</t>
        </is>
      </c>
    </row>
    <row r="73">
      <c r="A73" s="29" t="inlineStr">
        <is>
          <t>Financial:</t>
        </is>
      </c>
    </row>
    <row r="74">
      <c r="A74" s="28" t="inlineStr">
        <is>
          <t>☐ Quality of earnings (trailing 3-year analysis)</t>
        </is>
      </c>
    </row>
    <row r="75">
      <c r="A75" s="28" t="inlineStr">
        <is>
          <t>☐ Working capital normalization</t>
        </is>
      </c>
    </row>
    <row r="76">
      <c r="A76" s="28" t="inlineStr">
        <is>
          <t>☐ Tax structure optimization</t>
        </is>
      </c>
    </row>
    <row r="77">
      <c r="A77" s="28" t="inlineStr">
        <is>
          <t>☐ Insurance adequacy review</t>
        </is>
      </c>
    </row>
    <row r="78">
      <c r="A78" s="28" t="inlineStr"/>
    </row>
    <row r="79">
      <c r="A79" s="31" t="inlineStr">
        <is>
          <t>Metric | Base Case | Downside | Upside</t>
        </is>
      </c>
    </row>
    <row r="80">
      <c r="A80" s="31" t="inlineStr">
        <is>
          <t>Entry EV | $520mm | - | -</t>
        </is>
      </c>
    </row>
    <row r="81">
      <c r="A81" s="31" t="inlineStr">
        <is>
          <t>Entry Multiple | 7.8x Y1 EBITDA | - | -</t>
        </is>
      </c>
    </row>
    <row r="82">
      <c r="A82" s="31" t="inlineStr">
        <is>
          <t>Leverage | 45% | - | -</t>
        </is>
      </c>
    </row>
    <row r="83">
      <c r="A83" s="31" t="inlineStr">
        <is>
          <t>Levered IRR | 18.5% | 14.2% | 22.8%</t>
        </is>
      </c>
    </row>
    <row r="84">
      <c r="A84" s="31" t="inlineStr">
        <is>
          <t>MOIC | 2.15x | 1.85x | 2.45x</t>
        </is>
      </c>
    </row>
    <row r="85">
      <c r="A85" s="31" t="inlineStr">
        <is>
          <t>Min DSCR | 1.42x | 1.28x | 1.58x</t>
        </is>
      </c>
    </row>
    <row r="86">
      <c r="A86" s="31" t="inlineStr">
        <is>
          <t>Unlevered IRR | 12.1% | - | -</t>
        </is>
      </c>
    </row>
    <row r="87">
      <c r="A87" s="28" t="inlineStr"/>
    </row>
    <row r="88">
      <c r="A88" s="31" t="inlineStr">
        <is>
          <t>Risk | Probability | Mitigant</t>
        </is>
      </c>
    </row>
    <row r="89">
      <c r="A89" s="31" t="inlineStr">
        <is>
          <t>Gas price volatility | Medium | Partial hedge program (50% Y1-Y3); efficient heat rate provides margin cushion</t>
        </is>
      </c>
    </row>
    <row r="90">
      <c r="A90" s="31" t="inlineStr">
        <is>
          <t>Capacity price decline | Medium | PJM capacity construct provides 3-year forward visibility; locked through Y3</t>
        </is>
      </c>
    </row>
    <row r="91">
      <c r="A91" s="31" t="inlineStr">
        <is>
          <t>Forced outage risk | Low | Comprehensive LTSA with OEM; historical 95% availability; 6-month DSRA</t>
        </is>
      </c>
    </row>
    <row r="92">
      <c r="A92" s="31" t="inlineStr">
        <is>
          <t>Environmental regulation | Medium | No pending EPA action on unit; brownfield expansion rights provide optionality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6" t="inlineStr">
        <is>
          <t>Model_Quick - Simplified (90-min build)</t>
        </is>
      </c>
    </row>
    <row r="2">
      <c r="D2" s="32" t="inlineStr">
        <is>
          <t>Y0 (2025)</t>
        </is>
      </c>
      <c r="E2" s="32" t="inlineStr">
        <is>
          <t>Y1 (2026)</t>
        </is>
      </c>
      <c r="F2" s="32" t="inlineStr">
        <is>
          <t>Y2 (2027)</t>
        </is>
      </c>
      <c r="G2" s="32" t="inlineStr">
        <is>
          <t>Y3 (2028)</t>
        </is>
      </c>
      <c r="H2" s="32" t="inlineStr">
        <is>
          <t>Y4 (2029)</t>
        </is>
      </c>
      <c r="I2" s="32" t="inlineStr">
        <is>
          <t>Y5 (2030)</t>
        </is>
      </c>
      <c r="J2" s="32" t="inlineStr">
        <is>
          <t>Y6 (2031)</t>
        </is>
      </c>
      <c r="K2" s="32" t="inlineStr">
        <is>
          <t>Y7 (2032)</t>
        </is>
      </c>
      <c r="L2" s="32" t="inlineStr">
        <is>
          <t>Y8 (2033)</t>
        </is>
      </c>
      <c r="M2" s="32" t="inlineStr">
        <is>
          <t>Y9 (2034)</t>
        </is>
      </c>
      <c r="N2" s="32" t="inlineStr">
        <is>
          <t>Y10 (2035)</t>
        </is>
      </c>
    </row>
    <row r="4">
      <c r="A4" s="37" t="inlineStr">
        <is>
          <t>═══ KEY METRICS ═══</t>
        </is>
      </c>
    </row>
    <row r="5">
      <c r="A5" t="inlineStr">
        <is>
          <t>Entry EV</t>
        </is>
      </c>
      <c r="B5" t="inlineStr">
        <is>
          <t>$mm</t>
        </is>
      </c>
      <c r="D5" s="38">
        <f>D12</f>
        <v/>
      </c>
    </row>
    <row r="6">
      <c r="A6" t="inlineStr">
        <is>
          <t>Debt %</t>
        </is>
      </c>
      <c r="B6" t="inlineStr">
        <is>
          <t>%</t>
        </is>
      </c>
      <c r="D6" s="38">
        <f>D35/D12</f>
        <v/>
      </c>
    </row>
    <row r="7">
      <c r="A7" t="inlineStr">
        <is>
          <t>Y1 EBITDA</t>
        </is>
      </c>
      <c r="B7" t="inlineStr">
        <is>
          <t>$mm</t>
        </is>
      </c>
      <c r="D7" s="38">
        <f>E41</f>
        <v/>
      </c>
    </row>
    <row r="8">
      <c r="A8" t="inlineStr">
        <is>
          <t>Levered IRR</t>
        </is>
      </c>
      <c r="B8" t="inlineStr">
        <is>
          <t>%</t>
        </is>
      </c>
      <c r="D8" s="38">
        <f>D57</f>
        <v/>
      </c>
    </row>
    <row r="9">
      <c r="A9" t="inlineStr">
        <is>
          <t>MOIC</t>
        </is>
      </c>
      <c r="B9" t="inlineStr">
        <is>
          <t>x</t>
        </is>
      </c>
      <c r="D9" s="38">
        <f>D58</f>
        <v/>
      </c>
    </row>
    <row r="11">
      <c r="A11" s="37" t="inlineStr">
        <is>
          <t>═══ TRANSACTION INPUTS ═══</t>
        </is>
      </c>
    </row>
    <row r="12">
      <c r="A12" t="inlineStr">
        <is>
          <t>Entry EV</t>
        </is>
      </c>
      <c r="B12" t="inlineStr">
        <is>
          <t>$mm</t>
        </is>
      </c>
      <c r="D12" s="39" t="n">
        <v>520</v>
      </c>
    </row>
    <row r="13">
      <c r="A13" t="inlineStr">
        <is>
          <t>Transaction Fees</t>
        </is>
      </c>
      <c r="B13" t="inlineStr">
        <is>
          <t>%</t>
        </is>
      </c>
      <c r="D13" s="39" t="inlineStr">
        <is>
          <t>1.5%</t>
        </is>
      </c>
    </row>
    <row r="14">
      <c r="A14" t="inlineStr">
        <is>
          <t>Exit Multiple</t>
        </is>
      </c>
      <c r="B14" t="inlineStr">
        <is>
          <t>x</t>
        </is>
      </c>
      <c r="D14" s="39" t="n">
        <v>7</v>
      </c>
    </row>
    <row r="15">
      <c r="A15" t="inlineStr">
        <is>
          <t>Exit Year</t>
        </is>
      </c>
      <c r="B15" t="inlineStr">
        <is>
          <t>yr</t>
        </is>
      </c>
      <c r="D15" s="39" t="n">
        <v>7</v>
      </c>
    </row>
    <row r="17">
      <c r="A17" s="37" t="inlineStr">
        <is>
          <t>═══ ASSET INPUTS ═══</t>
        </is>
      </c>
    </row>
    <row r="18">
      <c r="A18" t="inlineStr">
        <is>
          <t>Capacity</t>
        </is>
      </c>
      <c r="B18" t="inlineStr">
        <is>
          <t>MW</t>
        </is>
      </c>
      <c r="D18" s="39" t="n">
        <v>365</v>
      </c>
    </row>
    <row r="19">
      <c r="A19" t="inlineStr">
        <is>
          <t>Capacity Factor</t>
        </is>
      </c>
      <c r="B19" t="inlineStr">
        <is>
          <t>%</t>
        </is>
      </c>
      <c r="D19" s="39" t="inlineStr">
        <is>
          <t>55%</t>
        </is>
      </c>
    </row>
    <row r="20">
      <c r="A20" t="inlineStr">
        <is>
          <t>Y1 EBITDA</t>
        </is>
      </c>
      <c r="B20" t="inlineStr">
        <is>
          <t>$mm</t>
        </is>
      </c>
      <c r="D20" s="39" t="n">
        <v>78</v>
      </c>
    </row>
    <row r="21">
      <c r="A21" t="inlineStr">
        <is>
          <t>EBITDA Escalation</t>
        </is>
      </c>
      <c r="B21" t="inlineStr">
        <is>
          <t>%</t>
        </is>
      </c>
      <c r="D21" s="39" t="inlineStr">
        <is>
          <t>2.0%</t>
        </is>
      </c>
    </row>
    <row r="23">
      <c r="A23" s="37" t="inlineStr">
        <is>
          <t>═══ FINANCING INPUTS ═══</t>
        </is>
      </c>
    </row>
    <row r="24">
      <c r="A24" t="inlineStr">
        <is>
          <t>Leverage</t>
        </is>
      </c>
      <c r="B24" t="inlineStr">
        <is>
          <t>%</t>
        </is>
      </c>
      <c r="D24" s="39" t="inlineStr">
        <is>
          <t>65%</t>
        </is>
      </c>
    </row>
    <row r="25">
      <c r="A25" t="inlineStr">
        <is>
          <t>Interest Rate</t>
        </is>
      </c>
      <c r="B25" t="inlineStr">
        <is>
          <t>%</t>
        </is>
      </c>
      <c r="D25" s="39" t="inlineStr">
        <is>
          <t>6.5%</t>
        </is>
      </c>
    </row>
    <row r="26">
      <c r="A26" t="inlineStr">
        <is>
          <t>Debt Tenor</t>
        </is>
      </c>
      <c r="B26" t="inlineStr">
        <is>
          <t>yrs</t>
        </is>
      </c>
      <c r="D26" s="39" t="n">
        <v>7</v>
      </c>
    </row>
    <row r="28">
      <c r="A28" s="37" t="inlineStr">
        <is>
          <t>═══ SOURCES &amp; USES ═══</t>
        </is>
      </c>
    </row>
    <row r="29">
      <c r="A29" s="32" t="inlineStr">
        <is>
          <t>USES:</t>
        </is>
      </c>
    </row>
    <row r="30">
      <c r="A30" t="inlineStr">
        <is>
          <t>Purchase Price</t>
        </is>
      </c>
      <c r="D30">
        <f>D12</f>
        <v/>
      </c>
    </row>
    <row r="31">
      <c r="A31" t="inlineStr">
        <is>
          <t>Transaction Fees</t>
        </is>
      </c>
      <c r="D31">
        <f>D12*D13</f>
        <v/>
      </c>
    </row>
    <row r="32">
      <c r="A32" s="32" t="inlineStr">
        <is>
          <t>Total Uses</t>
        </is>
      </c>
      <c r="D32" s="38">
        <f>D30+D31</f>
        <v/>
      </c>
    </row>
    <row r="34">
      <c r="A34" s="32" t="inlineStr">
        <is>
          <t>SOURCES:</t>
        </is>
      </c>
    </row>
    <row r="35">
      <c r="A35" t="inlineStr">
        <is>
          <t>Funded Debt</t>
        </is>
      </c>
      <c r="D35">
        <f>D12*D24</f>
        <v/>
      </c>
    </row>
    <row r="36">
      <c r="A36" t="inlineStr">
        <is>
          <t>Entry Equity</t>
        </is>
      </c>
      <c r="D36">
        <f>D32-D35</f>
        <v/>
      </c>
    </row>
    <row r="37">
      <c r="A37" s="32" t="inlineStr">
        <is>
          <t>Total Sources</t>
        </is>
      </c>
      <c r="D37" s="38">
        <f>D35+D36</f>
        <v/>
      </c>
    </row>
    <row r="38">
      <c r="A38" t="inlineStr">
        <is>
          <t>Balance Check</t>
        </is>
      </c>
      <c r="D38" s="38">
        <f>IF(ABS(D32-D37)&lt;0.01,"PASS","FAIL")</f>
        <v/>
      </c>
    </row>
    <row r="40">
      <c r="A40" s="37" t="inlineStr">
        <is>
          <t>═══ OPERATING MODEL ═══</t>
        </is>
      </c>
    </row>
    <row r="41">
      <c r="A41" t="inlineStr">
        <is>
          <t>EBITDA</t>
        </is>
      </c>
      <c r="B41" t="inlineStr">
        <is>
          <t>$mm</t>
        </is>
      </c>
      <c r="C41" t="inlineStr">
        <is>
          <t>Y1 input, then escalated</t>
        </is>
      </c>
      <c r="E41" s="38">
        <f>$D$20*(1+$D$21)^(1-1)</f>
        <v/>
      </c>
      <c r="F41" s="38">
        <f>$D$20*(1+$D$21)^(2-1)</f>
        <v/>
      </c>
      <c r="G41" s="38">
        <f>$D$20*(1+$D$21)^(3-1)</f>
        <v/>
      </c>
      <c r="H41" s="38">
        <f>$D$20*(1+$D$21)^(4-1)</f>
        <v/>
      </c>
      <c r="I41" s="38">
        <f>$D$20*(1+$D$21)^(5-1)</f>
        <v/>
      </c>
      <c r="J41" s="38">
        <f>$D$20*(1+$D$21)^(6-1)</f>
        <v/>
      </c>
      <c r="K41" s="38">
        <f>$D$20*(1+$D$21)^(7-1)</f>
        <v/>
      </c>
      <c r="L41" s="38">
        <f>$D$20*(1+$D$21)^(8-1)</f>
        <v/>
      </c>
      <c r="M41" s="38">
        <f>$D$20*(1+$D$21)^(9-1)</f>
        <v/>
      </c>
      <c r="N41" s="38">
        <f>$D$20*(1+$D$21)^(10-1)</f>
        <v/>
      </c>
    </row>
    <row r="43">
      <c r="A43" s="37" t="inlineStr">
        <is>
          <t>═══ DEBT SCHEDULE (Straight-Line) ═══</t>
        </is>
      </c>
    </row>
    <row r="44">
      <c r="A44" t="inlineStr">
        <is>
          <t>Beginning Balance</t>
        </is>
      </c>
      <c r="B44" t="inlineStr">
        <is>
          <t>$mm</t>
        </is>
      </c>
      <c r="E44">
        <f>D35</f>
        <v/>
      </c>
      <c r="F44">
        <f>E47</f>
        <v/>
      </c>
      <c r="G44">
        <f>F47</f>
        <v/>
      </c>
      <c r="H44">
        <f>G47</f>
        <v/>
      </c>
      <c r="I44">
        <f>H47</f>
        <v/>
      </c>
      <c r="J44">
        <f>I47</f>
        <v/>
      </c>
      <c r="K44">
        <f>J47</f>
        <v/>
      </c>
      <c r="L44">
        <f>K47</f>
        <v/>
      </c>
      <c r="M44">
        <f>L47</f>
        <v/>
      </c>
      <c r="N44">
        <f>M47</f>
        <v/>
      </c>
    </row>
    <row r="45">
      <c r="A45" t="inlineStr">
        <is>
          <t>Interest</t>
        </is>
      </c>
      <c r="B45" t="inlineStr">
        <is>
          <t>$mm</t>
        </is>
      </c>
      <c r="E45">
        <f>E44*$D$25</f>
        <v/>
      </c>
      <c r="F45">
        <f>F44*$D$25</f>
        <v/>
      </c>
      <c r="G45">
        <f>G44*$D$25</f>
        <v/>
      </c>
      <c r="H45">
        <f>H44*$D$25</f>
        <v/>
      </c>
      <c r="I45">
        <f>I44*$D$25</f>
        <v/>
      </c>
      <c r="J45">
        <f>J44*$D$25</f>
        <v/>
      </c>
      <c r="K45">
        <f>K44*$D$25</f>
        <v/>
      </c>
      <c r="L45">
        <f>L44*$D$25</f>
        <v/>
      </c>
      <c r="M45">
        <f>M44*$D$25</f>
        <v/>
      </c>
      <c r="N45">
        <f>N44*$D$25</f>
        <v/>
      </c>
    </row>
    <row r="46">
      <c r="A46" t="inlineStr">
        <is>
          <t>Principal</t>
        </is>
      </c>
      <c r="B46" t="inlineStr">
        <is>
          <t>$mm</t>
        </is>
      </c>
      <c r="C46" t="inlineStr">
        <is>
          <t>Straight-line: Debt / Tenor</t>
        </is>
      </c>
      <c r="E46">
        <f>MIN($D$35/$D$26,E44)</f>
        <v/>
      </c>
      <c r="F46">
        <f>MIN($D$35/$D$26,F44)</f>
        <v/>
      </c>
      <c r="G46">
        <f>MIN($D$35/$D$26,G44)</f>
        <v/>
      </c>
      <c r="H46">
        <f>MIN($D$35/$D$26,H44)</f>
        <v/>
      </c>
      <c r="I46">
        <f>MIN($D$35/$D$26,I44)</f>
        <v/>
      </c>
      <c r="J46">
        <f>MIN($D$35/$D$26,J44)</f>
        <v/>
      </c>
      <c r="K46">
        <f>MIN($D$35/$D$26,K44)</f>
        <v/>
      </c>
      <c r="L46">
        <f>MIN($D$35/$D$26,L44)</f>
        <v/>
      </c>
      <c r="M46">
        <f>MIN($D$35/$D$26,M44)</f>
        <v/>
      </c>
      <c r="N46">
        <f>MIN($D$35/$D$26,N44)</f>
        <v/>
      </c>
    </row>
    <row r="47">
      <c r="A47" t="inlineStr">
        <is>
          <t>Ending Balance</t>
        </is>
      </c>
      <c r="B47" t="inlineStr">
        <is>
          <t>$mm</t>
        </is>
      </c>
      <c r="E47">
        <f>MAX(0,E44-E46)</f>
        <v/>
      </c>
      <c r="F47">
        <f>MAX(0,F44-F46)</f>
        <v/>
      </c>
      <c r="G47">
        <f>MAX(0,G44-G46)</f>
        <v/>
      </c>
      <c r="H47">
        <f>MAX(0,H44-H46)</f>
        <v/>
      </c>
      <c r="I47">
        <f>MAX(0,I44-I46)</f>
        <v/>
      </c>
      <c r="J47">
        <f>MAX(0,J44-J46)</f>
        <v/>
      </c>
      <c r="K47">
        <f>MAX(0,K44-K46)</f>
        <v/>
      </c>
      <c r="L47">
        <f>MAX(0,L44-L46)</f>
        <v/>
      </c>
      <c r="M47">
        <f>MAX(0,M44-M46)</f>
        <v/>
      </c>
      <c r="N47">
        <f>MAX(0,N44-N46)</f>
        <v/>
      </c>
    </row>
    <row r="49">
      <c r="A49" s="37" t="inlineStr">
        <is>
          <t>═══ RETURNS ═══</t>
        </is>
      </c>
    </row>
    <row r="50">
      <c r="A50" t="inlineStr">
        <is>
          <t>Exit Year EBITDA</t>
        </is>
      </c>
      <c r="D50">
        <f>OFFSET(E41,0,$D$15-1)</f>
        <v/>
      </c>
    </row>
    <row r="51">
      <c r="A51" t="inlineStr">
        <is>
          <t>Exit EV</t>
        </is>
      </c>
      <c r="D51" s="38">
        <f>D50*$D$14</f>
        <v/>
      </c>
    </row>
    <row r="52">
      <c r="A52" t="inlineStr">
        <is>
          <t>Exit Debt Payoff</t>
        </is>
      </c>
      <c r="D52">
        <f>OFFSET(E47,0,$D$15-1)</f>
        <v/>
      </c>
    </row>
    <row r="53">
      <c r="A53" t="inlineStr">
        <is>
          <t>Exit Equity Proceeds</t>
        </is>
      </c>
      <c r="D53" s="38">
        <f>D51-D52</f>
        <v/>
      </c>
    </row>
    <row r="55">
      <c r="A55" t="inlineStr">
        <is>
          <t>Equity Cash Flow</t>
        </is>
      </c>
      <c r="B55" t="inlineStr">
        <is>
          <t>$mm</t>
        </is>
      </c>
      <c r="D55">
        <f>-D36</f>
        <v/>
      </c>
      <c r="E55">
        <f>IF(1=$D$15,D53,0)</f>
        <v/>
      </c>
      <c r="F55">
        <f>IF(2=$D$15,D53,0)</f>
        <v/>
      </c>
      <c r="G55">
        <f>IF(3=$D$15,D53,0)</f>
        <v/>
      </c>
      <c r="H55">
        <f>IF(4=$D$15,D53,0)</f>
        <v/>
      </c>
      <c r="I55">
        <f>IF(5=$D$15,D53,0)</f>
        <v/>
      </c>
      <c r="J55">
        <f>IF(6=$D$15,D53,0)</f>
        <v/>
      </c>
      <c r="K55">
        <f>IF(7=$D$15,D53,0)</f>
        <v/>
      </c>
      <c r="L55">
        <f>IF(8=$D$15,D53,0)</f>
        <v/>
      </c>
      <c r="M55">
        <f>IF(9=$D$15,D53,0)</f>
        <v/>
      </c>
      <c r="N55">
        <f>IF(10=$D$15,D53,0)</f>
        <v/>
      </c>
    </row>
    <row r="57">
      <c r="A57" s="32" t="inlineStr">
        <is>
          <t>Levered IRR</t>
        </is>
      </c>
      <c r="B57" t="inlineStr">
        <is>
          <t>%</t>
        </is>
      </c>
      <c r="D57" s="40">
        <f>IRR(D55:N55)</f>
        <v/>
      </c>
    </row>
    <row r="58">
      <c r="A58" s="32" t="inlineStr">
        <is>
          <t>MOIC</t>
        </is>
      </c>
      <c r="B58" t="inlineStr">
        <is>
          <t>x</t>
        </is>
      </c>
      <c r="D58" s="41">
        <f>D53/D36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CCGT Model - Lotus Infrastructure Partners</t>
        </is>
      </c>
      <c r="D1" s="33" t="inlineStr">
        <is>
          <t>Y0 (2025)</t>
        </is>
      </c>
      <c r="E1" s="33" t="inlineStr">
        <is>
          <t>Y1 (2026)</t>
        </is>
      </c>
      <c r="F1" s="33" t="inlineStr">
        <is>
          <t>Y2 (2027)</t>
        </is>
      </c>
      <c r="G1" s="33" t="inlineStr">
        <is>
          <t>Y3 (2028)</t>
        </is>
      </c>
      <c r="H1" s="33" t="inlineStr">
        <is>
          <t>Y4 (2029)</t>
        </is>
      </c>
      <c r="I1" s="33" t="inlineStr">
        <is>
          <t>Y5 (2030)</t>
        </is>
      </c>
      <c r="J1" s="33" t="inlineStr">
        <is>
          <t>Y6 (2031)</t>
        </is>
      </c>
      <c r="K1" s="33" t="inlineStr">
        <is>
          <t>Y7 (2032)</t>
        </is>
      </c>
      <c r="L1" s="33" t="inlineStr">
        <is>
          <t>Y8 (2033)</t>
        </is>
      </c>
      <c r="M1" s="33" t="inlineStr">
        <is>
          <t>Y9 (2034)</t>
        </is>
      </c>
      <c r="N1" s="33" t="inlineStr">
        <is>
          <t>Y10 (2035)</t>
        </is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Entry EV</t>
        </is>
      </c>
      <c r="B3" s="6" t="inlineStr">
        <is>
          <t>$mm</t>
        </is>
      </c>
      <c r="C3" s="6" t="inlineStr">
        <is>
          <t>Purchase price for asset</t>
        </is>
      </c>
      <c r="D3" s="7">
        <f>$D$28</f>
        <v/>
      </c>
      <c r="M3" s="53" t="inlineStr">
        <is>
          <t>IRR Sensitivity:</t>
        </is>
      </c>
    </row>
    <row r="4">
      <c r="A4" s="5" t="inlineStr">
        <is>
          <t>Y1 EBITDA</t>
        </is>
      </c>
      <c r="B4" s="6" t="inlineStr">
        <is>
          <t>$mm</t>
        </is>
      </c>
      <c r="C4" s="6" t="inlineStr">
        <is>
          <t>Revenue minus OpEx</t>
        </is>
      </c>
      <c r="D4" s="7">
        <f>E86</f>
        <v/>
      </c>
      <c r="M4" s="54" t="inlineStr">
        <is>
          <t>+/- 5% Entry → ~+/- 1% IRR</t>
        </is>
      </c>
    </row>
    <row r="5">
      <c r="A5" s="37" t="inlineStr">
        <is>
          <t>═══════════ CONTROL PANEL ═══════════</t>
        </is>
      </c>
      <c r="B5" s="45" t="n"/>
      <c r="C5" s="45" t="n"/>
      <c r="D5" s="45" t="n"/>
      <c r="M5" s="54" t="inlineStr">
        <is>
          <t>+/- 0.5x Exit → ~+/- 1.5% IRR</t>
        </is>
      </c>
    </row>
    <row r="6">
      <c r="A6" s="45" t="n"/>
      <c r="B6" s="45" t="n"/>
      <c r="C6" s="45" t="n"/>
      <c r="D6" s="45" t="n"/>
    </row>
    <row r="7">
      <c r="A7" s="46" t="inlineStr">
        <is>
          <t>REVENUE</t>
        </is>
      </c>
      <c r="B7" s="45" t="n"/>
      <c r="C7" s="45" t="n"/>
      <c r="D7" s="45" t="n"/>
    </row>
    <row r="8">
      <c r="A8" s="32" t="inlineStr">
        <is>
          <t>Revenue Mode</t>
        </is>
      </c>
      <c r="B8" s="45" t="n"/>
      <c r="C8" s="6" t="inlineStr">
        <is>
          <t>Merchant / Contracted / Hybrid</t>
        </is>
      </c>
      <c r="D8" s="39" t="inlineStr">
        <is>
          <t>Merchant</t>
        </is>
      </c>
    </row>
    <row r="9">
      <c r="A9" s="32" t="inlineStr">
        <is>
          <t>Contract End Year</t>
        </is>
      </c>
      <c r="B9" s="45" t="n"/>
      <c r="C9" s="6" t="inlineStr">
        <is>
          <t>0 = pure merchant; else year PPA ends</t>
        </is>
      </c>
      <c r="D9" s="39" t="n">
        <v>0</v>
      </c>
    </row>
    <row r="10">
      <c r="A10" s="45" t="n"/>
      <c r="B10" s="45" t="n"/>
      <c r="C10" s="45" t="n"/>
      <c r="D10" s="45" t="n"/>
    </row>
    <row r="11">
      <c r="A11" s="46" t="inlineStr">
        <is>
          <t>TIMING</t>
        </is>
      </c>
      <c r="B11" s="45" t="n"/>
      <c r="C11" s="45" t="n"/>
      <c r="D11" s="45" t="n"/>
    </row>
    <row r="12">
      <c r="A12" s="32" t="inlineStr">
        <is>
          <t>Exit Year</t>
        </is>
      </c>
      <c r="B12" s="45" t="n"/>
      <c r="C12" s="6" t="inlineStr">
        <is>
          <t>5 / 7 / 10</t>
        </is>
      </c>
      <c r="D12" s="39" t="n">
        <v>7</v>
      </c>
    </row>
    <row r="13">
      <c r="A13" s="32" t="inlineStr">
        <is>
          <t>Tax Credit End Year</t>
        </is>
      </c>
      <c r="B13" s="45" t="n"/>
      <c r="C13" s="6" t="inlineStr">
        <is>
          <t>0 = N/A; else last year of PTC/ITC</t>
        </is>
      </c>
      <c r="D13" s="39" t="n">
        <v>0</v>
      </c>
    </row>
    <row r="14">
      <c r="A14" s="45" t="n"/>
      <c r="B14" s="45" t="n"/>
      <c r="C14" s="45" t="n"/>
      <c r="D14" s="45" t="n"/>
    </row>
    <row r="15">
      <c r="A15" s="46" t="inlineStr">
        <is>
          <t>DEBT</t>
        </is>
      </c>
      <c r="B15" s="45" t="n"/>
      <c r="C15" s="45" t="n"/>
      <c r="D15" s="47" t="n"/>
    </row>
    <row r="16">
      <c r="A16" s="32" t="inlineStr">
        <is>
          <t>Debt Sweep</t>
        </is>
      </c>
      <c r="B16" s="45" t="n"/>
      <c r="C16" s="6" t="inlineStr">
        <is>
          <t>ON / OFF (for sweep assets)</t>
        </is>
      </c>
      <c r="D16" s="27" t="inlineStr">
        <is>
          <t>ON</t>
        </is>
      </c>
    </row>
    <row r="17">
      <c r="A17" s="32" t="inlineStr">
        <is>
          <t>Sweep %</t>
        </is>
      </c>
      <c r="B17" s="45" t="n"/>
      <c r="C17" s="6" t="inlineStr">
        <is>
          <t>Active when Sweep = ON</t>
        </is>
      </c>
      <c r="D17" s="26" t="inlineStr">
        <is>
          <t>75%</t>
        </is>
      </c>
    </row>
    <row r="18">
      <c r="A18" s="45" t="n"/>
      <c r="B18" s="45" t="n"/>
      <c r="C18" s="45" t="n"/>
      <c r="D18" s="48" t="n"/>
    </row>
    <row r="19">
      <c r="A19" s="46" t="inlineStr">
        <is>
          <t>OTHER</t>
        </is>
      </c>
      <c r="B19" s="45" t="n"/>
      <c r="C19" s="45" t="n"/>
      <c r="D19" s="49" t="n"/>
    </row>
    <row r="20">
      <c r="A20" s="32" t="inlineStr">
        <is>
          <t>Carbon Region</t>
        </is>
      </c>
      <c r="C20" s="6" t="inlineStr">
        <is>
          <t>None / CARB / RGGI (thermal only)</t>
        </is>
      </c>
      <c r="D20" s="39" t="inlineStr">
        <is>
          <t>None</t>
        </is>
      </c>
    </row>
    <row r="21">
      <c r="A21" s="50" t="inlineStr">
        <is>
          <t>Exit Method</t>
        </is>
      </c>
      <c r="B21" s="45" t="n"/>
      <c r="C21" s="6" t="inlineStr">
        <is>
          <t>Multiple / DCF</t>
        </is>
      </c>
      <c r="D21" s="39" t="inlineStr">
        <is>
          <t>Multiple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37" t="inlineStr">
        <is>
          <t>════════════════════════════════════</t>
        </is>
      </c>
      <c r="B22" s="6" t="inlineStr"/>
      <c r="C22" s="6" t="inlineStr"/>
      <c r="D22" s="10">
        <f>D132</f>
        <v/>
      </c>
    </row>
    <row r="23">
      <c r="A23" s="5" t="inlineStr">
        <is>
          <t>Debt Payoff Y7</t>
        </is>
      </c>
      <c r="B23" s="6" t="inlineStr"/>
      <c r="C23" s="6" t="inlineStr"/>
      <c r="D23" s="10">
        <f>IF(K103&lt;1,"PASS","FAIL")</f>
        <v/>
      </c>
    </row>
    <row r="24">
      <c r="A24" s="5" t="inlineStr">
        <is>
          <t>Min DSCR ≥ 1.25x</t>
        </is>
      </c>
      <c r="B24" s="6" t="inlineStr"/>
      <c r="C24" s="6" t="inlineStr">
        <is>
          <t>CFADS / Debt Service</t>
        </is>
      </c>
      <c r="D24" s="10">
        <f>IF(MIN(E104:K104)&gt;=1.25,"PASS","FAIL")</f>
        <v/>
      </c>
    </row>
    <row r="27">
      <c r="A27" s="3" t="inlineStr">
        <is>
          <t>TRANSACTION INPUTS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inlineStr">
        <is>
          <t>Entry EV</t>
        </is>
      </c>
      <c r="B28" s="6" t="inlineStr">
        <is>
          <t>$mm</t>
        </is>
      </c>
      <c r="C28" s="6" t="inlineStr">
        <is>
          <t>Purchase price</t>
        </is>
      </c>
      <c r="D28" s="11" t="n">
        <v>520</v>
      </c>
    </row>
    <row r="29">
      <c r="A29" s="5" t="inlineStr">
        <is>
          <t>Transaction Fees</t>
        </is>
      </c>
      <c r="B29" s="6" t="inlineStr">
        <is>
          <t>%</t>
        </is>
      </c>
      <c r="C29" s="6" t="inlineStr">
        <is>
          <t>Legal, advisory, financing</t>
        </is>
      </c>
      <c r="D29" s="26" t="n">
        <v>0.015</v>
      </c>
    </row>
    <row r="30">
      <c r="A30" s="5" t="inlineStr">
        <is>
          <t>Exit Multiple</t>
        </is>
      </c>
      <c r="B30" s="6" t="inlineStr">
        <is>
          <t>x</t>
        </is>
      </c>
      <c r="C30" s="6" t="inlineStr">
        <is>
          <t>On exit year EBITDA</t>
        </is>
      </c>
      <c r="D30" s="27" t="n">
        <v>7</v>
      </c>
    </row>
    <row r="31">
      <c r="A31" s="5" t="inlineStr">
        <is>
          <t>Exit Year</t>
        </is>
      </c>
      <c r="B31" s="6" t="inlineStr">
        <is>
          <t>#</t>
        </is>
      </c>
      <c r="C31" s="6" t="inlineStr">
        <is>
          <t>Hold period</t>
        </is>
      </c>
      <c r="D31" s="14" t="n">
        <v>7</v>
      </c>
    </row>
    <row r="33">
      <c r="A33" s="3" t="inlineStr">
        <is>
          <t>ASSET INPUTS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5" t="inlineStr">
        <is>
          <t>Capacity</t>
        </is>
      </c>
      <c r="B34" s="6" t="inlineStr">
        <is>
          <t>MW</t>
        </is>
      </c>
      <c r="C34" s="6" t="inlineStr">
        <is>
          <t>Nameplate rating</t>
        </is>
      </c>
      <c r="D34" s="14" t="n">
        <v>365</v>
      </c>
    </row>
    <row r="35">
      <c r="A35" s="5" t="inlineStr">
        <is>
          <t>Heat Rate</t>
        </is>
      </c>
      <c r="B35" s="6" t="inlineStr">
        <is>
          <t>Btu/kWh</t>
        </is>
      </c>
      <c r="C35" s="6" t="inlineStr">
        <is>
          <t>Efficiency (lower = better)</t>
        </is>
      </c>
      <c r="D35" s="14" t="n">
        <v>7000</v>
      </c>
    </row>
    <row r="36">
      <c r="A36" s="5" t="inlineStr">
        <is>
          <t>Capacity Factor</t>
        </is>
      </c>
      <c r="B36" s="6" t="inlineStr">
        <is>
          <t>%</t>
        </is>
      </c>
      <c r="C36" s="6" t="inlineStr">
        <is>
          <t>Annual utilization</t>
        </is>
      </c>
      <c r="D36" s="26" t="n">
        <v>0.55</v>
      </c>
    </row>
    <row r="37">
      <c r="A37" s="5" t="inlineStr">
        <is>
          <t>Forced Outage Rate</t>
        </is>
      </c>
      <c r="B37" s="6" t="inlineStr">
        <is>
          <t>%</t>
        </is>
      </c>
      <c r="C37" s="6" t="inlineStr">
        <is>
          <t>Unplanned downtime</t>
        </is>
      </c>
      <c r="D37" s="26" t="n">
        <v>0.05</v>
      </c>
    </row>
    <row r="39">
      <c r="A39" s="3" t="inlineStr">
        <is>
          <t>PRICING INPUTS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5" t="inlineStr">
        <is>
          <t>Power Price Y1</t>
        </is>
      </c>
      <c r="B40" s="6" t="inlineStr">
        <is>
          <t>$/MWh</t>
        </is>
      </c>
      <c r="C40" s="6" t="inlineStr">
        <is>
          <t>Energy clearing price</t>
        </is>
      </c>
      <c r="D40" s="11" t="n">
        <v>48</v>
      </c>
    </row>
    <row r="41">
      <c r="A41" s="5" t="inlineStr">
        <is>
          <t>Capacity Price Y1</t>
        </is>
      </c>
      <c r="B41" s="6" t="inlineStr">
        <is>
          <t>$/kW-yr</t>
        </is>
      </c>
      <c r="C41" s="6" t="inlineStr">
        <is>
          <t>ICAP/RPM auction result</t>
        </is>
      </c>
      <c r="D41" s="11" t="n">
        <v>110</v>
      </c>
    </row>
    <row r="42">
      <c r="A42" s="5" t="inlineStr">
        <is>
          <t>Gas Price Y1</t>
        </is>
      </c>
      <c r="B42" s="6" t="inlineStr">
        <is>
          <t>$/mmBtu</t>
        </is>
      </c>
      <c r="C42" s="6" t="inlineStr">
        <is>
          <t>Henry Hub + basis</t>
        </is>
      </c>
      <c r="D42" s="15" t="n">
        <v>3</v>
      </c>
    </row>
    <row r="43">
      <c r="A43" s="5" t="inlineStr">
        <is>
          <t>Escalation</t>
        </is>
      </c>
      <c r="B43" s="6" t="inlineStr">
        <is>
          <t>%/yr</t>
        </is>
      </c>
      <c r="C43" s="6" t="inlineStr">
        <is>
          <t>Applied to all prices/costs</t>
        </is>
      </c>
      <c r="D43" s="26" t="n">
        <v>0.025</v>
      </c>
    </row>
    <row r="45">
      <c r="A45" s="3" t="inlineStr">
        <is>
          <t>COST INPUTS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5" t="inlineStr">
        <is>
          <t>VOM</t>
        </is>
      </c>
      <c r="B46" s="6" t="inlineStr">
        <is>
          <t>$/MWh</t>
        </is>
      </c>
      <c r="C46" s="6" t="inlineStr">
        <is>
          <t>Variable O&amp;M</t>
        </is>
      </c>
      <c r="D46" s="15" t="n">
        <v>3.5</v>
      </c>
    </row>
    <row r="47">
      <c r="A47" s="5" t="inlineStr">
        <is>
          <t>FOM</t>
        </is>
      </c>
      <c r="B47" s="6" t="inlineStr">
        <is>
          <t>$/kW-yr</t>
        </is>
      </c>
      <c r="C47" s="6" t="inlineStr">
        <is>
          <t>Fixed O&amp;M</t>
        </is>
      </c>
      <c r="D47" s="15" t="n">
        <v>15</v>
      </c>
    </row>
    <row r="49">
      <c r="A49" s="3" t="inlineStr">
        <is>
          <t>FINANCING INPUTS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5" t="inlineStr">
        <is>
          <t>Leverage</t>
        </is>
      </c>
      <c r="B50" s="6" t="inlineStr">
        <is>
          <t>%</t>
        </is>
      </c>
      <c r="C50" s="6" t="inlineStr">
        <is>
          <t>Debt / Entry EV</t>
        </is>
      </c>
      <c r="D50" s="26" t="n">
        <v>0.45</v>
      </c>
    </row>
    <row r="51">
      <c r="A51" s="5" t="inlineStr">
        <is>
          <t>Interest Rate</t>
        </is>
      </c>
      <c r="B51" s="6" t="inlineStr">
        <is>
          <t>%</t>
        </is>
      </c>
      <c r="C51" s="6" t="inlineStr">
        <is>
          <t>All-in borrowing cost</t>
        </is>
      </c>
      <c r="D51" s="26" t="n">
        <v>0.065</v>
      </c>
    </row>
    <row r="52">
      <c r="A52" s="5" t="inlineStr">
        <is>
          <t>Debt Tenor</t>
        </is>
      </c>
      <c r="B52" s="6" t="inlineStr">
        <is>
          <t>years</t>
        </is>
      </c>
      <c r="C52" s="6" t="inlineStr">
        <is>
          <t>Amortization period</t>
        </is>
      </c>
      <c r="D52" s="14" t="n">
        <v>7</v>
      </c>
    </row>
    <row r="53">
      <c r="A53" s="5" t="inlineStr">
        <is>
          <t>DSRA Months</t>
        </is>
      </c>
      <c r="B53" s="6" t="inlineStr">
        <is>
          <t>months</t>
        </is>
      </c>
      <c r="C53" s="6" t="inlineStr">
        <is>
          <t>Debt service reserve</t>
        </is>
      </c>
      <c r="D53" s="14" t="n">
        <v>6</v>
      </c>
    </row>
    <row r="54">
      <c r="A54" s="5" t="inlineStr">
        <is>
          <t>Cash Sweep %</t>
        </is>
      </c>
      <c r="B54" s="6" t="inlineStr">
        <is>
          <t>%</t>
        </is>
      </c>
      <c r="C54" s="6" t="inlineStr">
        <is>
          <t>Mandatory excess CF prepay</t>
        </is>
      </c>
      <c r="D54" s="26" t="n">
        <v>0.75</v>
      </c>
    </row>
    <row r="55">
      <c r="A55" s="5" t="inlineStr">
        <is>
          <t>Lock-up DSCR</t>
        </is>
      </c>
      <c r="B55" s="6" t="inlineStr">
        <is>
          <t>x</t>
        </is>
      </c>
      <c r="C55" s="6" t="inlineStr">
        <is>
          <t>Distribution threshold</t>
        </is>
      </c>
      <c r="D55" s="27" t="n">
        <v>1.1</v>
      </c>
    </row>
    <row r="57">
      <c r="A57" s="3" t="inlineStr">
        <is>
          <t>TAX INPUTS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5" t="inlineStr">
        <is>
          <t>Tax Rate</t>
        </is>
      </c>
      <c r="B58" s="6" t="inlineStr">
        <is>
          <t>%</t>
        </is>
      </c>
      <c r="C58" s="6" t="inlineStr">
        <is>
          <t>Blended federal + state</t>
        </is>
      </c>
      <c r="D58" s="26" t="n">
        <v>0.25</v>
      </c>
    </row>
    <row r="59">
      <c r="A59" s="5" t="inlineStr">
        <is>
          <t>Depreciable Basis</t>
        </is>
      </c>
      <c r="B59" s="6" t="inlineStr">
        <is>
          <t>%</t>
        </is>
      </c>
      <c r="C59" s="6" t="inlineStr">
        <is>
          <t>% of EV for depreciation</t>
        </is>
      </c>
      <c r="D59" s="26" t="n">
        <v>0.85</v>
      </c>
    </row>
    <row r="60">
      <c r="A60" s="5" t="inlineStr">
        <is>
          <t>Depreciation Life</t>
        </is>
      </c>
      <c r="B60" s="6" t="inlineStr">
        <is>
          <t>years</t>
        </is>
      </c>
      <c r="C60" s="6" t="inlineStr">
        <is>
          <t>Straight-line</t>
        </is>
      </c>
      <c r="D60" s="14" t="n">
        <v>15</v>
      </c>
    </row>
    <row r="63">
      <c r="A63" s="3" t="inlineStr">
        <is>
          <t>CALCULATED ITEMS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5" t="inlineStr">
        <is>
          <t>UCAP (Unforced Capacity)</t>
        </is>
      </c>
      <c r="B64" s="6" t="inlineStr">
        <is>
          <t>MW</t>
        </is>
      </c>
      <c r="C64" s="6" t="inlineStr">
        <is>
          <t>Capacity × (1 - FOR)</t>
        </is>
      </c>
      <c r="D64" s="16">
        <f>$D$34*(1-$D$37)</f>
        <v/>
      </c>
    </row>
    <row r="65">
      <c r="A65" s="5" t="inlineStr">
        <is>
          <t>Annual Generation</t>
        </is>
      </c>
      <c r="B65" s="6" t="inlineStr">
        <is>
          <t>MWh</t>
        </is>
      </c>
      <c r="C65" s="6" t="inlineStr">
        <is>
          <t>Capacity × CF × 8,760</t>
        </is>
      </c>
      <c r="D65" s="17">
        <f>$D$34*$D$36*8760*(1-$D$37)</f>
        <v/>
      </c>
    </row>
    <row r="66">
      <c r="A66" s="5" t="inlineStr">
        <is>
          <t>Debt Amount</t>
        </is>
      </c>
      <c r="B66" s="6" t="inlineStr">
        <is>
          <t>$mm</t>
        </is>
      </c>
      <c r="C66" s="6" t="inlineStr">
        <is>
          <t>Entry EV × Leverage</t>
        </is>
      </c>
      <c r="D66" s="18">
        <f>$D$28*$D$50</f>
        <v/>
      </c>
    </row>
    <row r="67">
      <c r="A67" s="5" t="inlineStr">
        <is>
          <t>Annual Depreciation</t>
        </is>
      </c>
      <c r="B67" s="6" t="inlineStr">
        <is>
          <t>$mm</t>
        </is>
      </c>
      <c r="C67" s="6" t="inlineStr">
        <is>
          <t>EV × Basis / Life</t>
        </is>
      </c>
      <c r="D67" s="18">
        <f>$D$28*$D$59/$D$60</f>
        <v/>
      </c>
    </row>
    <row r="68">
      <c r="A68" s="5" t="inlineStr">
        <is>
          <t>Scheduled Principal</t>
        </is>
      </c>
      <c r="B68" s="6" t="inlineStr">
        <is>
          <t>$mm/yr</t>
        </is>
      </c>
      <c r="C68" s="6" t="inlineStr">
        <is>
          <t>Debt / Tenor</t>
        </is>
      </c>
      <c r="D68" s="18">
        <f>$D$66/$D$52</f>
        <v/>
      </c>
    </row>
    <row r="71">
      <c r="A71" s="3" t="inlineStr">
        <is>
          <t>OPERATING MODEL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5" t="inlineStr">
        <is>
          <t>Power Price</t>
        </is>
      </c>
      <c r="B72" s="6" t="inlineStr">
        <is>
          <t>$/MWh</t>
        </is>
      </c>
      <c r="C72" s="6" t="inlineStr">
        <is>
          <t>Escalated</t>
        </is>
      </c>
      <c r="E72" s="18">
        <f>$D$40*(1+$D$43)^(1-1)</f>
        <v/>
      </c>
      <c r="F72" s="18">
        <f>$D$40*(1+$D$43)^(2-1)</f>
        <v/>
      </c>
      <c r="G72" s="18">
        <f>$D$40*(1+$D$43)^(3-1)</f>
        <v/>
      </c>
      <c r="H72" s="18">
        <f>$D$40*(1+$D$43)^(4-1)</f>
        <v/>
      </c>
      <c r="I72" s="18">
        <f>$D$40*(1+$D$43)^(5-1)</f>
        <v/>
      </c>
      <c r="J72" s="18">
        <f>$D$40*(1+$D$43)^(6-1)</f>
        <v/>
      </c>
      <c r="K72" s="18">
        <f>$D$40*(1+$D$43)^(7-1)</f>
        <v/>
      </c>
      <c r="L72" s="18">
        <f>$D$40*(1+$D$43)^(8-1)</f>
        <v/>
      </c>
      <c r="M72" s="18">
        <f>$D$40*(1+$D$43)^(9-1)</f>
        <v/>
      </c>
      <c r="N72" s="18">
        <f>$D$40*(1+$D$43)^(10-1)</f>
        <v/>
      </c>
    </row>
    <row r="73">
      <c r="A73" s="5" t="inlineStr">
        <is>
          <t>Capacity Price</t>
        </is>
      </c>
      <c r="B73" s="6" t="inlineStr">
        <is>
          <t>$/kW-yr</t>
        </is>
      </c>
      <c r="C73" s="6" t="inlineStr">
        <is>
          <t>Escalated</t>
        </is>
      </c>
      <c r="E73" s="18">
        <f>$D$41*(1+$D$43)^(1-1)</f>
        <v/>
      </c>
      <c r="F73" s="18">
        <f>$D$41*(1+$D$43)^(2-1)</f>
        <v/>
      </c>
      <c r="G73" s="18">
        <f>$D$41*(1+$D$43)^(3-1)</f>
        <v/>
      </c>
      <c r="H73" s="18">
        <f>$D$41*(1+$D$43)^(4-1)</f>
        <v/>
      </c>
      <c r="I73" s="18">
        <f>$D$41*(1+$D$43)^(5-1)</f>
        <v/>
      </c>
      <c r="J73" s="18">
        <f>$D$41*(1+$D$43)^(6-1)</f>
        <v/>
      </c>
      <c r="K73" s="18">
        <f>$D$41*(1+$D$43)^(7-1)</f>
        <v/>
      </c>
      <c r="L73" s="18">
        <f>$D$41*(1+$D$43)^(8-1)</f>
        <v/>
      </c>
      <c r="M73" s="18">
        <f>$D$41*(1+$D$43)^(9-1)</f>
        <v/>
      </c>
      <c r="N73" s="18">
        <f>$D$41*(1+$D$43)^(10-1)</f>
        <v/>
      </c>
    </row>
    <row r="74">
      <c r="A74" s="5" t="inlineStr">
        <is>
          <t>Gas Price</t>
        </is>
      </c>
      <c r="B74" s="6" t="inlineStr">
        <is>
          <t>$/mmBtu</t>
        </is>
      </c>
      <c r="C74" s="6" t="inlineStr">
        <is>
          <t>Escalated</t>
        </is>
      </c>
      <c r="E74" s="19">
        <f>$D$42*(1+$D$43)^(1-1)</f>
        <v/>
      </c>
      <c r="F74" s="19">
        <f>$D$42*(1+$D$43)^(2-1)</f>
        <v/>
      </c>
      <c r="G74" s="19">
        <f>$D$42*(1+$D$43)^(3-1)</f>
        <v/>
      </c>
      <c r="H74" s="19">
        <f>$D$42*(1+$D$43)^(4-1)</f>
        <v/>
      </c>
      <c r="I74" s="19">
        <f>$D$42*(1+$D$43)^(5-1)</f>
        <v/>
      </c>
      <c r="J74" s="19">
        <f>$D$42*(1+$D$43)^(6-1)</f>
        <v/>
      </c>
      <c r="K74" s="19">
        <f>$D$42*(1+$D$43)^(7-1)</f>
        <v/>
      </c>
      <c r="L74" s="19">
        <f>$D$42*(1+$D$43)^(8-1)</f>
        <v/>
      </c>
      <c r="M74" s="19">
        <f>$D$42*(1+$D$43)^(9-1)</f>
        <v/>
      </c>
      <c r="N74" s="19">
        <f>$D$42*(1+$D$43)^(10-1)</f>
        <v/>
      </c>
    </row>
    <row r="76">
      <c r="A76" s="5" t="inlineStr">
        <is>
          <t>Energy Revenue</t>
        </is>
      </c>
      <c r="B76" s="6" t="inlineStr">
        <is>
          <t>$mm</t>
        </is>
      </c>
      <c r="C76" s="6" t="inlineStr">
        <is>
          <t>Generation × Power Price / 1M</t>
        </is>
      </c>
      <c r="E76" s="18">
        <f>$D$65*E72/1000000</f>
        <v/>
      </c>
      <c r="F76" s="18">
        <f>$D$65*F72/1000000</f>
        <v/>
      </c>
      <c r="G76" s="18">
        <f>$D$65*G72/1000000</f>
        <v/>
      </c>
      <c r="H76" s="18">
        <f>$D$65*H72/1000000</f>
        <v/>
      </c>
      <c r="I76" s="18">
        <f>$D$65*I72/1000000</f>
        <v/>
      </c>
      <c r="J76" s="18">
        <f>$D$65*J72/1000000</f>
        <v/>
      </c>
      <c r="K76" s="18">
        <f>$D$65*K72/1000000</f>
        <v/>
      </c>
      <c r="L76" s="18">
        <f>$D$65*L72/1000000</f>
        <v/>
      </c>
      <c r="M76" s="18">
        <f>$D$65*M72/1000000</f>
        <v/>
      </c>
      <c r="N76" s="18">
        <f>$D$65*N72/1000000</f>
        <v/>
      </c>
    </row>
    <row r="77">
      <c r="A77" s="5" t="inlineStr">
        <is>
          <t>Capacity Revenue</t>
        </is>
      </c>
      <c r="B77" s="6" t="inlineStr">
        <is>
          <t>$mm</t>
        </is>
      </c>
      <c r="C77" s="6" t="inlineStr">
        <is>
          <t>UCAP × Cap Price × 1000 / 1M</t>
        </is>
      </c>
      <c r="E77" s="18">
        <f>$D$34*E73*1000/1000000</f>
        <v/>
      </c>
      <c r="F77" s="18">
        <f>$D$34*F73*1000/1000000</f>
        <v/>
      </c>
      <c r="G77" s="18">
        <f>$D$34*G73*1000/1000000</f>
        <v/>
      </c>
      <c r="H77" s="18">
        <f>$D$34*H73*1000/1000000</f>
        <v/>
      </c>
      <c r="I77" s="18">
        <f>$D$34*I73*1000/1000000</f>
        <v/>
      </c>
      <c r="J77" s="18">
        <f>$D$34*J73*1000/1000000</f>
        <v/>
      </c>
      <c r="K77" s="18">
        <f>$D$34*K73*1000/1000000</f>
        <v/>
      </c>
      <c r="L77" s="18">
        <f>$D$34*L73*1000/1000000</f>
        <v/>
      </c>
      <c r="M77" s="18">
        <f>$D$34*M73*1000/1000000</f>
        <v/>
      </c>
      <c r="N77" s="18">
        <f>$D$34*N73*1000/1000000</f>
        <v/>
      </c>
    </row>
    <row r="78">
      <c r="A78" s="5" t="inlineStr">
        <is>
          <t>Total Revenue</t>
        </is>
      </c>
      <c r="B78" s="6" t="inlineStr">
        <is>
          <t>$mm</t>
        </is>
      </c>
      <c r="C78" s="6" t="inlineStr"/>
      <c r="E78" s="20">
        <f>E76+E77</f>
        <v/>
      </c>
      <c r="F78" s="20">
        <f>F76+F77</f>
        <v/>
      </c>
      <c r="G78" s="20">
        <f>G76+G77</f>
        <v/>
      </c>
      <c r="H78" s="20">
        <f>H76+H77</f>
        <v/>
      </c>
      <c r="I78" s="20">
        <f>I76+I77</f>
        <v/>
      </c>
      <c r="J78" s="20">
        <f>J76+J77</f>
        <v/>
      </c>
      <c r="K78" s="20">
        <f>K76+K77</f>
        <v/>
      </c>
      <c r="L78" s="20">
        <f>L76+L77</f>
        <v/>
      </c>
      <c r="M78" s="20">
        <f>M76+M77</f>
        <v/>
      </c>
      <c r="N78" s="20">
        <f>N76+N77</f>
        <v/>
      </c>
    </row>
    <row r="80">
      <c r="A80" s="5" t="inlineStr">
        <is>
          <t>Fuel Cost</t>
        </is>
      </c>
      <c r="B80" s="6" t="inlineStr">
        <is>
          <t>$mm</t>
        </is>
      </c>
      <c r="C80" s="6" t="inlineStr">
        <is>
          <t>Gen × HR × Gas / 1B</t>
        </is>
      </c>
      <c r="E80" s="18">
        <f>$D$65*$D$35*E74/1000000000</f>
        <v/>
      </c>
      <c r="F80" s="18">
        <f>$D$65*$D$35*F74/1000000000</f>
        <v/>
      </c>
      <c r="G80" s="18">
        <f>$D$65*$D$35*G74/1000000000</f>
        <v/>
      </c>
      <c r="H80" s="18">
        <f>$D$65*$D$35*H74/1000000000</f>
        <v/>
      </c>
      <c r="I80" s="18">
        <f>$D$65*$D$35*I74/1000000000</f>
        <v/>
      </c>
      <c r="J80" s="18">
        <f>$D$65*$D$35*J74/1000000000</f>
        <v/>
      </c>
      <c r="K80" s="18">
        <f>$D$65*$D$35*K74/1000000000</f>
        <v/>
      </c>
      <c r="L80" s="18">
        <f>$D$65*$D$35*L74/1000000000</f>
        <v/>
      </c>
      <c r="M80" s="18">
        <f>$D$65*$D$35*M74/1000000000</f>
        <v/>
      </c>
      <c r="N80" s="18">
        <f>$D$65*$D$35*N74/1000000000</f>
        <v/>
      </c>
    </row>
    <row r="81">
      <c r="A81" s="32" t="inlineStr">
        <is>
          <t>Spark Spread</t>
        </is>
      </c>
      <c r="B81" t="inlineStr">
        <is>
          <t>$/MWh</t>
        </is>
      </c>
      <c r="C81" s="51" t="inlineStr">
        <is>
          <t>[WHAT] Spark Spread = Power Price - (Plant HR × Gas / 1000)
[WHY] Gross margin per MWh after fuel. Core driver of thermal profitability.
[RMHR EQUIVALENCE - For Interview Discussion]
Traders express this as "Market Heat Rate":</t>
        </is>
      </c>
      <c r="E81" s="52">
        <f>E72-($D$35/1000)*E74</f>
        <v/>
      </c>
      <c r="F81" s="52">
        <f>F72-($D$35/1000)*F74</f>
        <v/>
      </c>
      <c r="G81" s="52">
        <f>G72-($D$35/1000)*G74</f>
        <v/>
      </c>
      <c r="H81" s="52">
        <f>H72-($D$35/1000)*H74</f>
        <v/>
      </c>
      <c r="I81" s="52">
        <f>I72-($D$35/1000)*I74</f>
        <v/>
      </c>
      <c r="J81" s="52">
        <f>J72-($D$35/1000)*J74</f>
        <v/>
      </c>
      <c r="K81" s="52">
        <f>K72-($D$35/1000)*K74</f>
        <v/>
      </c>
      <c r="L81" s="52">
        <f>L72-($D$35/1000)*L74</f>
        <v/>
      </c>
      <c r="M81" s="52">
        <f>M72-($D$35/1000)*M74</f>
        <v/>
      </c>
      <c r="N81" s="52">
        <f>N72-($D$35/1000)*N74</f>
        <v/>
      </c>
    </row>
    <row r="82">
      <c r="A82" s="5" t="inlineStr">
        <is>
          <t>VOM</t>
        </is>
      </c>
      <c r="B82" s="6" t="inlineStr">
        <is>
          <t>$mm</t>
        </is>
      </c>
      <c r="C82" s="6" t="inlineStr">
        <is>
          <t>Generation × VOM rate / 1M</t>
        </is>
      </c>
      <c r="E82" s="18">
        <f>$D$65*$D$46/1000000</f>
        <v/>
      </c>
      <c r="F82" s="18">
        <f>$D$65*$D$46/1000000</f>
        <v/>
      </c>
      <c r="G82" s="18">
        <f>$D$65*$D$46/1000000</f>
        <v/>
      </c>
      <c r="H82" s="18">
        <f>$D$65*$D$46/1000000</f>
        <v/>
      </c>
      <c r="I82" s="18">
        <f>$D$65*$D$46/1000000</f>
        <v/>
      </c>
      <c r="J82" s="18">
        <f>$D$65*$D$46/1000000</f>
        <v/>
      </c>
      <c r="K82" s="18">
        <f>$D$65*$D$46/1000000</f>
        <v/>
      </c>
      <c r="L82" s="18">
        <f>$D$65*$D$46/1000000</f>
        <v/>
      </c>
      <c r="M82" s="18">
        <f>$D$65*$D$46/1000000</f>
        <v/>
      </c>
      <c r="N82" s="18">
        <f>$D$65*$D$46/1000000</f>
        <v/>
      </c>
    </row>
    <row r="83">
      <c r="A83" s="5" t="inlineStr">
        <is>
          <t>FOM</t>
        </is>
      </c>
      <c r="B83" s="6" t="inlineStr">
        <is>
          <t>$mm</t>
        </is>
      </c>
      <c r="C83" s="6" t="inlineStr">
        <is>
          <t>Capacity × FOM × esc × 1000 / 1M</t>
        </is>
      </c>
      <c r="E83" s="18">
        <f>$D$34*$D$47*1000/1000000</f>
        <v/>
      </c>
      <c r="F83" s="18">
        <f>$D$34*$D$47*1000/1000000</f>
        <v/>
      </c>
      <c r="G83" s="18">
        <f>$D$34*$D$47*1000/1000000</f>
        <v/>
      </c>
      <c r="H83" s="18">
        <f>$D$34*$D$47*1000/1000000</f>
        <v/>
      </c>
      <c r="I83" s="18">
        <f>$D$34*$D$47*1000/1000000</f>
        <v/>
      </c>
      <c r="J83" s="18">
        <f>$D$34*$D$47*1000/1000000</f>
        <v/>
      </c>
      <c r="K83" s="18">
        <f>$D$34*$D$47*1000/1000000</f>
        <v/>
      </c>
      <c r="L83" s="18">
        <f>$D$34*$D$47*1000/1000000</f>
        <v/>
      </c>
      <c r="M83" s="18">
        <f>$D$34*$D$47*1000/1000000</f>
        <v/>
      </c>
      <c r="N83" s="18">
        <f>$D$34*$D$47*1000/1000000</f>
        <v/>
      </c>
    </row>
    <row r="84">
      <c r="A84" s="5" t="inlineStr">
        <is>
          <t>Total Operating Costs</t>
        </is>
      </c>
      <c r="B84" s="6" t="inlineStr">
        <is>
          <t>$mm</t>
        </is>
      </c>
      <c r="C84" s="6" t="inlineStr"/>
      <c r="E84" s="18">
        <f>E80+E82+E83</f>
        <v/>
      </c>
      <c r="F84" s="18">
        <f>F80+F82+F83</f>
        <v/>
      </c>
      <c r="G84" s="18">
        <f>G80+G82+G83</f>
        <v/>
      </c>
      <c r="H84" s="18">
        <f>H80+H82+H83</f>
        <v/>
      </c>
      <c r="I84" s="18">
        <f>I80+I82+I83</f>
        <v/>
      </c>
      <c r="J84" s="18">
        <f>J80+J82+J83</f>
        <v/>
      </c>
      <c r="K84" s="18">
        <f>K80+K82+K83</f>
        <v/>
      </c>
      <c r="L84" s="18">
        <f>L80+L82+L83</f>
        <v/>
      </c>
      <c r="M84" s="18">
        <f>M80+M82+M83</f>
        <v/>
      </c>
      <c r="N84" s="18">
        <f>N80+N82+N83</f>
        <v/>
      </c>
    </row>
    <row r="86">
      <c r="A86" s="5" t="inlineStr">
        <is>
          <t>EBITDA</t>
        </is>
      </c>
      <c r="B86" s="6" t="inlineStr">
        <is>
          <t>$mm</t>
        </is>
      </c>
      <c r="C86" s="6" t="inlineStr">
        <is>
          <t>Revenue minus OpEx</t>
        </is>
      </c>
      <c r="E86" s="7">
        <f>E78-E84</f>
        <v/>
      </c>
      <c r="F86" s="7">
        <f>F78-F84</f>
        <v/>
      </c>
      <c r="G86" s="7">
        <f>G78-G84</f>
        <v/>
      </c>
      <c r="H86" s="7">
        <f>H78-H84</f>
        <v/>
      </c>
      <c r="I86" s="7">
        <f>I78-I84</f>
        <v/>
      </c>
      <c r="J86" s="7">
        <f>J78-J84</f>
        <v/>
      </c>
      <c r="K86" s="7">
        <f>K78-K84</f>
        <v/>
      </c>
      <c r="L86" s="7">
        <f>L78-L84</f>
        <v/>
      </c>
      <c r="M86" s="7">
        <f>M78-M84</f>
        <v/>
      </c>
      <c r="N86" s="7">
        <f>N78-N84</f>
        <v/>
      </c>
    </row>
    <row r="89">
      <c r="A89" s="3" t="inlineStr">
        <is>
          <t>CASH FLOW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5" t="inlineStr">
        <is>
          <t>EBIT</t>
        </is>
      </c>
      <c r="B90" s="6" t="inlineStr">
        <is>
          <t>$mm</t>
        </is>
      </c>
      <c r="C90" s="6" t="inlineStr">
        <is>
          <t>EBITDA - Depreciation</t>
        </is>
      </c>
      <c r="E90" s="18">
        <f>E86-$D$67</f>
        <v/>
      </c>
      <c r="F90" s="18">
        <f>F86-$D$67</f>
        <v/>
      </c>
      <c r="G90" s="18">
        <f>G86-$D$67</f>
        <v/>
      </c>
      <c r="H90" s="18">
        <f>H86-$D$67</f>
        <v/>
      </c>
      <c r="I90" s="18">
        <f>I86-$D$67</f>
        <v/>
      </c>
      <c r="J90" s="18">
        <f>J86-$D$67</f>
        <v/>
      </c>
      <c r="K90" s="18">
        <f>K86-$D$67</f>
        <v/>
      </c>
      <c r="L90" s="18">
        <f>L86-$D$67</f>
        <v/>
      </c>
      <c r="M90" s="18">
        <f>M86-$D$67</f>
        <v/>
      </c>
      <c r="N90" s="18">
        <f>N86-$D$67</f>
        <v/>
      </c>
    </row>
    <row r="91">
      <c r="A91" s="5" t="inlineStr">
        <is>
          <t>Taxes</t>
        </is>
      </c>
      <c r="B91" s="6" t="inlineStr">
        <is>
          <t>$mm</t>
        </is>
      </c>
      <c r="C91" s="6" t="inlineStr">
        <is>
          <t>MAX(0, EBIT) × Tax Rate</t>
        </is>
      </c>
      <c r="E91" s="18">
        <f>MAX(0,E90)*$D$58</f>
        <v/>
      </c>
      <c r="F91" s="18">
        <f>MAX(0,F90)*$D$58</f>
        <v/>
      </c>
      <c r="G91" s="18">
        <f>MAX(0,G90)*$D$58</f>
        <v/>
      </c>
      <c r="H91" s="18">
        <f>MAX(0,H90)*$D$58</f>
        <v/>
      </c>
      <c r="I91" s="18">
        <f>MAX(0,I90)*$D$58</f>
        <v/>
      </c>
      <c r="J91" s="18">
        <f>MAX(0,J90)*$D$58</f>
        <v/>
      </c>
      <c r="K91" s="18">
        <f>MAX(0,K90)*$D$58</f>
        <v/>
      </c>
      <c r="L91" s="18">
        <f>MAX(0,L90)*$D$58</f>
        <v/>
      </c>
      <c r="M91" s="18">
        <f>MAX(0,M90)*$D$58</f>
        <v/>
      </c>
      <c r="N91" s="18">
        <f>MAX(0,N90)*$D$58</f>
        <v/>
      </c>
    </row>
    <row r="92">
      <c r="A92" s="5" t="inlineStr">
        <is>
          <t>CFADS</t>
        </is>
      </c>
      <c r="B92" s="6" t="inlineStr">
        <is>
          <t>$mm</t>
        </is>
      </c>
      <c r="C92" s="6" t="inlineStr">
        <is>
          <t>EBITDA - Taxes</t>
        </is>
      </c>
      <c r="E92" s="7">
        <f>E86-E91</f>
        <v/>
      </c>
      <c r="F92" s="7">
        <f>F86-F91</f>
        <v/>
      </c>
      <c r="G92" s="7">
        <f>G86-G91</f>
        <v/>
      </c>
      <c r="H92" s="7">
        <f>H86-H91</f>
        <v/>
      </c>
      <c r="I92" s="7">
        <f>I86-I91</f>
        <v/>
      </c>
      <c r="J92" s="7">
        <f>J86-J91</f>
        <v/>
      </c>
      <c r="K92" s="7">
        <f>K86-K91</f>
        <v/>
      </c>
      <c r="L92" s="7">
        <f>L86-L91</f>
        <v/>
      </c>
      <c r="M92" s="7">
        <f>M86-M91</f>
        <v/>
      </c>
      <c r="N92" s="7">
        <f>N86-N91</f>
        <v/>
      </c>
    </row>
    <row r="95">
      <c r="A95" s="3" t="inlineStr">
        <is>
          <t>DEBT SCHEDULE (75% Cash Sweep)</t>
        </is>
      </c>
      <c r="B95" s="4" t="n"/>
      <c r="C95" s="4" t="inlineStr">
        <is>
          <t>MIN(Excess×%, Bal−Sched)</t>
        </is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5" t="inlineStr">
        <is>
          <t>Beginning Balance</t>
        </is>
      </c>
      <c r="B96" s="6" t="inlineStr">
        <is>
          <t>$mm</t>
        </is>
      </c>
      <c r="C96" s="6" t="inlineStr"/>
      <c r="D96" t="n">
        <v>0</v>
      </c>
      <c r="E96" s="18">
        <f>$D$66</f>
        <v/>
      </c>
      <c r="F96" s="18">
        <f>E103</f>
        <v/>
      </c>
      <c r="G96" s="18">
        <f>F103</f>
        <v/>
      </c>
      <c r="H96" s="18">
        <f>G103</f>
        <v/>
      </c>
      <c r="I96" s="18">
        <f>H103</f>
        <v/>
      </c>
      <c r="J96" s="18">
        <f>I103</f>
        <v/>
      </c>
      <c r="K96" s="18">
        <f>J103</f>
        <v/>
      </c>
      <c r="L96" s="18">
        <f>K103</f>
        <v/>
      </c>
      <c r="M96" s="18">
        <f>L103</f>
        <v/>
      </c>
      <c r="N96" s="18">
        <f>M103</f>
        <v/>
      </c>
    </row>
    <row r="97">
      <c r="A97" s="5" t="inlineStr">
        <is>
          <t>Interest</t>
        </is>
      </c>
      <c r="B97" s="6" t="inlineStr">
        <is>
          <t>$mm</t>
        </is>
      </c>
      <c r="C97" s="6" t="inlineStr">
        <is>
          <t>Beg Bal × Int Rate</t>
        </is>
      </c>
      <c r="E97" s="18">
        <f>E96*$D$51</f>
        <v/>
      </c>
      <c r="F97" s="18">
        <f>F96*$D$51</f>
        <v/>
      </c>
      <c r="G97" s="18">
        <f>G96*$D$51</f>
        <v/>
      </c>
      <c r="H97" s="18">
        <f>H96*$D$51</f>
        <v/>
      </c>
      <c r="I97" s="18">
        <f>I96*$D$51</f>
        <v/>
      </c>
      <c r="J97" s="18">
        <f>J96*$D$51</f>
        <v/>
      </c>
      <c r="K97" s="18">
        <f>K96*$D$51</f>
        <v/>
      </c>
      <c r="L97" s="18">
        <f>L96*$D$51</f>
        <v/>
      </c>
      <c r="M97" s="18">
        <f>M96*$D$51</f>
        <v/>
      </c>
      <c r="N97" s="18">
        <f>N96*$D$51</f>
        <v/>
      </c>
    </row>
    <row r="98">
      <c r="A98" s="5" t="inlineStr">
        <is>
          <t>Scheduled Principal</t>
        </is>
      </c>
      <c r="B98" s="6" t="inlineStr">
        <is>
          <t>$mm</t>
        </is>
      </c>
      <c r="C98" s="6" t="inlineStr">
        <is>
          <t>MIN(Sched, Beg Bal)</t>
        </is>
      </c>
      <c r="E98" s="18">
        <f>MIN($D$68,E96)</f>
        <v/>
      </c>
      <c r="F98" s="18">
        <f>MIN($D$68,F96)</f>
        <v/>
      </c>
      <c r="G98" s="18">
        <f>MIN($D$68,G96)</f>
        <v/>
      </c>
      <c r="H98" s="18">
        <f>MIN($D$68,H96)</f>
        <v/>
      </c>
      <c r="I98" s="18">
        <f>MIN($D$68,I96)</f>
        <v/>
      </c>
      <c r="J98" s="18">
        <f>MIN($D$68,J96)</f>
        <v/>
      </c>
      <c r="K98" s="18">
        <f>MIN($D$68,K96)</f>
        <v/>
      </c>
      <c r="L98" s="18">
        <f>MIN($D$68,L96)</f>
        <v/>
      </c>
      <c r="M98" s="18">
        <f>MIN($D$68,M96)</f>
        <v/>
      </c>
      <c r="N98" s="18">
        <f>MIN($D$68,N96)</f>
        <v/>
      </c>
    </row>
    <row r="99">
      <c r="A99" s="5" t="inlineStr">
        <is>
          <t>Debt Service (Pre-Sweep)</t>
        </is>
      </c>
      <c r="B99" s="6" t="inlineStr">
        <is>
          <t>$mm</t>
        </is>
      </c>
      <c r="C99" s="6" t="inlineStr">
        <is>
          <t>Interest + Sched Prin</t>
        </is>
      </c>
      <c r="E99" s="18">
        <f>E97+E98</f>
        <v/>
      </c>
      <c r="F99" s="18">
        <f>F97+F98</f>
        <v/>
      </c>
      <c r="G99" s="18">
        <f>G97+G98</f>
        <v/>
      </c>
      <c r="H99" s="18">
        <f>H97+H98</f>
        <v/>
      </c>
      <c r="I99" s="18">
        <f>I97+I98</f>
        <v/>
      </c>
      <c r="J99" s="18">
        <f>J97+J98</f>
        <v/>
      </c>
      <c r="K99" s="18">
        <f>K97+K98</f>
        <v/>
      </c>
      <c r="L99" s="18">
        <f>L97+L98</f>
        <v/>
      </c>
      <c r="M99" s="18">
        <f>M97+M98</f>
        <v/>
      </c>
      <c r="N99" s="18">
        <f>N97+N98</f>
        <v/>
      </c>
    </row>
    <row r="100">
      <c r="A100" s="5" t="inlineStr">
        <is>
          <t>Excess Cash</t>
        </is>
      </c>
      <c r="B100" s="6" t="inlineStr">
        <is>
          <t>$mm</t>
        </is>
      </c>
      <c r="C100" s="6" t="inlineStr">
        <is>
          <t>CFADS - DS - DSRA Funding</t>
        </is>
      </c>
      <c r="E100" s="18">
        <f>MAX(0,E92-E99-E110)</f>
        <v/>
      </c>
      <c r="F100" s="18">
        <f>MAX(0,F92-F99-F110)</f>
        <v/>
      </c>
      <c r="G100" s="18">
        <f>MAX(0,G92-G99-G110)</f>
        <v/>
      </c>
      <c r="H100" s="18">
        <f>MAX(0,H92-H99-H110)</f>
        <v/>
      </c>
      <c r="I100" s="18">
        <f>MAX(0,I92-I99-I110)</f>
        <v/>
      </c>
      <c r="J100" s="18">
        <f>MAX(0,J92-J99-J110)</f>
        <v/>
      </c>
      <c r="K100" s="18">
        <f>MAX(0,K92-K99-K110)</f>
        <v/>
      </c>
      <c r="L100" s="18">
        <f>MAX(0,L92-L99-L110)</f>
        <v/>
      </c>
      <c r="M100" s="18">
        <f>MAX(0,M92-M99-M110)</f>
        <v/>
      </c>
      <c r="N100" s="18">
        <f>MAX(0,N92-N99-N110)</f>
        <v/>
      </c>
    </row>
    <row r="101">
      <c r="A101" s="5" t="inlineStr">
        <is>
          <t>Cash Sweep</t>
        </is>
      </c>
      <c r="B101" s="6" t="inlineStr">
        <is>
          <t>$mm</t>
        </is>
      </c>
      <c r="C101" s="6" t="inlineStr">
        <is>
          <t>MIN(Excess×Sweep%, Beg-Sched)</t>
        </is>
      </c>
      <c r="E101" s="21">
        <f>MIN(E100*$D$54,MAX(0,E96-E98))</f>
        <v/>
      </c>
      <c r="F101" s="21">
        <f>MIN(F100*$D$54,MAX(0,F96-F98))</f>
        <v/>
      </c>
      <c r="G101" s="21">
        <f>MIN(G100*$D$54,MAX(0,G96-G98))</f>
        <v/>
      </c>
      <c r="H101" s="21">
        <f>MIN(H100*$D$54,MAX(0,H96-H98))</f>
        <v/>
      </c>
      <c r="I101" s="21">
        <f>MIN(I100*$D$54,MAX(0,I96-I98))</f>
        <v/>
      </c>
      <c r="J101" s="21">
        <f>MIN(J100*$D$54,MAX(0,J96-J98))</f>
        <v/>
      </c>
      <c r="K101" s="21">
        <f>MIN(K100*$D$54,MAX(0,K96-K98))</f>
        <v/>
      </c>
      <c r="L101" s="21">
        <f>MIN(L100*$D$54,MAX(0,L96-L98))</f>
        <v/>
      </c>
      <c r="M101" s="21">
        <f>MIN(M100*$D$54,MAX(0,M96-M98))</f>
        <v/>
      </c>
      <c r="N101" s="21">
        <f>MIN(N100*$D$54,MAX(0,N96-N98))</f>
        <v/>
      </c>
    </row>
    <row r="102">
      <c r="A102" s="5" t="inlineStr">
        <is>
          <t>Total Principal</t>
        </is>
      </c>
      <c r="B102" s="6" t="inlineStr">
        <is>
          <t>$mm</t>
        </is>
      </c>
      <c r="C102" s="6" t="inlineStr">
        <is>
          <t>Scheduled + Sweep</t>
        </is>
      </c>
      <c r="E102" s="18">
        <f>E98+E101</f>
        <v/>
      </c>
      <c r="F102" s="18">
        <f>F98+F101</f>
        <v/>
      </c>
      <c r="G102" s="18">
        <f>G98+G101</f>
        <v/>
      </c>
      <c r="H102" s="18">
        <f>H98+H101</f>
        <v/>
      </c>
      <c r="I102" s="18">
        <f>I98+I101</f>
        <v/>
      </c>
      <c r="J102" s="18">
        <f>J98+J101</f>
        <v/>
      </c>
      <c r="K102" s="18">
        <f>K98+K101</f>
        <v/>
      </c>
      <c r="L102" s="18">
        <f>L98+L101</f>
        <v/>
      </c>
      <c r="M102" s="18">
        <f>M98+M101</f>
        <v/>
      </c>
      <c r="N102" s="18">
        <f>N98+N101</f>
        <v/>
      </c>
    </row>
    <row r="103">
      <c r="A103" s="5" t="inlineStr">
        <is>
          <t>Ending Balance</t>
        </is>
      </c>
      <c r="B103" s="6" t="inlineStr">
        <is>
          <t>$mm</t>
        </is>
      </c>
      <c r="C103" s="6" t="inlineStr">
        <is>
          <t>MAX(0, Beg - Total Prin)</t>
        </is>
      </c>
      <c r="D103">
        <f>$D$66</f>
        <v/>
      </c>
      <c r="E103" s="18">
        <f>MAX(0,E96-E102)</f>
        <v/>
      </c>
      <c r="F103" s="18">
        <f>MAX(0,F96-F102)</f>
        <v/>
      </c>
      <c r="G103" s="18">
        <f>MAX(0,G96-G102)</f>
        <v/>
      </c>
      <c r="H103" s="18">
        <f>MAX(0,H96-H102)</f>
        <v/>
      </c>
      <c r="I103" s="18">
        <f>MAX(0,I96-I102)</f>
        <v/>
      </c>
      <c r="J103" s="18">
        <f>MAX(0,J96-J102)</f>
        <v/>
      </c>
      <c r="K103" s="18">
        <f>MAX(0,K96-K102)</f>
        <v/>
      </c>
      <c r="L103" s="18">
        <f>MAX(0,L96-L102)</f>
        <v/>
      </c>
      <c r="M103" s="18">
        <f>MAX(0,M96-M102)</f>
        <v/>
      </c>
      <c r="N103" s="18">
        <f>MAX(0,N96-N102)</f>
        <v/>
      </c>
    </row>
    <row r="104">
      <c r="A104" s="5" t="inlineStr">
        <is>
          <t>DSCR</t>
        </is>
      </c>
      <c r="B104" s="6" t="inlineStr">
        <is>
          <t>x</t>
        </is>
      </c>
      <c r="C104" s="6" t="inlineStr">
        <is>
          <t>CFADS / Debt Service</t>
        </is>
      </c>
      <c r="E104" s="24">
        <f>IF(E99&gt;0,E92/E99,0)</f>
        <v/>
      </c>
      <c r="F104" s="24">
        <f>IF(F99&gt;0,F92/F99,0)</f>
        <v/>
      </c>
      <c r="G104" s="24">
        <f>IF(G99&gt;0,G92/G99,0)</f>
        <v/>
      </c>
      <c r="H104" s="24">
        <f>IF(H99&gt;0,H92/H99,0)</f>
        <v/>
      </c>
      <c r="I104" s="24">
        <f>IF(I99&gt;0,I92/I99,0)</f>
        <v/>
      </c>
      <c r="J104" s="24">
        <f>IF(J99&gt;0,J92/J99,0)</f>
        <v/>
      </c>
      <c r="K104" s="24">
        <f>IF(K99&gt;0,K92/K99,0)</f>
        <v/>
      </c>
      <c r="L104" s="24">
        <f>IF(L99&gt;0,L92/L99,0)</f>
        <v/>
      </c>
      <c r="M104" s="24">
        <f>IF(M99&gt;0,M92/M99,0)</f>
        <v/>
      </c>
      <c r="N104" s="24">
        <f>IF(N99&gt;0,N92/N99,0)</f>
        <v/>
      </c>
    </row>
    <row r="105">
      <c r="A105" s="5" t="inlineStr">
        <is>
          <t>Scheduled DS (for DSRA)</t>
        </is>
      </c>
      <c r="B105" s="6" t="inlineStr">
        <is>
          <t>$mm</t>
        </is>
      </c>
      <c r="C105" s="6" t="inlineStr">
        <is>
          <t>Based on straight-line amort, no sweep</t>
        </is>
      </c>
      <c r="E105" s="18">
        <f>MAX(0,$D$55-(1-1)*$D$57)*$D$40+$D$57</f>
        <v/>
      </c>
      <c r="F105" s="18">
        <f>MAX(0,$D$55-(2-1)*$D$57)*$D$40+$D$57</f>
        <v/>
      </c>
      <c r="G105" s="18">
        <f>MAX(0,$D$55-(3-1)*$D$57)*$D$40+$D$57</f>
        <v/>
      </c>
      <c r="H105" s="18">
        <f>MAX(0,$D$55-(4-1)*$D$57)*$D$40+$D$57</f>
        <v/>
      </c>
      <c r="I105" s="18">
        <f>MAX(0,$D$55-(5-1)*$D$57)*$D$40+$D$57</f>
        <v/>
      </c>
      <c r="J105" s="18">
        <f>MAX(0,$D$55-(6-1)*$D$57)*$D$40+$D$57</f>
        <v/>
      </c>
      <c r="K105" s="18">
        <f>MAX(0,$D$55-(7-1)*$D$57)*$D$40+$D$57</f>
        <v/>
      </c>
      <c r="L105" s="18">
        <f>MAX(0,$D$55-(8-1)*$D$57)*$D$40+$D$57</f>
        <v/>
      </c>
      <c r="M105" s="18">
        <f>MAX(0,$D$55-(9-1)*$D$57)*$D$40+$D$57</f>
        <v/>
      </c>
      <c r="N105" s="18">
        <f>MAX(0,$D$55-(10-1)*$D$57)*$D$40+$D$57</f>
        <v/>
      </c>
    </row>
    <row r="106">
      <c r="E106">
        <f>MAX(0,$D$66-(1-1)*$D$68)*$D$51+$D$68</f>
        <v/>
      </c>
      <c r="F106">
        <f>MAX(0,$D$66-(2-1)*$D$68)*$D$51+$D$68</f>
        <v/>
      </c>
      <c r="G106">
        <f>MAX(0,$D$66-(3-1)*$D$68)*$D$51+$D$68</f>
        <v/>
      </c>
      <c r="H106">
        <f>MAX(0,$D$66-(4-1)*$D$68)*$D$51+$D$68</f>
        <v/>
      </c>
      <c r="I106">
        <f>MAX(0,$D$66-(5-1)*$D$68)*$D$51+$D$68</f>
        <v/>
      </c>
      <c r="J106">
        <f>MAX(0,$D$66-(6-1)*$D$68)*$D$51+$D$68</f>
        <v/>
      </c>
      <c r="K106">
        <f>MAX(0,$D$66-(7-1)*$D$68)*$D$51+$D$68</f>
        <v/>
      </c>
      <c r="L106">
        <f>MAX(0,$D$66-(8-1)*$D$68)*$D$51+$D$68</f>
        <v/>
      </c>
      <c r="M106">
        <f>MAX(0,$D$66-(9-1)*$D$68)*$D$51+$D$68</f>
        <v/>
      </c>
      <c r="N106">
        <f>MAX(0,$D$66-(10-1)*$D$68)*$D$51+$D$68</f>
        <v/>
      </c>
    </row>
    <row r="107">
      <c r="A107" s="3" t="inlineStr">
        <is>
          <t>DSRA (Debt Service Reserve Account)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5" t="inlineStr">
        <is>
          <t>DSRA Target</t>
        </is>
      </c>
      <c r="B108" s="6" t="inlineStr">
        <is>
          <t>$mm</t>
        </is>
      </c>
      <c r="C108" s="6" t="inlineStr">
        <is>
          <t>Next Yr Scheduled DS × DSRA Months / 12</t>
        </is>
      </c>
      <c r="D108" s="18">
        <f>E93*$D$42/12</f>
        <v/>
      </c>
      <c r="E108" s="18">
        <f>F106*$D$53/12</f>
        <v/>
      </c>
      <c r="F108" s="18">
        <f>G106*$D$53/12</f>
        <v/>
      </c>
      <c r="G108" s="18">
        <f>H106*$D$53/12</f>
        <v/>
      </c>
      <c r="H108" s="18">
        <f>I106*$D$53/12</f>
        <v/>
      </c>
      <c r="I108" s="18">
        <f>J106*$D$53/12</f>
        <v/>
      </c>
      <c r="J108" s="18">
        <f>K106*$D$53/12</f>
        <v/>
      </c>
      <c r="K108" s="18">
        <f>L106*$D$53/12</f>
        <v/>
      </c>
      <c r="L108" s="18">
        <f>M106*$D$53/12</f>
        <v/>
      </c>
      <c r="M108" s="18">
        <f>N106*$D$53/12</f>
        <v/>
      </c>
      <c r="N108" s="18" t="n">
        <v>0</v>
      </c>
    </row>
    <row r="109">
      <c r="A109" s="5" t="inlineStr">
        <is>
          <t>DSRA Beginning</t>
        </is>
      </c>
      <c r="B109" s="6" t="inlineStr">
        <is>
          <t>$mm</t>
        </is>
      </c>
      <c r="C109" s="6" t="inlineStr"/>
      <c r="D109" s="18" t="n">
        <v>0</v>
      </c>
      <c r="E109" s="18">
        <f>D124</f>
        <v/>
      </c>
      <c r="F109" s="18">
        <f>E111</f>
        <v/>
      </c>
      <c r="G109" s="18">
        <f>F111</f>
        <v/>
      </c>
      <c r="H109" s="18">
        <f>G111</f>
        <v/>
      </c>
      <c r="I109" s="18">
        <f>H111</f>
        <v/>
      </c>
      <c r="J109" s="18">
        <f>I111</f>
        <v/>
      </c>
      <c r="K109" s="18">
        <f>J111</f>
        <v/>
      </c>
      <c r="L109" s="18">
        <f>K111</f>
        <v/>
      </c>
      <c r="M109" s="18">
        <f>L111</f>
        <v/>
      </c>
      <c r="N109" s="18">
        <f>M111</f>
        <v/>
      </c>
    </row>
    <row r="110">
      <c r="A110" s="5" t="inlineStr">
        <is>
          <t>DSRA Funding/(Release)</t>
        </is>
      </c>
      <c r="B110" s="6" t="inlineStr">
        <is>
          <t>$mm</t>
        </is>
      </c>
      <c r="C110" s="6" t="inlineStr">
        <is>
          <t>Target - Beginning</t>
        </is>
      </c>
      <c r="D110" s="18">
        <f>D96-D97</f>
        <v/>
      </c>
      <c r="E110" s="18">
        <f>E108-E109</f>
        <v/>
      </c>
      <c r="F110" s="18">
        <f>F108-F109</f>
        <v/>
      </c>
      <c r="G110" s="18">
        <f>G108-G109</f>
        <v/>
      </c>
      <c r="H110" s="18">
        <f>H108-H109</f>
        <v/>
      </c>
      <c r="I110" s="18">
        <f>I108-I109</f>
        <v/>
      </c>
      <c r="J110" s="18">
        <f>J108-J109</f>
        <v/>
      </c>
      <c r="K110" s="18">
        <f>K108-K109</f>
        <v/>
      </c>
      <c r="L110" s="18">
        <f>L108-L109</f>
        <v/>
      </c>
      <c r="M110" s="18">
        <f>M108-M109</f>
        <v/>
      </c>
      <c r="N110" s="18">
        <f>N108-N109</f>
        <v/>
      </c>
    </row>
    <row r="111">
      <c r="A111" s="5" t="inlineStr">
        <is>
          <t>DSRA Ending</t>
        </is>
      </c>
      <c r="B111" s="6" t="inlineStr">
        <is>
          <t>$mm</t>
        </is>
      </c>
      <c r="C111" s="6" t="inlineStr">
        <is>
          <t>Beginning + Funding</t>
        </is>
      </c>
      <c r="D111" s="18">
        <f>D97+D98</f>
        <v/>
      </c>
      <c r="E111" s="18">
        <f>E109+E110</f>
        <v/>
      </c>
      <c r="F111" s="18">
        <f>F109+F110</f>
        <v/>
      </c>
      <c r="G111" s="18">
        <f>G109+G110</f>
        <v/>
      </c>
      <c r="H111" s="18">
        <f>H109+H110</f>
        <v/>
      </c>
      <c r="I111" s="18">
        <f>I109+I110</f>
        <v/>
      </c>
      <c r="J111" s="18">
        <f>J109+J110</f>
        <v/>
      </c>
      <c r="K111" s="18">
        <f>K109+K110</f>
        <v/>
      </c>
      <c r="L111" s="18">
        <f>L109+L110</f>
        <v/>
      </c>
      <c r="M111" s="18">
        <f>M109+M110</f>
        <v/>
      </c>
      <c r="N111" s="18">
        <f>N109+N110</f>
        <v/>
      </c>
    </row>
    <row r="114">
      <c r="A114" s="3" t="inlineStr">
        <is>
          <t>DISTRIBUTION WATERFALL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5" t="inlineStr">
        <is>
          <t>Cash Available for Distribution</t>
        </is>
      </c>
      <c r="B115" s="6" t="inlineStr">
        <is>
          <t>$mm</t>
        </is>
      </c>
      <c r="C115" s="6" t="inlineStr">
        <is>
          <t>CFADS - Total DS - DSRA Fund</t>
        </is>
      </c>
      <c r="E115" s="18">
        <f>E92-E97-E102-E110</f>
        <v/>
      </c>
      <c r="F115" s="18">
        <f>F92-F97-F102-F110</f>
        <v/>
      </c>
      <c r="G115" s="18">
        <f>G92-G97-G102-G110</f>
        <v/>
      </c>
      <c r="H115" s="18">
        <f>H92-H97-H102-H110</f>
        <v/>
      </c>
      <c r="I115" s="18">
        <f>I92-I97-I102-I110</f>
        <v/>
      </c>
      <c r="J115" s="18">
        <f>J92-J97-J102-J110</f>
        <v/>
      </c>
      <c r="K115" s="18">
        <f>K92-K97-K102-K110</f>
        <v/>
      </c>
      <c r="L115" s="18">
        <f>L92-L97-L102-L110</f>
        <v/>
      </c>
      <c r="M115" s="18">
        <f>M92-M97-M102-M110</f>
        <v/>
      </c>
      <c r="N115" s="18">
        <f>N92-N97-N102-N110</f>
        <v/>
      </c>
    </row>
    <row r="116">
      <c r="A116" s="5" t="inlineStr">
        <is>
          <t>Lock-up Test</t>
        </is>
      </c>
      <c r="B116" s="6" t="inlineStr"/>
      <c r="C116" s="6" t="inlineStr">
        <is>
          <t>PASS if DSCR ≥ Lock-up</t>
        </is>
      </c>
      <c r="E116" s="22">
        <f>IF(E104&gt;=$D$55,"PASS","LOCKED")</f>
        <v/>
      </c>
      <c r="F116" s="22">
        <f>IF(F104&gt;=$D$55,"PASS","LOCKED")</f>
        <v/>
      </c>
      <c r="G116" s="22">
        <f>IF(G104&gt;=$D$55,"PASS","LOCKED")</f>
        <v/>
      </c>
      <c r="H116" s="22">
        <f>IF(H104&gt;=$D$55,"PASS","LOCKED")</f>
        <v/>
      </c>
      <c r="I116" s="22">
        <f>IF(I104&gt;=$D$55,"PASS","LOCKED")</f>
        <v/>
      </c>
      <c r="J116" s="22">
        <f>IF(J104&gt;=$D$55,"PASS","LOCKED")</f>
        <v/>
      </c>
      <c r="K116" s="22">
        <f>IF(K104&gt;=$D$55,"PASS","LOCKED")</f>
        <v/>
      </c>
      <c r="L116" s="22">
        <f>IF(L104&gt;=$D$55,"PASS","LOCKED")</f>
        <v/>
      </c>
      <c r="M116" s="22">
        <f>IF(M104&gt;=$D$55,"PASS","LOCKED")</f>
        <v/>
      </c>
      <c r="N116" s="22">
        <f>IF(N104&gt;=$D$55,"PASS","LOCKED")</f>
        <v/>
      </c>
    </row>
    <row r="117">
      <c r="A117" s="5" t="inlineStr">
        <is>
          <t>Distributable Cash</t>
        </is>
      </c>
      <c r="B117" s="6" t="inlineStr">
        <is>
          <t>$mm</t>
        </is>
      </c>
      <c r="C117" s="6" t="inlineStr">
        <is>
          <t>If PASS, MAX(0, Cash Avail)</t>
        </is>
      </c>
      <c r="E117" s="7">
        <f>IF(E116="PASS",MAX(0,E115),0)</f>
        <v/>
      </c>
      <c r="F117" s="7">
        <f>IF(F116="PASS",MAX(0,F115),0)</f>
        <v/>
      </c>
      <c r="G117" s="7">
        <f>IF(G116="PASS",MAX(0,G115),0)</f>
        <v/>
      </c>
      <c r="H117" s="7">
        <f>IF(H116="PASS",MAX(0,H115),0)</f>
        <v/>
      </c>
      <c r="I117" s="7">
        <f>IF(I116="PASS",MAX(0,I115),0)</f>
        <v/>
      </c>
      <c r="J117" s="7">
        <f>IF(J116="PASS",MAX(0,J115),0)</f>
        <v/>
      </c>
      <c r="K117" s="7">
        <f>IF(K116="PASS",MAX(0,K115),0)</f>
        <v/>
      </c>
      <c r="L117" s="7">
        <f>IF(L116="PASS",MAX(0,L115),0)</f>
        <v/>
      </c>
      <c r="M117" s="7">
        <f>IF(M116="PASS",MAX(0,M115),0)</f>
        <v/>
      </c>
      <c r="N117" s="7">
        <f>IF(N116="PASS",MAX(0,N115),0)</f>
        <v/>
      </c>
    </row>
    <row r="120">
      <c r="A120" s="3" t="inlineStr">
        <is>
          <t>SOURCES &amp; USES (Year 0)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3" t="inlineStr">
        <is>
          <t>USES</t>
        </is>
      </c>
      <c r="B121" s="6" t="inlineStr"/>
      <c r="C121" s="6" t="inlineStr"/>
    </row>
    <row r="122">
      <c r="A122" s="5" t="inlineStr">
        <is>
          <t xml:space="preserve">  Purchase Price</t>
        </is>
      </c>
      <c r="B122" s="6" t="inlineStr">
        <is>
          <t>$mm</t>
        </is>
      </c>
      <c r="C122" s="6" t="inlineStr"/>
      <c r="D122" s="18">
        <f>$D$28</f>
        <v/>
      </c>
    </row>
    <row r="123">
      <c r="A123" s="5" t="inlineStr">
        <is>
          <t xml:space="preserve">  Transaction Fees</t>
        </is>
      </c>
      <c r="B123" s="6" t="inlineStr">
        <is>
          <t>$mm</t>
        </is>
      </c>
      <c r="C123" s="6" t="inlineStr"/>
      <c r="D123" s="18">
        <f>$D$28*$D$29</f>
        <v/>
      </c>
    </row>
    <row r="124">
      <c r="A124" s="5" t="inlineStr">
        <is>
          <t xml:space="preserve">  DSRA Funding</t>
        </is>
      </c>
      <c r="B124" s="6" t="inlineStr">
        <is>
          <t>$mm</t>
        </is>
      </c>
      <c r="C124" s="6" t="inlineStr"/>
      <c r="D124" s="18">
        <f>E108</f>
        <v/>
      </c>
    </row>
    <row r="125">
      <c r="A125" s="5" t="inlineStr">
        <is>
          <t>Total Uses</t>
        </is>
      </c>
      <c r="B125" s="6" t="inlineStr">
        <is>
          <t>$mm</t>
        </is>
      </c>
      <c r="C125" s="6" t="inlineStr"/>
      <c r="D125" s="7">
        <f>D122+D123+D124</f>
        <v/>
      </c>
    </row>
    <row r="126">
      <c r="D126">
        <f>$D$28*$D$29</f>
        <v/>
      </c>
    </row>
    <row r="127">
      <c r="A127" s="23" t="inlineStr">
        <is>
          <t>SOURCES</t>
        </is>
      </c>
      <c r="B127" s="6" t="inlineStr"/>
      <c r="C127" s="6" t="inlineStr"/>
      <c r="D127">
        <f>E108</f>
        <v/>
      </c>
    </row>
    <row r="128">
      <c r="A128" s="5" t="inlineStr">
        <is>
          <t xml:space="preserve">  Debt</t>
        </is>
      </c>
      <c r="B128" s="6" t="inlineStr">
        <is>
          <t>$mm</t>
        </is>
      </c>
      <c r="C128" s="6" t="inlineStr"/>
      <c r="D128" s="18">
        <f>$D$28*$D$50</f>
        <v/>
      </c>
    </row>
    <row r="129">
      <c r="A129" s="5" t="inlineStr">
        <is>
          <t xml:space="preserve">  Equity</t>
        </is>
      </c>
      <c r="B129" s="6" t="inlineStr">
        <is>
          <t>$mm</t>
        </is>
      </c>
      <c r="C129" s="6" t="inlineStr">
        <is>
          <t>Plug to balance</t>
        </is>
      </c>
      <c r="D129" s="18">
        <f>D125-D128</f>
        <v/>
      </c>
    </row>
    <row r="130">
      <c r="A130" s="5" t="inlineStr">
        <is>
          <t>Total Sources</t>
        </is>
      </c>
      <c r="B130" s="6" t="inlineStr">
        <is>
          <t>$mm</t>
        </is>
      </c>
      <c r="C130" s="6" t="inlineStr"/>
      <c r="D130" s="7">
        <f>D128+D129</f>
        <v/>
      </c>
    </row>
    <row r="131">
      <c r="A131" s="5" t="inlineStr">
        <is>
          <t>Balance Check</t>
        </is>
      </c>
      <c r="B131" s="6" t="inlineStr"/>
      <c r="C131" s="6" t="inlineStr"/>
      <c r="D131" s="10">
        <f>$D$28*$D$50</f>
        <v/>
      </c>
    </row>
    <row r="132">
      <c r="D132">
        <f>D125-D130</f>
        <v/>
      </c>
    </row>
    <row r="133">
      <c r="D133">
        <f>D131+D132</f>
        <v/>
      </c>
    </row>
    <row r="134">
      <c r="A134" s="3" t="inlineStr">
        <is>
          <t>EXIT CALCULATIONS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5" t="inlineStr">
        <is>
          <t>Exit EV</t>
        </is>
      </c>
      <c r="B135" s="6" t="inlineStr">
        <is>
          <t>$mm</t>
        </is>
      </c>
      <c r="C135" s="6" t="inlineStr">
        <is>
          <t>Exit Multiple × Exit Yr EBITDA</t>
        </is>
      </c>
      <c r="D135">
        <f>D128-D133</f>
        <v/>
      </c>
      <c r="K135" s="18">
        <f>$D$19*K74</f>
        <v/>
      </c>
    </row>
    <row r="136">
      <c r="A136" s="5" t="inlineStr">
        <is>
          <t>Exit Debt Payoff</t>
        </is>
      </c>
      <c r="B136" s="6" t="inlineStr">
        <is>
          <t>$mm</t>
        </is>
      </c>
      <c r="C136" s="6" t="inlineStr">
        <is>
          <t>Ending Bal at Exit</t>
        </is>
      </c>
      <c r="K136" s="18">
        <f>K91</f>
        <v/>
      </c>
    </row>
    <row r="137">
      <c r="A137" s="5" t="inlineStr">
        <is>
          <t>DSRA Release</t>
        </is>
      </c>
      <c r="B137" s="6" t="inlineStr">
        <is>
          <t>$mm</t>
        </is>
      </c>
      <c r="C137" s="6" t="inlineStr">
        <is>
          <t>DSRA Ending at Exit</t>
        </is>
      </c>
      <c r="K137" s="18">
        <f>K99</f>
        <v/>
      </c>
    </row>
    <row r="138">
      <c r="A138" s="5" t="inlineStr">
        <is>
          <t>Exit Equity Proceeds</t>
        </is>
      </c>
      <c r="B138" s="6" t="inlineStr">
        <is>
          <t>$mm</t>
        </is>
      </c>
      <c r="C138" s="6" t="inlineStr">
        <is>
          <t>Exit EV - Debt + DSRA</t>
        </is>
      </c>
      <c r="K138" s="7">
        <f>K123-K124+K125</f>
        <v/>
      </c>
    </row>
    <row r="139">
      <c r="A139" t="inlineStr">
        <is>
          <t>Exit EBITDA</t>
        </is>
      </c>
      <c r="D139">
        <f>K86</f>
        <v/>
      </c>
    </row>
    <row r="140">
      <c r="A140" s="3" t="inlineStr">
        <is>
          <t>Exit EV</t>
        </is>
      </c>
      <c r="B140" s="4" t="n"/>
      <c r="C140" s="4" t="n"/>
      <c r="D140" s="4">
        <f>D139*$D$30</f>
        <v/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5" t="inlineStr">
        <is>
          <t>Equity Cash Flow</t>
        </is>
      </c>
      <c r="B141" s="6" t="inlineStr">
        <is>
          <t>$mm</t>
        </is>
      </c>
      <c r="C141" s="6" t="inlineStr"/>
      <c r="D141" s="18">
        <f>-D129</f>
        <v/>
      </c>
      <c r="E141" s="18">
        <f>E117</f>
        <v/>
      </c>
      <c r="F141" s="18">
        <f>F117</f>
        <v/>
      </c>
      <c r="G141" s="18">
        <f>G117</f>
        <v/>
      </c>
      <c r="H141" s="18">
        <f>H117</f>
        <v/>
      </c>
      <c r="I141" s="18">
        <f>I117</f>
        <v/>
      </c>
      <c r="J141" s="18">
        <f>J117</f>
        <v/>
      </c>
      <c r="K141" s="18">
        <f>K117+D143</f>
        <v/>
      </c>
      <c r="L141" s="18" t="n">
        <v>0</v>
      </c>
      <c r="M141" s="18" t="n">
        <v>0</v>
      </c>
      <c r="N141" s="18" t="n">
        <v>0</v>
      </c>
    </row>
    <row r="142">
      <c r="A142" s="5" t="inlineStr">
        <is>
          <t>Levered IRR</t>
        </is>
      </c>
      <c r="B142" s="6" t="inlineStr">
        <is>
          <t>%</t>
        </is>
      </c>
      <c r="C142" s="6" t="inlineStr">
        <is>
          <t>IRR of Equity CFs</t>
        </is>
      </c>
      <c r="D142" s="25">
        <f>IRR(D141:N141)</f>
        <v/>
      </c>
    </row>
    <row r="143">
      <c r="A143" s="5" t="inlineStr">
        <is>
          <t>Exit Equity Proceeds</t>
        </is>
      </c>
      <c r="B143" s="6" t="inlineStr">
        <is>
          <t>x</t>
        </is>
      </c>
      <c r="C143" s="6" t="inlineStr">
        <is>
          <t>Sum inflows / outflow</t>
        </is>
      </c>
      <c r="D143" s="24">
        <f>D140-D144+D145</f>
        <v/>
      </c>
    </row>
    <row r="144">
      <c r="A144" t="inlineStr">
        <is>
          <t>Exit Debt Balance</t>
        </is>
      </c>
      <c r="D144">
        <f>K103</f>
        <v/>
      </c>
    </row>
    <row r="145">
      <c r="A145" s="23" t="inlineStr">
        <is>
          <t>Exit DSRA Release</t>
        </is>
      </c>
      <c r="B145" s="6" t="inlineStr"/>
      <c r="C145" s="6" t="inlineStr"/>
      <c r="D145">
        <f>K111</f>
        <v/>
      </c>
    </row>
    <row r="146">
      <c r="A146" s="5" t="inlineStr">
        <is>
          <t>Unlevered Cash Flow</t>
        </is>
      </c>
      <c r="B146" s="6" t="inlineStr">
        <is>
          <t>$mm</t>
        </is>
      </c>
      <c r="C146" s="6" t="inlineStr"/>
      <c r="D146" s="18">
        <f>-D129</f>
        <v/>
      </c>
      <c r="E146" s="18">
        <f>E117</f>
        <v/>
      </c>
      <c r="F146" s="18">
        <f>F117</f>
        <v/>
      </c>
      <c r="G146" s="18">
        <f>G117</f>
        <v/>
      </c>
      <c r="H146" s="18">
        <f>H117</f>
        <v/>
      </c>
      <c r="I146" s="18">
        <f>I117</f>
        <v/>
      </c>
      <c r="J146" s="18">
        <f>J117</f>
        <v/>
      </c>
      <c r="K146" s="18">
        <f>K117+D143</f>
        <v/>
      </c>
      <c r="L146" s="18" t="n">
        <v>0</v>
      </c>
      <c r="M146" s="18" t="n">
        <v>0</v>
      </c>
      <c r="N146" s="18" t="n">
        <v>0</v>
      </c>
    </row>
    <row r="147">
      <c r="A147" s="5" t="inlineStr">
        <is>
          <t>MOIC</t>
        </is>
      </c>
      <c r="B147" s="6" t="inlineStr">
        <is>
          <t>%</t>
        </is>
      </c>
      <c r="C147" s="6" t="inlineStr">
        <is>
          <t>IRR of Equity CFs</t>
        </is>
      </c>
      <c r="D147" s="24">
        <f>(SUM(E141:K141))/-D141</f>
        <v/>
      </c>
    </row>
    <row r="148">
      <c r="D148" s="55">
        <f>(SUM(E146:K146))/-D146</f>
        <v/>
      </c>
    </row>
    <row r="149"/>
  </sheetData>
  <dataValidations count="3">
    <dataValidation sqref="D7" showDropDown="0" showInputMessage="0" showErrorMessage="0" allowBlank="0" type="list">
      <formula1>"Merchant,Contracted,Hybrid"</formula1>
    </dataValidation>
    <dataValidation sqref="D9" showDropDown="0" showInputMessage="0" showErrorMessage="0" allowBlank="0" type="list">
      <formula1>"ON,OFF"</formula1>
    </dataValidation>
    <dataValidation sqref="D11" showDropDown="0" showInputMessage="0" showErrorMessage="0" allowBlank="0" type="list">
      <formula1>"Multiple,DCF"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CCGT Model - Lotus Infrastructure Partners</t>
        </is>
      </c>
      <c r="D1" s="33" t="inlineStr">
        <is>
          <t>Y0 (2025)</t>
        </is>
      </c>
      <c r="E1" s="33" t="inlineStr">
        <is>
          <t>Y1 (2026)</t>
        </is>
      </c>
      <c r="F1" s="33" t="inlineStr">
        <is>
          <t>Y2 (2027)</t>
        </is>
      </c>
      <c r="G1" s="33" t="inlineStr">
        <is>
          <t>Y3 (2028)</t>
        </is>
      </c>
      <c r="H1" s="33" t="inlineStr">
        <is>
          <t>Y4 (2029)</t>
        </is>
      </c>
      <c r="I1" s="33" t="inlineStr">
        <is>
          <t>Y5 (2030)</t>
        </is>
      </c>
      <c r="J1" s="33" t="inlineStr">
        <is>
          <t>Y6 (2031)</t>
        </is>
      </c>
      <c r="K1" s="33" t="inlineStr">
        <is>
          <t>Y7 (2032)</t>
        </is>
      </c>
      <c r="L1" s="33" t="inlineStr">
        <is>
          <t>Y8 (2033)</t>
        </is>
      </c>
      <c r="M1" s="33" t="inlineStr">
        <is>
          <t>Y9 (2034)</t>
        </is>
      </c>
      <c r="N1" s="33" t="inlineStr">
        <is>
          <t>Y10 (2035)</t>
        </is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Entry EV</t>
        </is>
      </c>
      <c r="B3" s="6" t="inlineStr">
        <is>
          <t>$mm</t>
        </is>
      </c>
      <c r="C3" s="6" t="inlineStr">
        <is>
          <t>Purchase price for asset</t>
        </is>
      </c>
      <c r="D3" s="7">
        <f>$D$17</f>
        <v/>
      </c>
    </row>
    <row r="4">
      <c r="A4" s="5" t="inlineStr">
        <is>
          <t>Y1 EBITDA</t>
        </is>
      </c>
      <c r="B4" s="6" t="inlineStr">
        <is>
          <t>$mm</t>
        </is>
      </c>
      <c r="C4" s="6" t="inlineStr">
        <is>
          <t>Revenue minus OpEx</t>
        </is>
      </c>
      <c r="D4" s="7">
        <f>E74</f>
        <v/>
      </c>
    </row>
    <row r="5">
      <c r="A5" s="37" t="inlineStr">
        <is>
          <t>═══════════ CONTROL PANEL ═══════════</t>
        </is>
      </c>
      <c r="B5" s="45" t="n"/>
      <c r="C5" s="45" t="n"/>
      <c r="D5" s="45" t="n"/>
    </row>
    <row r="6">
      <c r="A6" s="45" t="n"/>
      <c r="B6" s="45" t="n"/>
      <c r="C6" s="45" t="n"/>
      <c r="D6" s="45" t="n"/>
    </row>
    <row r="7">
      <c r="A7" s="46" t="inlineStr">
        <is>
          <t>REVENUE</t>
        </is>
      </c>
      <c r="B7" s="45" t="n"/>
      <c r="C7" s="45" t="n"/>
      <c r="D7" s="45" t="n"/>
    </row>
    <row r="8">
      <c r="A8" s="32" t="inlineStr">
        <is>
          <t>Revenue Mode</t>
        </is>
      </c>
      <c r="B8" s="45" t="n"/>
      <c r="C8" s="6" t="inlineStr">
        <is>
          <t>Merchant / Contracted / Hybrid</t>
        </is>
      </c>
      <c r="D8" s="39" t="inlineStr">
        <is>
          <t>Merchant</t>
        </is>
      </c>
    </row>
    <row r="9">
      <c r="A9" s="32" t="inlineStr">
        <is>
          <t>Contract End Year</t>
        </is>
      </c>
      <c r="B9" s="45" t="n"/>
      <c r="C9" s="6" t="inlineStr">
        <is>
          <t>0 = pure merchant; else year PPA ends</t>
        </is>
      </c>
      <c r="D9" s="39" t="n">
        <v>0</v>
      </c>
    </row>
    <row r="10">
      <c r="A10" s="45" t="n"/>
      <c r="B10" s="45" t="n"/>
      <c r="C10" s="45" t="n"/>
      <c r="D10" s="45" t="n"/>
    </row>
    <row r="11">
      <c r="A11" s="46" t="inlineStr">
        <is>
          <t>TIMING</t>
        </is>
      </c>
      <c r="B11" s="45" t="n"/>
      <c r="C11" s="45" t="n"/>
      <c r="D11" s="45" t="n"/>
    </row>
    <row r="12">
      <c r="A12" s="32" t="inlineStr">
        <is>
          <t>Exit Year</t>
        </is>
      </c>
      <c r="B12" s="45" t="n"/>
      <c r="C12" s="6" t="inlineStr">
        <is>
          <t>5 / 7 / 10</t>
        </is>
      </c>
      <c r="D12" s="39" t="n">
        <v>7</v>
      </c>
    </row>
    <row r="13">
      <c r="A13" s="32" t="inlineStr">
        <is>
          <t>Tax Credit End Year</t>
        </is>
      </c>
      <c r="B13" s="45" t="n"/>
      <c r="C13" s="6" t="inlineStr">
        <is>
          <t>0 = N/A; else last year of PTC/ITC</t>
        </is>
      </c>
      <c r="D13" s="39" t="n">
        <v>0</v>
      </c>
    </row>
    <row r="14">
      <c r="A14" s="45" t="n"/>
      <c r="B14" s="45" t="n"/>
      <c r="C14" s="45" t="n"/>
      <c r="D14" s="45" t="n"/>
    </row>
    <row r="15">
      <c r="A15" s="46" t="inlineStr">
        <is>
          <t>DEBT</t>
        </is>
      </c>
      <c r="B15" s="45" t="n"/>
      <c r="C15" s="45" t="n"/>
      <c r="D15" s="47" t="n"/>
    </row>
    <row r="16">
      <c r="A16" s="32" t="inlineStr">
        <is>
          <t>Debt Sweep</t>
        </is>
      </c>
      <c r="B16" s="45" t="n"/>
      <c r="C16" s="6" t="inlineStr">
        <is>
          <t>ON / OFF (for sweep assets)</t>
        </is>
      </c>
      <c r="D16" s="27" t="inlineStr">
        <is>
          <t>ON</t>
        </is>
      </c>
    </row>
    <row r="17">
      <c r="A17" s="32" t="inlineStr">
        <is>
          <t>Sweep %</t>
        </is>
      </c>
      <c r="B17" s="45" t="n"/>
      <c r="C17" s="6" t="inlineStr">
        <is>
          <t>Active when Sweep = ON</t>
        </is>
      </c>
      <c r="D17" s="26" t="inlineStr">
        <is>
          <t>75%</t>
        </is>
      </c>
    </row>
    <row r="18">
      <c r="A18" s="45" t="n"/>
      <c r="B18" s="45" t="n"/>
      <c r="C18" s="45" t="n"/>
      <c r="D18" s="48" t="n"/>
    </row>
    <row r="19">
      <c r="A19" s="46" t="inlineStr">
        <is>
          <t>OTHER</t>
        </is>
      </c>
      <c r="B19" s="45" t="n"/>
      <c r="C19" s="45" t="n"/>
      <c r="D19" s="49" t="n"/>
    </row>
    <row r="20">
      <c r="A20" s="32" t="inlineStr">
        <is>
          <t>Carbon Region</t>
        </is>
      </c>
      <c r="C20" s="6" t="inlineStr">
        <is>
          <t>None / CARB / RGGI (thermal only)</t>
        </is>
      </c>
      <c r="D20" s="39" t="inlineStr">
        <is>
          <t>None</t>
        </is>
      </c>
    </row>
    <row r="21">
      <c r="A21" s="50" t="inlineStr">
        <is>
          <t>Exit Method</t>
        </is>
      </c>
      <c r="B21" s="45" t="n"/>
      <c r="C21" s="6" t="inlineStr">
        <is>
          <t>Multiple / DCF</t>
        </is>
      </c>
      <c r="D21" s="39" t="inlineStr">
        <is>
          <t>Multiple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37" t="inlineStr">
        <is>
          <t>════════════════════════════════════</t>
        </is>
      </c>
      <c r="B22" s="6" t="inlineStr"/>
      <c r="C22" s="6" t="inlineStr"/>
      <c r="D22" s="10">
        <f>D119</f>
        <v/>
      </c>
    </row>
    <row r="23">
      <c r="A23" s="5" t="inlineStr">
        <is>
          <t>Debt Payoff Y7</t>
        </is>
      </c>
      <c r="B23" s="6" t="inlineStr"/>
      <c r="C23" s="6" t="inlineStr"/>
      <c r="D23" s="10">
        <f>IF(K91&lt;1,"PASS","FAIL")</f>
        <v/>
      </c>
    </row>
    <row r="24">
      <c r="A24" s="5" t="inlineStr">
        <is>
          <t>Min DSCR ≥ 1.25x</t>
        </is>
      </c>
      <c r="B24" s="6" t="inlineStr"/>
      <c r="C24" s="6" t="inlineStr">
        <is>
          <t>CFADS / Debt Service</t>
        </is>
      </c>
      <c r="D24" s="10">
        <f>IF(D6&gt;=1.25,"PASS","FAIL")</f>
        <v/>
      </c>
    </row>
    <row r="27">
      <c r="A27" s="3" t="inlineStr">
        <is>
          <t>TRANSACTION INPUTS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inlineStr">
        <is>
          <t>Entry EV</t>
        </is>
      </c>
      <c r="B28" s="6" t="inlineStr">
        <is>
          <t>$mm</t>
        </is>
      </c>
      <c r="C28" s="6" t="inlineStr">
        <is>
          <t>Purchase price</t>
        </is>
      </c>
      <c r="D28" s="11" t="n">
        <v>520</v>
      </c>
    </row>
    <row r="29">
      <c r="A29" s="5" t="inlineStr">
        <is>
          <t>Transaction Fees</t>
        </is>
      </c>
      <c r="B29" s="6" t="inlineStr">
        <is>
          <t>%</t>
        </is>
      </c>
      <c r="C29" s="6" t="inlineStr">
        <is>
          <t>Legal, advisory, financing</t>
        </is>
      </c>
      <c r="D29" s="26" t="n">
        <v>0.015</v>
      </c>
    </row>
    <row r="30">
      <c r="A30" s="5" t="inlineStr">
        <is>
          <t>Exit Multiple</t>
        </is>
      </c>
      <c r="B30" s="6" t="inlineStr">
        <is>
          <t>x</t>
        </is>
      </c>
      <c r="C30" s="6" t="inlineStr">
        <is>
          <t>On exit year EBITDA</t>
        </is>
      </c>
      <c r="D30" s="27" t="n">
        <v>7</v>
      </c>
    </row>
    <row r="31">
      <c r="A31" s="5" t="inlineStr">
        <is>
          <t>Exit Year</t>
        </is>
      </c>
      <c r="B31" s="6" t="inlineStr">
        <is>
          <t>#</t>
        </is>
      </c>
      <c r="C31" s="6" t="inlineStr">
        <is>
          <t>Hold period</t>
        </is>
      </c>
      <c r="D31" s="14" t="n">
        <v>7</v>
      </c>
    </row>
    <row r="33">
      <c r="A33" s="3" t="inlineStr">
        <is>
          <t>ASSET INPUTS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5" t="inlineStr">
        <is>
          <t>Capacity</t>
        </is>
      </c>
      <c r="B34" s="6" t="inlineStr">
        <is>
          <t>MW</t>
        </is>
      </c>
      <c r="C34" s="6" t="inlineStr">
        <is>
          <t>Nameplate rating</t>
        </is>
      </c>
      <c r="D34" s="14" t="n">
        <v>365</v>
      </c>
    </row>
    <row r="35">
      <c r="A35" s="5" t="inlineStr">
        <is>
          <t>Heat Rate</t>
        </is>
      </c>
      <c r="B35" s="6" t="inlineStr">
        <is>
          <t>Btu/kWh</t>
        </is>
      </c>
      <c r="C35" s="6" t="inlineStr">
        <is>
          <t>Efficiency (lower = better)</t>
        </is>
      </c>
      <c r="D35" s="14" t="n">
        <v>7000</v>
      </c>
    </row>
    <row r="36">
      <c r="A36" s="5" t="inlineStr">
        <is>
          <t>Capacity Factor</t>
        </is>
      </c>
      <c r="B36" s="6" t="inlineStr">
        <is>
          <t>%</t>
        </is>
      </c>
      <c r="C36" s="6" t="inlineStr">
        <is>
          <t>Annual utilization</t>
        </is>
      </c>
      <c r="D36" s="26" t="n">
        <v>0.55</v>
      </c>
    </row>
    <row r="37">
      <c r="A37" s="5" t="inlineStr">
        <is>
          <t>Forced Outage Rate</t>
        </is>
      </c>
      <c r="B37" s="6" t="inlineStr">
        <is>
          <t>%</t>
        </is>
      </c>
      <c r="C37" s="6" t="inlineStr">
        <is>
          <t>Unplanned downtime</t>
        </is>
      </c>
      <c r="D37" s="26" t="n">
        <v>0.05</v>
      </c>
    </row>
    <row r="39">
      <c r="A39" s="3" t="inlineStr">
        <is>
          <t>PRICING INPUTS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5" t="inlineStr">
        <is>
          <t>Power Price Y1</t>
        </is>
      </c>
      <c r="B40" s="6" t="inlineStr">
        <is>
          <t>$/MWh</t>
        </is>
      </c>
      <c r="C40" s="6" t="inlineStr">
        <is>
          <t>Energy clearing price</t>
        </is>
      </c>
      <c r="D40" s="11" t="n">
        <v>48</v>
      </c>
    </row>
    <row r="41">
      <c r="A41" s="5" t="inlineStr">
        <is>
          <t>Capacity Price Y1</t>
        </is>
      </c>
      <c r="B41" s="6" t="inlineStr">
        <is>
          <t>$/kW-yr</t>
        </is>
      </c>
      <c r="C41" s="6" t="inlineStr">
        <is>
          <t>ICAP/RPM auction result</t>
        </is>
      </c>
      <c r="D41" s="11" t="n">
        <v>110</v>
      </c>
    </row>
    <row r="42">
      <c r="A42" s="5" t="inlineStr">
        <is>
          <t>Gas Price Y1</t>
        </is>
      </c>
      <c r="B42" s="6" t="inlineStr">
        <is>
          <t>$/mmBtu</t>
        </is>
      </c>
      <c r="C42" s="6" t="inlineStr">
        <is>
          <t>Henry Hub + basis</t>
        </is>
      </c>
      <c r="D42" s="15" t="n">
        <v>3</v>
      </c>
    </row>
    <row r="43">
      <c r="A43" s="5" t="inlineStr">
        <is>
          <t>Escalation</t>
        </is>
      </c>
      <c r="B43" s="6" t="inlineStr">
        <is>
          <t>%/yr</t>
        </is>
      </c>
      <c r="C43" s="6" t="inlineStr">
        <is>
          <t>Applied to all prices/costs</t>
        </is>
      </c>
      <c r="D43" s="26" t="n">
        <v>0.025</v>
      </c>
    </row>
    <row r="45">
      <c r="A45" s="3" t="inlineStr">
        <is>
          <t>COST INPUTS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5" t="inlineStr">
        <is>
          <t>VOM</t>
        </is>
      </c>
      <c r="B46" s="6" t="inlineStr">
        <is>
          <t>$/MWh</t>
        </is>
      </c>
      <c r="C46" s="6" t="inlineStr">
        <is>
          <t>Variable O&amp;M</t>
        </is>
      </c>
      <c r="D46" s="15" t="n">
        <v>3.5</v>
      </c>
    </row>
    <row r="47">
      <c r="A47" s="5" t="inlineStr">
        <is>
          <t>FOM</t>
        </is>
      </c>
      <c r="B47" s="6" t="inlineStr">
        <is>
          <t>$/kW-yr</t>
        </is>
      </c>
      <c r="C47" s="6" t="inlineStr">
        <is>
          <t>Fixed O&amp;M</t>
        </is>
      </c>
      <c r="D47" s="15" t="n">
        <v>15</v>
      </c>
    </row>
    <row r="49">
      <c r="A49" s="3" t="inlineStr">
        <is>
          <t>FINANCING INPUTS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5" t="inlineStr">
        <is>
          <t>Leverage</t>
        </is>
      </c>
      <c r="B50" s="6" t="inlineStr">
        <is>
          <t>%</t>
        </is>
      </c>
      <c r="C50" s="6" t="inlineStr">
        <is>
          <t>Debt / Entry EV</t>
        </is>
      </c>
      <c r="D50" s="26" t="n">
        <v>0.45</v>
      </c>
    </row>
    <row r="51">
      <c r="A51" s="5" t="inlineStr">
        <is>
          <t>Interest Rate</t>
        </is>
      </c>
      <c r="B51" s="6" t="inlineStr">
        <is>
          <t>%</t>
        </is>
      </c>
      <c r="C51" s="6" t="inlineStr">
        <is>
          <t>All-in borrowing cost</t>
        </is>
      </c>
      <c r="D51" s="26" t="n">
        <v>0.065</v>
      </c>
    </row>
    <row r="52">
      <c r="A52" s="5" t="inlineStr">
        <is>
          <t>Debt Tenor</t>
        </is>
      </c>
      <c r="B52" s="6" t="inlineStr">
        <is>
          <t>years</t>
        </is>
      </c>
      <c r="C52" s="6" t="inlineStr">
        <is>
          <t>Amortization period</t>
        </is>
      </c>
      <c r="D52" s="14" t="n">
        <v>7</v>
      </c>
    </row>
    <row r="53">
      <c r="A53" s="5" t="inlineStr">
        <is>
          <t>DSRA Months</t>
        </is>
      </c>
      <c r="B53" s="6" t="inlineStr">
        <is>
          <t>months</t>
        </is>
      </c>
      <c r="C53" s="6" t="inlineStr">
        <is>
          <t>Debt service reserve</t>
        </is>
      </c>
      <c r="D53" s="14" t="n">
        <v>6</v>
      </c>
    </row>
    <row r="54">
      <c r="A54" s="5" t="inlineStr">
        <is>
          <t>Cash Sweep %</t>
        </is>
      </c>
      <c r="B54" s="6" t="inlineStr">
        <is>
          <t>%</t>
        </is>
      </c>
      <c r="C54" s="6" t="inlineStr">
        <is>
          <t>Mandatory excess CF prepay</t>
        </is>
      </c>
      <c r="D54" s="26" t="n">
        <v>0.75</v>
      </c>
    </row>
    <row r="55">
      <c r="A55" s="5" t="inlineStr">
        <is>
          <t>Lock-up DSCR</t>
        </is>
      </c>
      <c r="B55" s="6" t="inlineStr">
        <is>
          <t>x</t>
        </is>
      </c>
      <c r="C55" s="6" t="inlineStr">
        <is>
          <t>Distribution threshold</t>
        </is>
      </c>
      <c r="D55" s="27" t="n">
        <v>1.1</v>
      </c>
    </row>
    <row r="57">
      <c r="A57" s="3" t="inlineStr">
        <is>
          <t>TAX INPUTS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5" t="inlineStr">
        <is>
          <t>Tax Rate</t>
        </is>
      </c>
      <c r="B58" s="6" t="inlineStr">
        <is>
          <t>%</t>
        </is>
      </c>
      <c r="C58" s="6" t="inlineStr">
        <is>
          <t>Blended federal + state</t>
        </is>
      </c>
      <c r="D58" s="26" t="n">
        <v>0.25</v>
      </c>
    </row>
    <row r="59">
      <c r="A59" s="5" t="inlineStr">
        <is>
          <t>Depreciable Basis</t>
        </is>
      </c>
      <c r="B59" s="6" t="inlineStr">
        <is>
          <t>%</t>
        </is>
      </c>
      <c r="C59" s="6" t="inlineStr">
        <is>
          <t>% of EV for depreciation</t>
        </is>
      </c>
      <c r="D59" s="26" t="n">
        <v>0.85</v>
      </c>
    </row>
    <row r="60">
      <c r="A60" s="5" t="inlineStr">
        <is>
          <t>Depreciation Life</t>
        </is>
      </c>
      <c r="B60" s="6" t="inlineStr">
        <is>
          <t>years</t>
        </is>
      </c>
      <c r="C60" s="6" t="inlineStr">
        <is>
          <t>Straight-line</t>
        </is>
      </c>
      <c r="D60" s="14" t="n">
        <v>15</v>
      </c>
    </row>
    <row r="63">
      <c r="A63" s="3" t="inlineStr">
        <is>
          <t>CALCULATED ITEMS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5" t="inlineStr">
        <is>
          <t>UCAP (Unforced Capacity)</t>
        </is>
      </c>
      <c r="B64" s="6" t="inlineStr">
        <is>
          <t>MW</t>
        </is>
      </c>
      <c r="C64" s="6" t="inlineStr">
        <is>
          <t>Capacity × (1 - FOR)</t>
        </is>
      </c>
      <c r="D64" s="16">
        <f>$D$23*(1-$D$26)</f>
        <v/>
      </c>
    </row>
    <row r="65">
      <c r="A65" s="5" t="inlineStr">
        <is>
          <t>Annual Generation</t>
        </is>
      </c>
      <c r="B65" s="6" t="inlineStr">
        <is>
          <t>MWh</t>
        </is>
      </c>
      <c r="C65" s="6" t="inlineStr">
        <is>
          <t>Capacity × CF × 8,760</t>
        </is>
      </c>
      <c r="D65" s="17">
        <f>$D$23*$D$25*8760</f>
        <v/>
      </c>
    </row>
    <row r="66">
      <c r="A66" s="5" t="inlineStr">
        <is>
          <t>Debt Amount</t>
        </is>
      </c>
      <c r="B66" s="6" t="inlineStr">
        <is>
          <t>$mm</t>
        </is>
      </c>
      <c r="C66" s="6" t="inlineStr">
        <is>
          <t>Entry EV × Leverage</t>
        </is>
      </c>
      <c r="D66" s="18">
        <f>$D$17*$D$39</f>
        <v/>
      </c>
    </row>
    <row r="67">
      <c r="A67" s="5" t="inlineStr">
        <is>
          <t>Annual Depreciation</t>
        </is>
      </c>
      <c r="B67" s="6" t="inlineStr">
        <is>
          <t>$mm</t>
        </is>
      </c>
      <c r="C67" s="6" t="inlineStr">
        <is>
          <t>EV × Basis / Life</t>
        </is>
      </c>
      <c r="D67" s="18">
        <f>$D$17*$D$48/$D$49</f>
        <v/>
      </c>
    </row>
    <row r="68">
      <c r="A68" s="5" t="inlineStr">
        <is>
          <t>Scheduled Principal</t>
        </is>
      </c>
      <c r="B68" s="6" t="inlineStr">
        <is>
          <t>$mm/yr</t>
        </is>
      </c>
      <c r="C68" s="6" t="inlineStr">
        <is>
          <t>Debt / Tenor</t>
        </is>
      </c>
      <c r="D68" s="18">
        <f>$D$55/$D$41</f>
        <v/>
      </c>
    </row>
    <row r="71">
      <c r="A71" s="3" t="inlineStr">
        <is>
          <t>OPERATING MODEL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5" t="inlineStr">
        <is>
          <t>Power Price</t>
        </is>
      </c>
      <c r="B72" s="6" t="inlineStr">
        <is>
          <t>$/MWh</t>
        </is>
      </c>
      <c r="C72" s="6" t="inlineStr">
        <is>
          <t>Escalated</t>
        </is>
      </c>
      <c r="E72" s="18">
        <f>$D$29*(1+$D$32)^(1-1)</f>
        <v/>
      </c>
      <c r="F72" s="18">
        <f>$D$29*(1+$D$32)^(2-1)</f>
        <v/>
      </c>
      <c r="G72" s="18">
        <f>$D$29*(1+$D$32)^(3-1)</f>
        <v/>
      </c>
      <c r="H72" s="18">
        <f>$D$29*(1+$D$32)^(4-1)</f>
        <v/>
      </c>
      <c r="I72" s="18">
        <f>$D$29*(1+$D$32)^(5-1)</f>
        <v/>
      </c>
      <c r="J72" s="18">
        <f>$D$29*(1+$D$32)^(6-1)</f>
        <v/>
      </c>
      <c r="K72" s="18">
        <f>$D$29*(1+$D$32)^(7-1)</f>
        <v/>
      </c>
      <c r="L72" s="18">
        <f>$D$29*(1+$D$32)^(8-1)</f>
        <v/>
      </c>
      <c r="M72" s="18">
        <f>$D$29*(1+$D$32)^(9-1)</f>
        <v/>
      </c>
      <c r="N72" s="18">
        <f>$D$29*(1+$D$32)^(10-1)</f>
        <v/>
      </c>
    </row>
    <row r="73">
      <c r="A73" s="5" t="inlineStr">
        <is>
          <t>Capacity Price</t>
        </is>
      </c>
      <c r="B73" s="6" t="inlineStr">
        <is>
          <t>$/kW-yr</t>
        </is>
      </c>
      <c r="C73" s="6" t="inlineStr">
        <is>
          <t>Escalated</t>
        </is>
      </c>
      <c r="E73" s="18">
        <f>$D$30*(1+$D$32)^(1-1)</f>
        <v/>
      </c>
      <c r="F73" s="18">
        <f>$D$30*(1+$D$32)^(2-1)</f>
        <v/>
      </c>
      <c r="G73" s="18">
        <f>$D$30*(1+$D$32)^(3-1)</f>
        <v/>
      </c>
      <c r="H73" s="18">
        <f>$D$30*(1+$D$32)^(4-1)</f>
        <v/>
      </c>
      <c r="I73" s="18">
        <f>$D$30*(1+$D$32)^(5-1)</f>
        <v/>
      </c>
      <c r="J73" s="18">
        <f>$D$30*(1+$D$32)^(6-1)</f>
        <v/>
      </c>
      <c r="K73" s="18">
        <f>$D$30*(1+$D$32)^(7-1)</f>
        <v/>
      </c>
      <c r="L73" s="18">
        <f>$D$30*(1+$D$32)^(8-1)</f>
        <v/>
      </c>
      <c r="M73" s="18">
        <f>$D$30*(1+$D$32)^(9-1)</f>
        <v/>
      </c>
      <c r="N73" s="18">
        <f>$D$30*(1+$D$32)^(10-1)</f>
        <v/>
      </c>
    </row>
    <row r="74">
      <c r="A74" s="5" t="inlineStr">
        <is>
          <t>Gas Price</t>
        </is>
      </c>
      <c r="B74" s="6" t="inlineStr">
        <is>
          <t>$/mmBtu</t>
        </is>
      </c>
      <c r="C74" s="6" t="inlineStr">
        <is>
          <t>Escalated</t>
        </is>
      </c>
      <c r="E74" s="19">
        <f>$D$31*(1+$D$32)^(1-1)</f>
        <v/>
      </c>
      <c r="F74" s="19">
        <f>$D$31*(1+$D$32)^(2-1)</f>
        <v/>
      </c>
      <c r="G74" s="19">
        <f>$D$31*(1+$D$32)^(3-1)</f>
        <v/>
      </c>
      <c r="H74" s="19">
        <f>$D$31*(1+$D$32)^(4-1)</f>
        <v/>
      </c>
      <c r="I74" s="19">
        <f>$D$31*(1+$D$32)^(5-1)</f>
        <v/>
      </c>
      <c r="J74" s="19">
        <f>$D$31*(1+$D$32)^(6-1)</f>
        <v/>
      </c>
      <c r="K74" s="19">
        <f>$D$31*(1+$D$32)^(7-1)</f>
        <v/>
      </c>
      <c r="L74" s="19">
        <f>$D$31*(1+$D$32)^(8-1)</f>
        <v/>
      </c>
      <c r="M74" s="19">
        <f>$D$31*(1+$D$32)^(9-1)</f>
        <v/>
      </c>
      <c r="N74" s="19">
        <f>$D$31*(1+$D$32)^(10-1)</f>
        <v/>
      </c>
    </row>
    <row r="76">
      <c r="A76" s="5" t="inlineStr">
        <is>
          <t>Energy Revenue</t>
        </is>
      </c>
      <c r="B76" s="6" t="inlineStr">
        <is>
          <t>$mm</t>
        </is>
      </c>
      <c r="C76" s="6" t="inlineStr">
        <is>
          <t>Generation × Power Price / 1M</t>
        </is>
      </c>
      <c r="E76" s="18">
        <f>$D$54*E61/1000000</f>
        <v/>
      </c>
      <c r="F76" s="18">
        <f>$D$54*F61/1000000</f>
        <v/>
      </c>
      <c r="G76" s="18">
        <f>$D$54*G61/1000000</f>
        <v/>
      </c>
      <c r="H76" s="18">
        <f>$D$54*H61/1000000</f>
        <v/>
      </c>
      <c r="I76" s="18">
        <f>$D$54*I61/1000000</f>
        <v/>
      </c>
      <c r="J76" s="18">
        <f>$D$54*J61/1000000</f>
        <v/>
      </c>
      <c r="K76" s="18">
        <f>$D$54*K61/1000000</f>
        <v/>
      </c>
      <c r="L76" s="18">
        <f>$D$54*L61/1000000</f>
        <v/>
      </c>
      <c r="M76" s="18">
        <f>$D$54*M61/1000000</f>
        <v/>
      </c>
      <c r="N76" s="18">
        <f>$D$54*N61/1000000</f>
        <v/>
      </c>
    </row>
    <row r="77">
      <c r="A77" s="5" t="inlineStr">
        <is>
          <t>Capacity Revenue</t>
        </is>
      </c>
      <c r="B77" s="6" t="inlineStr">
        <is>
          <t>$mm</t>
        </is>
      </c>
      <c r="C77" s="6" t="inlineStr">
        <is>
          <t>UCAP × Cap Price × 1000 / 1M</t>
        </is>
      </c>
      <c r="E77" s="18">
        <f>$D$53*E62*1000/1000000</f>
        <v/>
      </c>
      <c r="F77" s="18">
        <f>$D$53*F62*1000/1000000</f>
        <v/>
      </c>
      <c r="G77" s="18">
        <f>$D$53*G62*1000/1000000</f>
        <v/>
      </c>
      <c r="H77" s="18">
        <f>$D$53*H62*1000/1000000</f>
        <v/>
      </c>
      <c r="I77" s="18">
        <f>$D$53*I62*1000/1000000</f>
        <v/>
      </c>
      <c r="J77" s="18">
        <f>$D$53*J62*1000/1000000</f>
        <v/>
      </c>
      <c r="K77" s="18">
        <f>$D$53*K62*1000/1000000</f>
        <v/>
      </c>
      <c r="L77" s="18">
        <f>$D$53*L62*1000/1000000</f>
        <v/>
      </c>
      <c r="M77" s="18">
        <f>$D$53*M62*1000/1000000</f>
        <v/>
      </c>
      <c r="N77" s="18">
        <f>$D$53*N62*1000/1000000</f>
        <v/>
      </c>
    </row>
    <row r="78">
      <c r="A78" s="5" t="inlineStr">
        <is>
          <t>Total Revenue</t>
        </is>
      </c>
      <c r="B78" s="6" t="inlineStr">
        <is>
          <t>$mm</t>
        </is>
      </c>
      <c r="C78" s="6" t="inlineStr"/>
      <c r="E78" s="20">
        <f>E65+E66</f>
        <v/>
      </c>
      <c r="F78" s="20">
        <f>F65+F66</f>
        <v/>
      </c>
      <c r="G78" s="20">
        <f>G65+G66</f>
        <v/>
      </c>
      <c r="H78" s="20">
        <f>H65+H66</f>
        <v/>
      </c>
      <c r="I78" s="20">
        <f>I65+I66</f>
        <v/>
      </c>
      <c r="J78" s="20">
        <f>J65+J66</f>
        <v/>
      </c>
      <c r="K78" s="20">
        <f>K65+K66</f>
        <v/>
      </c>
      <c r="L78" s="20">
        <f>L65+L66</f>
        <v/>
      </c>
      <c r="M78" s="20">
        <f>M65+M66</f>
        <v/>
      </c>
      <c r="N78" s="20">
        <f>N65+N66</f>
        <v/>
      </c>
    </row>
    <row r="80">
      <c r="A80" s="5" t="inlineStr">
        <is>
          <t>Fuel Cost</t>
        </is>
      </c>
      <c r="B80" s="6" t="inlineStr">
        <is>
          <t>$mm</t>
        </is>
      </c>
      <c r="C80" s="6" t="inlineStr">
        <is>
          <t>Gen × HR × Gas / 1B</t>
        </is>
      </c>
      <c r="E80" s="18">
        <f>$D$54*$D$24*E63/1E9</f>
        <v/>
      </c>
      <c r="F80" s="18">
        <f>$D$54*$D$24*F63/1E9</f>
        <v/>
      </c>
      <c r="G80" s="18">
        <f>$D$54*$D$24*G63/1E9</f>
        <v/>
      </c>
      <c r="H80" s="18">
        <f>$D$54*$D$24*H63/1E9</f>
        <v/>
      </c>
      <c r="I80" s="18">
        <f>$D$54*$D$24*I63/1E9</f>
        <v/>
      </c>
      <c r="J80" s="18">
        <f>$D$54*$D$24*J63/1E9</f>
        <v/>
      </c>
      <c r="K80" s="18">
        <f>$D$54*$D$24*K63/1E9</f>
        <v/>
      </c>
      <c r="L80" s="18">
        <f>$D$54*$D$24*L63/1E9</f>
        <v/>
      </c>
      <c r="M80" s="18">
        <f>$D$54*$D$24*M63/1E9</f>
        <v/>
      </c>
      <c r="N80" s="18">
        <f>$D$54*$D$24*N63/1E9</f>
        <v/>
      </c>
    </row>
    <row r="81">
      <c r="A81" s="32" t="inlineStr">
        <is>
          <t>Spark Spread</t>
        </is>
      </c>
      <c r="B81" t="inlineStr">
        <is>
          <t>$/MWh</t>
        </is>
      </c>
      <c r="C81" s="51" t="inlineStr">
        <is>
          <t>[WHAT] Spark Spread = Power Price - (Plant HR × Gas / 1000)
[WHY] Gross margin per MWh after fuel. Core driver of thermal profitability.
[RMHR EQUIVALENCE - For Interview Discussion]
Traders express this as "Market Heat Rate":
  RMHR = Power / Gas × 1000
  If RMHR &gt; Plant HR → "In the money" → Dispatch
Spark Spread = (RMHR - Plant HR) × Gas / 1000
Same math, different framing. Use Spark Spread in model (simpler).
[EXAMPLE] Power=$50, Gas=$5, HR=7000
  RMHR = 50/5 × 1000 = 10,000 Btu/kWh
  Spread = 10,000 - 7,000 = 3,000 Btu/kWh
  Spark = 3,000 × $5 / 1000 = $15/MWh ✓
  (Or directly: $50 - 7×$5 = $15/MWh)
[UNITS] $/MWh - (Btu/kWh × $/MMBtu / 1000) = $/MWh ✓</t>
        </is>
      </c>
      <c r="E81" s="52">
        <f>E71-($D$34/1000)*E73</f>
        <v/>
      </c>
      <c r="F81" s="52">
        <f>F71-($D$34/1000)*F73</f>
        <v/>
      </c>
      <c r="G81" s="52">
        <f>G71-($D$34/1000)*G73</f>
        <v/>
      </c>
      <c r="H81" s="52">
        <f>H71-($D$34/1000)*H73</f>
        <v/>
      </c>
      <c r="I81" s="52">
        <f>I71-($D$34/1000)*I73</f>
        <v/>
      </c>
      <c r="J81" s="52">
        <f>J71-($D$34/1000)*J73</f>
        <v/>
      </c>
      <c r="K81" s="52">
        <f>K71-($D$34/1000)*K73</f>
        <v/>
      </c>
      <c r="L81" s="52">
        <f>L71-($D$34/1000)*L73</f>
        <v/>
      </c>
      <c r="M81" s="52">
        <f>M71-($D$34/1000)*M73</f>
        <v/>
      </c>
      <c r="N81" s="52">
        <f>N71-($D$34/1000)*N73</f>
        <v/>
      </c>
    </row>
    <row r="82">
      <c r="A82" s="5" t="inlineStr">
        <is>
          <t>VOM</t>
        </is>
      </c>
      <c r="B82" s="6" t="inlineStr">
        <is>
          <t>$mm</t>
        </is>
      </c>
      <c r="C82" s="6" t="inlineStr">
        <is>
          <t>Generation × VOM rate / 1M</t>
        </is>
      </c>
      <c r="E82" s="18">
        <f>$D$54*$D$35/1000000</f>
        <v/>
      </c>
      <c r="F82" s="18">
        <f>$D$54*$D$35/1000000</f>
        <v/>
      </c>
      <c r="G82" s="18">
        <f>$D$54*$D$35/1000000</f>
        <v/>
      </c>
      <c r="H82" s="18">
        <f>$D$54*$D$35/1000000</f>
        <v/>
      </c>
      <c r="I82" s="18">
        <f>$D$54*$D$35/1000000</f>
        <v/>
      </c>
      <c r="J82" s="18">
        <f>$D$54*$D$35/1000000</f>
        <v/>
      </c>
      <c r="K82" s="18">
        <f>$D$54*$D$35/1000000</f>
        <v/>
      </c>
      <c r="L82" s="18">
        <f>$D$54*$D$35/1000000</f>
        <v/>
      </c>
      <c r="M82" s="18">
        <f>$D$54*$D$35/1000000</f>
        <v/>
      </c>
      <c r="N82" s="18">
        <f>$D$54*$D$35/1000000</f>
        <v/>
      </c>
    </row>
    <row r="83">
      <c r="A83" s="5" t="inlineStr">
        <is>
          <t>FOM</t>
        </is>
      </c>
      <c r="B83" s="6" t="inlineStr">
        <is>
          <t>$mm</t>
        </is>
      </c>
      <c r="C83" s="6" t="inlineStr">
        <is>
          <t>Capacity × FOM × esc × 1000 / 1M</t>
        </is>
      </c>
      <c r="E83" s="18">
        <f>$D$23*$D$36*(1+$D$32)^(1-1)*1000/1000000</f>
        <v/>
      </c>
      <c r="F83" s="18">
        <f>$D$23*$D$36*(1+$D$32)^(2-1)*1000/1000000</f>
        <v/>
      </c>
      <c r="G83" s="18">
        <f>$D$23*$D$36*(1+$D$32)^(3-1)*1000/1000000</f>
        <v/>
      </c>
      <c r="H83" s="18">
        <f>$D$23*$D$36*(1+$D$32)^(4-1)*1000/1000000</f>
        <v/>
      </c>
      <c r="I83" s="18">
        <f>$D$23*$D$36*(1+$D$32)^(5-1)*1000/1000000</f>
        <v/>
      </c>
      <c r="J83" s="18">
        <f>$D$23*$D$36*(1+$D$32)^(6-1)*1000/1000000</f>
        <v/>
      </c>
      <c r="K83" s="18">
        <f>$D$23*$D$36*(1+$D$32)^(7-1)*1000/1000000</f>
        <v/>
      </c>
      <c r="L83" s="18">
        <f>$D$23*$D$36*(1+$D$32)^(8-1)*1000/1000000</f>
        <v/>
      </c>
      <c r="M83" s="18">
        <f>$D$23*$D$36*(1+$D$32)^(9-1)*1000/1000000</f>
        <v/>
      </c>
      <c r="N83" s="18">
        <f>$D$23*$D$36*(1+$D$32)^(10-1)*1000/1000000</f>
        <v/>
      </c>
    </row>
    <row r="84">
      <c r="A84" s="5" t="inlineStr">
        <is>
          <t>Total Operating Costs</t>
        </is>
      </c>
      <c r="B84" s="6" t="inlineStr">
        <is>
          <t>$mm</t>
        </is>
      </c>
      <c r="C84" s="6" t="inlineStr"/>
      <c r="E84" s="18">
        <f>E69+E70+E71</f>
        <v/>
      </c>
      <c r="F84" s="18">
        <f>F69+F70+F71</f>
        <v/>
      </c>
      <c r="G84" s="18">
        <f>G69+G70+G71</f>
        <v/>
      </c>
      <c r="H84" s="18">
        <f>H69+H70+H71</f>
        <v/>
      </c>
      <c r="I84" s="18">
        <f>I69+I70+I71</f>
        <v/>
      </c>
      <c r="J84" s="18">
        <f>J69+J70+J71</f>
        <v/>
      </c>
      <c r="K84" s="18">
        <f>K69+K70+K71</f>
        <v/>
      </c>
      <c r="L84" s="18">
        <f>L69+L70+L71</f>
        <v/>
      </c>
      <c r="M84" s="18">
        <f>M69+M70+M71</f>
        <v/>
      </c>
      <c r="N84" s="18">
        <f>N69+N70+N71</f>
        <v/>
      </c>
    </row>
    <row r="86">
      <c r="A86" s="5" t="inlineStr">
        <is>
          <t>EBITDA</t>
        </is>
      </c>
      <c r="B86" s="6" t="inlineStr">
        <is>
          <t>$mm</t>
        </is>
      </c>
      <c r="C86" s="6" t="inlineStr">
        <is>
          <t>Revenue minus OpEx</t>
        </is>
      </c>
      <c r="E86" s="7">
        <f>E67-E72</f>
        <v/>
      </c>
      <c r="F86" s="7">
        <f>F67-F72</f>
        <v/>
      </c>
      <c r="G86" s="7">
        <f>G67-G72</f>
        <v/>
      </c>
      <c r="H86" s="7">
        <f>H67-H72</f>
        <v/>
      </c>
      <c r="I86" s="7">
        <f>I67-I72</f>
        <v/>
      </c>
      <c r="J86" s="7">
        <f>J67-J72</f>
        <v/>
      </c>
      <c r="K86" s="7">
        <f>K67-K72</f>
        <v/>
      </c>
      <c r="L86" s="7">
        <f>L67-L72</f>
        <v/>
      </c>
      <c r="M86" s="7">
        <f>M67-M72</f>
        <v/>
      </c>
      <c r="N86" s="7">
        <f>N67-N72</f>
        <v/>
      </c>
    </row>
    <row r="89">
      <c r="A89" s="3" t="inlineStr">
        <is>
          <t>CASH FLOW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5" t="inlineStr">
        <is>
          <t>EBIT</t>
        </is>
      </c>
      <c r="B90" s="6" t="inlineStr">
        <is>
          <t>$mm</t>
        </is>
      </c>
      <c r="C90" s="6" t="inlineStr">
        <is>
          <t>EBITDA - Depreciation</t>
        </is>
      </c>
      <c r="E90" s="18">
        <f>E74-$D$56</f>
        <v/>
      </c>
      <c r="F90" s="18">
        <f>F74-$D$56</f>
        <v/>
      </c>
      <c r="G90" s="18">
        <f>G74-$D$56</f>
        <v/>
      </c>
      <c r="H90" s="18">
        <f>H74-$D$56</f>
        <v/>
      </c>
      <c r="I90" s="18">
        <f>I74-$D$56</f>
        <v/>
      </c>
      <c r="J90" s="18">
        <f>J74-$D$56</f>
        <v/>
      </c>
      <c r="K90" s="18">
        <f>K74-$D$56</f>
        <v/>
      </c>
      <c r="L90" s="18">
        <f>L74-$D$56</f>
        <v/>
      </c>
      <c r="M90" s="18">
        <f>M74-$D$56</f>
        <v/>
      </c>
      <c r="N90" s="18">
        <f>N74-$D$56</f>
        <v/>
      </c>
    </row>
    <row r="91">
      <c r="A91" s="5" t="inlineStr">
        <is>
          <t>Taxes</t>
        </is>
      </c>
      <c r="B91" s="6" t="inlineStr">
        <is>
          <t>$mm</t>
        </is>
      </c>
      <c r="C91" s="6" t="inlineStr">
        <is>
          <t>MAX(0, EBIT) × Tax Rate</t>
        </is>
      </c>
      <c r="E91" s="18">
        <f>MAX(0,E78)*$D$47</f>
        <v/>
      </c>
      <c r="F91" s="18">
        <f>MAX(0,F78)*$D$47</f>
        <v/>
      </c>
      <c r="G91" s="18">
        <f>MAX(0,G78)*$D$47</f>
        <v/>
      </c>
      <c r="H91" s="18">
        <f>MAX(0,H78)*$D$47</f>
        <v/>
      </c>
      <c r="I91" s="18">
        <f>MAX(0,I78)*$D$47</f>
        <v/>
      </c>
      <c r="J91" s="18">
        <f>MAX(0,J78)*$D$47</f>
        <v/>
      </c>
      <c r="K91" s="18">
        <f>MAX(0,K78)*$D$47</f>
        <v/>
      </c>
      <c r="L91" s="18">
        <f>MAX(0,L78)*$D$47</f>
        <v/>
      </c>
      <c r="M91" s="18">
        <f>MAX(0,M78)*$D$47</f>
        <v/>
      </c>
      <c r="N91" s="18">
        <f>MAX(0,N78)*$D$47</f>
        <v/>
      </c>
    </row>
    <row r="92">
      <c r="A92" s="5" t="inlineStr">
        <is>
          <t>CFADS</t>
        </is>
      </c>
      <c r="B92" s="6" t="inlineStr">
        <is>
          <t>$mm</t>
        </is>
      </c>
      <c r="C92" s="6" t="inlineStr">
        <is>
          <t>EBITDA - Taxes</t>
        </is>
      </c>
      <c r="E92" s="7">
        <f>E74-E79</f>
        <v/>
      </c>
      <c r="F92" s="7">
        <f>F74-F79</f>
        <v/>
      </c>
      <c r="G92" s="7">
        <f>G74-G79</f>
        <v/>
      </c>
      <c r="H92" s="7">
        <f>H74-H79</f>
        <v/>
      </c>
      <c r="I92" s="7">
        <f>I74-I79</f>
        <v/>
      </c>
      <c r="J92" s="7">
        <f>J74-J79</f>
        <v/>
      </c>
      <c r="K92" s="7">
        <f>K74-K79</f>
        <v/>
      </c>
      <c r="L92" s="7">
        <f>L74-L79</f>
        <v/>
      </c>
      <c r="M92" s="7">
        <f>M74-M79</f>
        <v/>
      </c>
      <c r="N92" s="7">
        <f>N74-N79</f>
        <v/>
      </c>
    </row>
    <row r="95">
      <c r="A95" s="3" t="inlineStr">
        <is>
          <t>DEBT SCHEDULE (75% Cash Sweep)</t>
        </is>
      </c>
      <c r="B95" s="4" t="n"/>
      <c r="C95" s="4" t="inlineStr">
        <is>
          <t>MIN(Excess×%, Bal−Sched)</t>
        </is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5" t="inlineStr">
        <is>
          <t>Beginning Balance</t>
        </is>
      </c>
      <c r="B96" s="6" t="inlineStr">
        <is>
          <t>$mm</t>
        </is>
      </c>
      <c r="C96" s="6" t="inlineStr"/>
      <c r="E96" s="18">
        <f>$D$55</f>
        <v/>
      </c>
      <c r="F96" s="18">
        <f>E91</f>
        <v/>
      </c>
      <c r="G96" s="18">
        <f>F91</f>
        <v/>
      </c>
      <c r="H96" s="18">
        <f>G91</f>
        <v/>
      </c>
      <c r="I96" s="18">
        <f>H91</f>
        <v/>
      </c>
      <c r="J96" s="18">
        <f>I91</f>
        <v/>
      </c>
      <c r="K96" s="18">
        <f>J91</f>
        <v/>
      </c>
      <c r="L96" s="18">
        <f>K91</f>
        <v/>
      </c>
      <c r="M96" s="18">
        <f>L91</f>
        <v/>
      </c>
      <c r="N96" s="18">
        <f>M91</f>
        <v/>
      </c>
    </row>
    <row r="97">
      <c r="A97" s="5" t="inlineStr">
        <is>
          <t>Interest</t>
        </is>
      </c>
      <c r="B97" s="6" t="inlineStr">
        <is>
          <t>$mm</t>
        </is>
      </c>
      <c r="C97" s="6" t="inlineStr">
        <is>
          <t>Beg Bal × Int Rate</t>
        </is>
      </c>
      <c r="E97" s="18">
        <f>E84*$D$40</f>
        <v/>
      </c>
      <c r="F97" s="18">
        <f>F84*$D$40</f>
        <v/>
      </c>
      <c r="G97" s="18">
        <f>G84*$D$40</f>
        <v/>
      </c>
      <c r="H97" s="18">
        <f>H84*$D$40</f>
        <v/>
      </c>
      <c r="I97" s="18">
        <f>I84*$D$40</f>
        <v/>
      </c>
      <c r="J97" s="18">
        <f>J84*$D$40</f>
        <v/>
      </c>
      <c r="K97" s="18">
        <f>K84*$D$40</f>
        <v/>
      </c>
      <c r="L97" s="18">
        <f>L84*$D$40</f>
        <v/>
      </c>
      <c r="M97" s="18">
        <f>M84*$D$40</f>
        <v/>
      </c>
      <c r="N97" s="18">
        <f>N84*$D$40</f>
        <v/>
      </c>
    </row>
    <row r="98">
      <c r="A98" s="5" t="inlineStr">
        <is>
          <t>Scheduled Principal</t>
        </is>
      </c>
      <c r="B98" s="6" t="inlineStr">
        <is>
          <t>$mm</t>
        </is>
      </c>
      <c r="C98" s="6" t="inlineStr">
        <is>
          <t>MIN(Sched, Beg Bal)</t>
        </is>
      </c>
      <c r="E98" s="18">
        <f>MIN($D$57,E84)</f>
        <v/>
      </c>
      <c r="F98" s="18">
        <f>MIN($D$57,F84)</f>
        <v/>
      </c>
      <c r="G98" s="18">
        <f>MIN($D$57,G84)</f>
        <v/>
      </c>
      <c r="H98" s="18">
        <f>MIN($D$57,H84)</f>
        <v/>
      </c>
      <c r="I98" s="18">
        <f>MIN($D$57,I84)</f>
        <v/>
      </c>
      <c r="J98" s="18">
        <f>MIN($D$57,J84)</f>
        <v/>
      </c>
      <c r="K98" s="18">
        <f>MIN($D$57,K84)</f>
        <v/>
      </c>
      <c r="L98" s="18">
        <f>MIN($D$57,L84)</f>
        <v/>
      </c>
      <c r="M98" s="18">
        <f>MIN($D$57,M84)</f>
        <v/>
      </c>
      <c r="N98" s="18">
        <f>MIN($D$57,N84)</f>
        <v/>
      </c>
    </row>
    <row r="99">
      <c r="A99" s="5" t="inlineStr">
        <is>
          <t>Debt Service (Pre-Sweep)</t>
        </is>
      </c>
      <c r="B99" s="6" t="inlineStr">
        <is>
          <t>$mm</t>
        </is>
      </c>
      <c r="C99" s="6" t="inlineStr">
        <is>
          <t>Interest + Sched Prin</t>
        </is>
      </c>
      <c r="E99" s="18">
        <f>E85+E86</f>
        <v/>
      </c>
      <c r="F99" s="18">
        <f>F85+F86</f>
        <v/>
      </c>
      <c r="G99" s="18">
        <f>G85+G86</f>
        <v/>
      </c>
      <c r="H99" s="18">
        <f>H85+H86</f>
        <v/>
      </c>
      <c r="I99" s="18">
        <f>I85+I86</f>
        <v/>
      </c>
      <c r="J99" s="18">
        <f>J85+J86</f>
        <v/>
      </c>
      <c r="K99" s="18">
        <f>K85+K86</f>
        <v/>
      </c>
      <c r="L99" s="18">
        <f>L85+L86</f>
        <v/>
      </c>
      <c r="M99" s="18">
        <f>M85+M86</f>
        <v/>
      </c>
      <c r="N99" s="18">
        <f>N85+N86</f>
        <v/>
      </c>
    </row>
    <row r="100">
      <c r="A100" s="5" t="inlineStr">
        <is>
          <t>Excess Cash</t>
        </is>
      </c>
      <c r="B100" s="6" t="inlineStr">
        <is>
          <t>$mm</t>
        </is>
      </c>
      <c r="C100" s="6" t="inlineStr">
        <is>
          <t>CFADS - DS - DSRA Funding</t>
        </is>
      </c>
      <c r="E100" s="18">
        <f>MAX(0,E80-E87-E98)</f>
        <v/>
      </c>
      <c r="F100" s="18">
        <f>MAX(0,F80-F87-F98)</f>
        <v/>
      </c>
      <c r="G100" s="18">
        <f>MAX(0,G80-G87-G98)</f>
        <v/>
      </c>
      <c r="H100" s="18">
        <f>MAX(0,H80-H87-H98)</f>
        <v/>
      </c>
      <c r="I100" s="18">
        <f>MAX(0,I80-I87-I98)</f>
        <v/>
      </c>
      <c r="J100" s="18">
        <f>MAX(0,J80-J87-J98)</f>
        <v/>
      </c>
      <c r="K100" s="18">
        <f>MAX(0,K80-K87-K98)</f>
        <v/>
      </c>
      <c r="L100" s="18">
        <f>MAX(0,L80-L87-L98)</f>
        <v/>
      </c>
      <c r="M100" s="18">
        <f>MAX(0,M80-M87-M98)</f>
        <v/>
      </c>
      <c r="N100" s="18">
        <f>MAX(0,N80-N87-N98)</f>
        <v/>
      </c>
    </row>
    <row r="101">
      <c r="A101" s="5" t="inlineStr">
        <is>
          <t>Cash Sweep</t>
        </is>
      </c>
      <c r="B101" s="6" t="inlineStr">
        <is>
          <t>$mm</t>
        </is>
      </c>
      <c r="C101" s="6" t="inlineStr">
        <is>
          <t>MIN(Excess×Sweep%, Beg-Sched)</t>
        </is>
      </c>
      <c r="E101" s="21">
        <f>MIN(MAX(0,E88)*$D$43,MAX(0,E84-E86))</f>
        <v/>
      </c>
      <c r="F101" s="21">
        <f>MIN(MAX(0,F88)*$D$43,MAX(0,F84-F86))</f>
        <v/>
      </c>
      <c r="G101" s="21">
        <f>MIN(MAX(0,G88)*$D$43,MAX(0,G84-G86))</f>
        <v/>
      </c>
      <c r="H101" s="21">
        <f>MIN(MAX(0,H88)*$D$43,MAX(0,H84-H86))</f>
        <v/>
      </c>
      <c r="I101" s="21">
        <f>MIN(MAX(0,I88)*$D$43,MAX(0,I84-I86))</f>
        <v/>
      </c>
      <c r="J101" s="21">
        <f>MIN(MAX(0,J88)*$D$43,MAX(0,J84-J86))</f>
        <v/>
      </c>
      <c r="K101" s="21">
        <f>MIN(MAX(0,K88)*$D$43,MAX(0,K84-K86))</f>
        <v/>
      </c>
      <c r="L101" s="21">
        <f>MIN(MAX(0,L88)*$D$43,MAX(0,L84-L86))</f>
        <v/>
      </c>
      <c r="M101" s="21">
        <f>MIN(MAX(0,M88)*$D$43,MAX(0,M84-M86))</f>
        <v/>
      </c>
      <c r="N101" s="21">
        <f>MIN(MAX(0,N88)*$D$43,MAX(0,N84-N86))</f>
        <v/>
      </c>
    </row>
    <row r="102">
      <c r="A102" s="5" t="inlineStr">
        <is>
          <t>Total Principal</t>
        </is>
      </c>
      <c r="B102" s="6" t="inlineStr">
        <is>
          <t>$mm</t>
        </is>
      </c>
      <c r="C102" s="6" t="inlineStr">
        <is>
          <t>Scheduled + Sweep</t>
        </is>
      </c>
      <c r="E102" s="18">
        <f>E86+E89</f>
        <v/>
      </c>
      <c r="F102" s="18">
        <f>F86+F89</f>
        <v/>
      </c>
      <c r="G102" s="18">
        <f>G86+G89</f>
        <v/>
      </c>
      <c r="H102" s="18">
        <f>H86+H89</f>
        <v/>
      </c>
      <c r="I102" s="18">
        <f>I86+I89</f>
        <v/>
      </c>
      <c r="J102" s="18">
        <f>J86+J89</f>
        <v/>
      </c>
      <c r="K102" s="18">
        <f>K86+K89</f>
        <v/>
      </c>
      <c r="L102" s="18">
        <f>L86+L89</f>
        <v/>
      </c>
      <c r="M102" s="18">
        <f>M86+M89</f>
        <v/>
      </c>
      <c r="N102" s="18">
        <f>N86+N89</f>
        <v/>
      </c>
    </row>
    <row r="103">
      <c r="A103" s="5" t="inlineStr">
        <is>
          <t>Ending Balance</t>
        </is>
      </c>
      <c r="B103" s="6" t="inlineStr">
        <is>
          <t>$mm</t>
        </is>
      </c>
      <c r="C103" s="6" t="inlineStr">
        <is>
          <t>MAX(0, Beg - Total Prin)</t>
        </is>
      </c>
      <c r="E103" s="18">
        <f>MAX(0,E84-E90)</f>
        <v/>
      </c>
      <c r="F103" s="18">
        <f>MAX(0,F84-F90)</f>
        <v/>
      </c>
      <c r="G103" s="18">
        <f>MAX(0,G84-G90)</f>
        <v/>
      </c>
      <c r="H103" s="18">
        <f>MAX(0,H84-H90)</f>
        <v/>
      </c>
      <c r="I103" s="18">
        <f>MAX(0,I84-I90)</f>
        <v/>
      </c>
      <c r="J103" s="18">
        <f>MAX(0,J84-J90)</f>
        <v/>
      </c>
      <c r="K103" s="18">
        <f>MAX(0,K84-K90)</f>
        <v/>
      </c>
      <c r="L103" s="18">
        <f>MAX(0,L84-L90)</f>
        <v/>
      </c>
      <c r="M103" s="18">
        <f>MAX(0,M84-M90)</f>
        <v/>
      </c>
      <c r="N103" s="18">
        <f>MAX(0,N84-N90)</f>
        <v/>
      </c>
    </row>
    <row r="104">
      <c r="A104" s="5" t="inlineStr">
        <is>
          <t>DSCR</t>
        </is>
      </c>
      <c r="B104" s="6" t="inlineStr">
        <is>
          <t>x</t>
        </is>
      </c>
      <c r="C104" s="6" t="inlineStr">
        <is>
          <t>CFADS / Debt Service</t>
        </is>
      </c>
      <c r="E104" s="24">
        <f>IF(E87&gt;0,E80/E87,0)</f>
        <v/>
      </c>
      <c r="F104" s="24">
        <f>IF(F87&gt;0,F80/F87,0)</f>
        <v/>
      </c>
      <c r="G104" s="24">
        <f>IF(G87&gt;0,G80/G87,0)</f>
        <v/>
      </c>
      <c r="H104" s="24">
        <f>IF(H87&gt;0,H80/H87,0)</f>
        <v/>
      </c>
      <c r="I104" s="24">
        <f>IF(I87&gt;0,I80/I87,0)</f>
        <v/>
      </c>
      <c r="J104" s="24">
        <f>IF(J87&gt;0,J80/J87,0)</f>
        <v/>
      </c>
      <c r="K104" s="24">
        <f>IF(K87&gt;0,K80/K87,0)</f>
        <v/>
      </c>
      <c r="L104" s="24">
        <f>IF(L87&gt;0,L80/L87,0)</f>
        <v/>
      </c>
      <c r="M104" s="24">
        <f>IF(M87&gt;0,M80/M87,0)</f>
        <v/>
      </c>
      <c r="N104" s="24">
        <f>IF(N87&gt;0,N80/N87,0)</f>
        <v/>
      </c>
    </row>
    <row r="105">
      <c r="A105" s="5" t="inlineStr">
        <is>
          <t>Scheduled DS (for DSRA)</t>
        </is>
      </c>
      <c r="B105" s="6" t="inlineStr">
        <is>
          <t>$mm</t>
        </is>
      </c>
      <c r="C105" s="6" t="inlineStr">
        <is>
          <t>Based on straight-line amort, no sweep</t>
        </is>
      </c>
      <c r="E105" s="18">
        <f>MAX(0,$D$55-(1-1)*$D$57)*$D$40+$D$57</f>
        <v/>
      </c>
      <c r="F105" s="18">
        <f>MAX(0,$D$55-(2-1)*$D$57)*$D$40+$D$57</f>
        <v/>
      </c>
      <c r="G105" s="18">
        <f>MAX(0,$D$55-(3-1)*$D$57)*$D$40+$D$57</f>
        <v/>
      </c>
      <c r="H105" s="18">
        <f>MAX(0,$D$55-(4-1)*$D$57)*$D$40+$D$57</f>
        <v/>
      </c>
      <c r="I105" s="18">
        <f>MAX(0,$D$55-(5-1)*$D$57)*$D$40+$D$57</f>
        <v/>
      </c>
      <c r="J105" s="18">
        <f>MAX(0,$D$55-(6-1)*$D$57)*$D$40+$D$57</f>
        <v/>
      </c>
      <c r="K105" s="18">
        <f>MAX(0,$D$55-(7-1)*$D$57)*$D$40+$D$57</f>
        <v/>
      </c>
      <c r="L105" s="18">
        <f>MAX(0,$D$55-(8-1)*$D$57)*$D$40+$D$57</f>
        <v/>
      </c>
      <c r="M105" s="18">
        <f>MAX(0,$D$55-(9-1)*$D$57)*$D$40+$D$57</f>
        <v/>
      </c>
      <c r="N105" s="18">
        <f>MAX(0,$D$55-(10-1)*$D$57)*$D$40+$D$57</f>
        <v/>
      </c>
    </row>
    <row r="107">
      <c r="A107" s="3" t="inlineStr">
        <is>
          <t>DSRA (Debt Service Reserve Account)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5" t="inlineStr">
        <is>
          <t>DSRA Target</t>
        </is>
      </c>
      <c r="B108" s="6" t="inlineStr">
        <is>
          <t>$mm</t>
        </is>
      </c>
      <c r="C108" s="6" t="inlineStr">
        <is>
          <t>Next Yr Scheduled DS × DSRA Months / 12</t>
        </is>
      </c>
      <c r="D108" s="18">
        <f>E93*$D$42/12</f>
        <v/>
      </c>
      <c r="E108" s="18">
        <f>F93*$D$42/12</f>
        <v/>
      </c>
      <c r="F108" s="18">
        <f>G93*$D$42/12</f>
        <v/>
      </c>
      <c r="G108" s="18">
        <f>H93*$D$42/12</f>
        <v/>
      </c>
      <c r="H108" s="18">
        <f>I93*$D$42/12</f>
        <v/>
      </c>
      <c r="I108" s="18">
        <f>J93*$D$42/12</f>
        <v/>
      </c>
      <c r="J108" s="18">
        <f>K93*$D$42/12</f>
        <v/>
      </c>
      <c r="K108" s="18">
        <f>L93*$D$42/12</f>
        <v/>
      </c>
      <c r="L108" s="18">
        <f>M93*$D$42/12</f>
        <v/>
      </c>
      <c r="M108" s="18">
        <f>N93*$D$42/12</f>
        <v/>
      </c>
      <c r="N108" s="18">
        <f>0</f>
        <v/>
      </c>
    </row>
    <row r="109">
      <c r="A109" s="5" t="inlineStr">
        <is>
          <t>DSRA Beginning</t>
        </is>
      </c>
      <c r="B109" s="6" t="inlineStr">
        <is>
          <t>$mm</t>
        </is>
      </c>
      <c r="C109" s="6" t="inlineStr"/>
      <c r="D109" s="18">
        <f>0</f>
        <v/>
      </c>
      <c r="E109" s="18">
        <f>D99</f>
        <v/>
      </c>
      <c r="F109" s="18">
        <f>E99</f>
        <v/>
      </c>
      <c r="G109" s="18">
        <f>F99</f>
        <v/>
      </c>
      <c r="H109" s="18">
        <f>G99</f>
        <v/>
      </c>
      <c r="I109" s="18">
        <f>H99</f>
        <v/>
      </c>
      <c r="J109" s="18">
        <f>I99</f>
        <v/>
      </c>
      <c r="K109" s="18">
        <f>J99</f>
        <v/>
      </c>
      <c r="L109" s="18">
        <f>K99</f>
        <v/>
      </c>
      <c r="M109" s="18">
        <f>L99</f>
        <v/>
      </c>
      <c r="N109" s="18">
        <f>M99</f>
        <v/>
      </c>
    </row>
    <row r="110">
      <c r="A110" s="5" t="inlineStr">
        <is>
          <t>DSRA Funding/(Release)</t>
        </is>
      </c>
      <c r="B110" s="6" t="inlineStr">
        <is>
          <t>$mm</t>
        </is>
      </c>
      <c r="C110" s="6" t="inlineStr">
        <is>
          <t>Target - Beginning</t>
        </is>
      </c>
      <c r="D110" s="18">
        <f>D96-D97</f>
        <v/>
      </c>
      <c r="E110" s="18">
        <f>E96-E97</f>
        <v/>
      </c>
      <c r="F110" s="18">
        <f>F96-F97</f>
        <v/>
      </c>
      <c r="G110" s="18">
        <f>G96-G97</f>
        <v/>
      </c>
      <c r="H110" s="18">
        <f>H96-H97</f>
        <v/>
      </c>
      <c r="I110" s="18">
        <f>I96-I97</f>
        <v/>
      </c>
      <c r="J110" s="18">
        <f>J96-J97</f>
        <v/>
      </c>
      <c r="K110" s="18">
        <f>K96-K97</f>
        <v/>
      </c>
      <c r="L110" s="18">
        <f>L96-L97</f>
        <v/>
      </c>
      <c r="M110" s="18">
        <f>M96-M97</f>
        <v/>
      </c>
      <c r="N110" s="18">
        <f>N96-N97</f>
        <v/>
      </c>
    </row>
    <row r="111">
      <c r="A111" s="5" t="inlineStr">
        <is>
          <t>DSRA Ending</t>
        </is>
      </c>
      <c r="B111" s="6" t="inlineStr">
        <is>
          <t>$mm</t>
        </is>
      </c>
      <c r="C111" s="6" t="inlineStr">
        <is>
          <t>Beginning + Funding</t>
        </is>
      </c>
      <c r="D111" s="18">
        <f>D97+D98</f>
        <v/>
      </c>
      <c r="E111" s="18">
        <f>E97+E98</f>
        <v/>
      </c>
      <c r="F111" s="18">
        <f>F97+F98</f>
        <v/>
      </c>
      <c r="G111" s="18">
        <f>G97+G98</f>
        <v/>
      </c>
      <c r="H111" s="18">
        <f>H97+H98</f>
        <v/>
      </c>
      <c r="I111" s="18">
        <f>I97+I98</f>
        <v/>
      </c>
      <c r="J111" s="18">
        <f>J97+J98</f>
        <v/>
      </c>
      <c r="K111" s="18">
        <f>K97+K98</f>
        <v/>
      </c>
      <c r="L111" s="18">
        <f>L97+L98</f>
        <v/>
      </c>
      <c r="M111" s="18">
        <f>M97+M98</f>
        <v/>
      </c>
      <c r="N111" s="18">
        <f>N97+N98</f>
        <v/>
      </c>
    </row>
    <row r="114">
      <c r="A114" s="3" t="inlineStr">
        <is>
          <t>DISTRIBUTION WATERFALL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5" t="inlineStr">
        <is>
          <t>Cash Available for Distribution</t>
        </is>
      </c>
      <c r="B115" s="6" t="inlineStr">
        <is>
          <t>$mm</t>
        </is>
      </c>
      <c r="C115" s="6" t="inlineStr">
        <is>
          <t>CFADS - Total DS - DSRA Fund</t>
        </is>
      </c>
      <c r="E115" s="18">
        <f>E80-(E85+E90)-E98</f>
        <v/>
      </c>
      <c r="F115" s="18">
        <f>F80-(F85+F90)-F98</f>
        <v/>
      </c>
      <c r="G115" s="18">
        <f>G80-(G85+G90)-G98</f>
        <v/>
      </c>
      <c r="H115" s="18">
        <f>H80-(H85+H90)-H98</f>
        <v/>
      </c>
      <c r="I115" s="18">
        <f>I80-(I85+I90)-I98</f>
        <v/>
      </c>
      <c r="J115" s="18">
        <f>J80-(J85+J90)-J98</f>
        <v/>
      </c>
      <c r="K115" s="18">
        <f>K80-(K85+K90)-K98</f>
        <v/>
      </c>
      <c r="L115" s="18">
        <f>L80-(L85+L90)-L98</f>
        <v/>
      </c>
      <c r="M115" s="18">
        <f>M80-(M85+M90)-M98</f>
        <v/>
      </c>
      <c r="N115" s="18">
        <f>N80-(N85+N90)-N98</f>
        <v/>
      </c>
    </row>
    <row r="116">
      <c r="A116" s="5" t="inlineStr">
        <is>
          <t>Lock-up Test</t>
        </is>
      </c>
      <c r="B116" s="6" t="inlineStr"/>
      <c r="C116" s="6" t="inlineStr">
        <is>
          <t>PASS if DSCR ≥ Lock-up</t>
        </is>
      </c>
      <c r="E116" s="22">
        <f>IF(E92&gt;=$D$44,"PASS","LOCKED")</f>
        <v/>
      </c>
      <c r="F116" s="22">
        <f>IF(F92&gt;=$D$44,"PASS","LOCKED")</f>
        <v/>
      </c>
      <c r="G116" s="22">
        <f>IF(G92&gt;=$D$44,"PASS","LOCKED")</f>
        <v/>
      </c>
      <c r="H116" s="22">
        <f>IF(H92&gt;=$D$44,"PASS","LOCKED")</f>
        <v/>
      </c>
      <c r="I116" s="22">
        <f>IF(I92&gt;=$D$44,"PASS","LOCKED")</f>
        <v/>
      </c>
      <c r="J116" s="22">
        <f>IF(J92&gt;=$D$44,"PASS","LOCKED")</f>
        <v/>
      </c>
      <c r="K116" s="22">
        <f>IF(K92&gt;=$D$44,"PASS","LOCKED")</f>
        <v/>
      </c>
      <c r="L116" s="22">
        <f>IF(L92&gt;=$D$44,"PASS","LOCKED")</f>
        <v/>
      </c>
      <c r="M116" s="22">
        <f>IF(M92&gt;=$D$44,"PASS","LOCKED")</f>
        <v/>
      </c>
      <c r="N116" s="22">
        <f>IF(N92&gt;=$D$44,"PASS","LOCKED")</f>
        <v/>
      </c>
    </row>
    <row r="117">
      <c r="A117" s="5" t="inlineStr">
        <is>
          <t>Distributable Cash</t>
        </is>
      </c>
      <c r="B117" s="6" t="inlineStr">
        <is>
          <t>$mm</t>
        </is>
      </c>
      <c r="C117" s="6" t="inlineStr">
        <is>
          <t>If PASS, MAX(0, Cash Avail)</t>
        </is>
      </c>
      <c r="E117" s="7">
        <f>IF(E104="PASS",MAX(0,E103),0)</f>
        <v/>
      </c>
      <c r="F117" s="7">
        <f>IF(F104="PASS",MAX(0,F103),0)</f>
        <v/>
      </c>
      <c r="G117" s="7">
        <f>IF(G104="PASS",MAX(0,G103),0)</f>
        <v/>
      </c>
      <c r="H117" s="7">
        <f>IF(H104="PASS",MAX(0,H103),0)</f>
        <v/>
      </c>
      <c r="I117" s="7">
        <f>IF(I104="PASS",MAX(0,I103),0)</f>
        <v/>
      </c>
      <c r="J117" s="7">
        <f>IF(J104="PASS",MAX(0,J103),0)</f>
        <v/>
      </c>
      <c r="K117" s="7">
        <f>IF(K104="PASS",MAX(0,K103),0)</f>
        <v/>
      </c>
      <c r="L117" s="7">
        <f>IF(L104="PASS",MAX(0,L103),0)</f>
        <v/>
      </c>
      <c r="M117" s="7">
        <f>IF(M104="PASS",MAX(0,M103),0)</f>
        <v/>
      </c>
      <c r="N117" s="7">
        <f>IF(N104="PASS",MAX(0,N103),0)</f>
        <v/>
      </c>
    </row>
    <row r="120">
      <c r="A120" s="3" t="inlineStr">
        <is>
          <t>SOURCES &amp; USES (Year 0)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3" t="inlineStr">
        <is>
          <t>USES</t>
        </is>
      </c>
      <c r="B121" s="6" t="inlineStr"/>
      <c r="C121" s="6" t="inlineStr"/>
    </row>
    <row r="122">
      <c r="A122" s="5" t="inlineStr">
        <is>
          <t xml:space="preserve">  Purchase Price</t>
        </is>
      </c>
      <c r="B122" s="6" t="inlineStr">
        <is>
          <t>$mm</t>
        </is>
      </c>
      <c r="C122" s="6" t="inlineStr"/>
      <c r="D122" s="18">
        <f>$D$17</f>
        <v/>
      </c>
    </row>
    <row r="123">
      <c r="A123" s="5" t="inlineStr">
        <is>
          <t xml:space="preserve">  Transaction Fees</t>
        </is>
      </c>
      <c r="B123" s="6" t="inlineStr">
        <is>
          <t>$mm</t>
        </is>
      </c>
      <c r="C123" s="6" t="inlineStr"/>
      <c r="D123" s="18">
        <f>$D$17*$D$18</f>
        <v/>
      </c>
    </row>
    <row r="124">
      <c r="A124" s="5" t="inlineStr">
        <is>
          <t xml:space="preserve">  DSRA Funding</t>
        </is>
      </c>
      <c r="B124" s="6" t="inlineStr">
        <is>
          <t>$mm</t>
        </is>
      </c>
      <c r="C124" s="6" t="inlineStr"/>
      <c r="D124" s="18">
        <f>D96</f>
        <v/>
      </c>
    </row>
    <row r="125">
      <c r="A125" s="5" t="inlineStr">
        <is>
          <t>Total Uses</t>
        </is>
      </c>
      <c r="B125" s="6" t="inlineStr">
        <is>
          <t>$mm</t>
        </is>
      </c>
      <c r="C125" s="6" t="inlineStr"/>
      <c r="D125" s="7">
        <f>D110+D111+D112</f>
        <v/>
      </c>
    </row>
    <row r="127">
      <c r="A127" s="23" t="inlineStr">
        <is>
          <t>SOURCES</t>
        </is>
      </c>
      <c r="B127" s="6" t="inlineStr"/>
      <c r="C127" s="6" t="inlineStr"/>
    </row>
    <row r="128">
      <c r="A128" s="5" t="inlineStr">
        <is>
          <t xml:space="preserve">  Debt</t>
        </is>
      </c>
      <c r="B128" s="6" t="inlineStr">
        <is>
          <t>$mm</t>
        </is>
      </c>
      <c r="C128" s="6" t="inlineStr"/>
      <c r="D128" s="18">
        <f>$D$55</f>
        <v/>
      </c>
    </row>
    <row r="129">
      <c r="A129" s="5" t="inlineStr">
        <is>
          <t xml:space="preserve">  Equity</t>
        </is>
      </c>
      <c r="B129" s="6" t="inlineStr">
        <is>
          <t>$mm</t>
        </is>
      </c>
      <c r="C129" s="6" t="inlineStr">
        <is>
          <t>Plug to balance</t>
        </is>
      </c>
      <c r="D129" s="18">
        <f>D113-D116</f>
        <v/>
      </c>
    </row>
    <row r="130">
      <c r="A130" s="5" t="inlineStr">
        <is>
          <t>Total Sources</t>
        </is>
      </c>
      <c r="B130" s="6" t="inlineStr">
        <is>
          <t>$mm</t>
        </is>
      </c>
      <c r="C130" s="6" t="inlineStr"/>
      <c r="D130" s="7">
        <f>D116+D117</f>
        <v/>
      </c>
    </row>
    <row r="131">
      <c r="A131" s="5" t="inlineStr">
        <is>
          <t>Balance Check</t>
        </is>
      </c>
      <c r="B131" s="6" t="inlineStr"/>
      <c r="C131" s="6" t="inlineStr"/>
      <c r="D131" s="10">
        <f>IF(ABS(D113-D118)&lt;0.01,"PASS","FAIL")</f>
        <v/>
      </c>
    </row>
    <row r="134">
      <c r="A134" s="3" t="inlineStr">
        <is>
          <t>EXIT CALCULATIONS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5" t="inlineStr">
        <is>
          <t>Exit EV</t>
        </is>
      </c>
      <c r="B135" s="6" t="inlineStr">
        <is>
          <t>$mm</t>
        </is>
      </c>
      <c r="C135" s="6" t="inlineStr">
        <is>
          <t>Exit Multiple × Exit Yr EBITDA</t>
        </is>
      </c>
      <c r="K135" s="18">
        <f>$D$19*K74</f>
        <v/>
      </c>
    </row>
    <row r="136">
      <c r="A136" s="5" t="inlineStr">
        <is>
          <t>Exit Debt Payoff</t>
        </is>
      </c>
      <c r="B136" s="6" t="inlineStr">
        <is>
          <t>$mm</t>
        </is>
      </c>
      <c r="C136" s="6" t="inlineStr">
        <is>
          <t>Ending Bal at Exit</t>
        </is>
      </c>
      <c r="K136" s="18">
        <f>K91</f>
        <v/>
      </c>
    </row>
    <row r="137">
      <c r="A137" s="5" t="inlineStr">
        <is>
          <t>DSRA Release</t>
        </is>
      </c>
      <c r="B137" s="6" t="inlineStr">
        <is>
          <t>$mm</t>
        </is>
      </c>
      <c r="C137" s="6" t="inlineStr">
        <is>
          <t>DSRA Ending at Exit</t>
        </is>
      </c>
      <c r="K137" s="18">
        <f>K99</f>
        <v/>
      </c>
    </row>
    <row r="138">
      <c r="A138" s="5" t="inlineStr">
        <is>
          <t>Exit Equity Proceeds</t>
        </is>
      </c>
      <c r="B138" s="6" t="inlineStr">
        <is>
          <t>$mm</t>
        </is>
      </c>
      <c r="C138" s="6" t="inlineStr">
        <is>
          <t>Exit EV - Debt + DSRA</t>
        </is>
      </c>
      <c r="K138" s="7">
        <f>K123-K124+K125</f>
        <v/>
      </c>
    </row>
    <row r="140">
      <c r="A140" s="3" t="inlineStr">
        <is>
          <t>EQUITY RETURNS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5" t="inlineStr">
        <is>
          <t>Equity Cash Flow</t>
        </is>
      </c>
      <c r="B141" s="6" t="inlineStr">
        <is>
          <t>$mm</t>
        </is>
      </c>
      <c r="C141" s="6" t="inlineStr"/>
      <c r="D141" s="18">
        <f>-D117</f>
        <v/>
      </c>
      <c r="E141" s="18">
        <f>E105</f>
        <v/>
      </c>
      <c r="F141" s="18">
        <f>F105</f>
        <v/>
      </c>
      <c r="G141" s="18">
        <f>G105</f>
        <v/>
      </c>
      <c r="H141" s="18">
        <f>H105</f>
        <v/>
      </c>
      <c r="I141" s="18">
        <f>I105</f>
        <v/>
      </c>
      <c r="J141" s="18">
        <f>J105</f>
        <v/>
      </c>
      <c r="K141" s="18">
        <f>K105+K126</f>
        <v/>
      </c>
      <c r="L141" s="18">
        <f>0</f>
        <v/>
      </c>
      <c r="M141" s="18">
        <f>0</f>
        <v/>
      </c>
      <c r="N141" s="18">
        <f>0</f>
        <v/>
      </c>
    </row>
    <row r="142">
      <c r="A142" s="5" t="inlineStr">
        <is>
          <t>Levered IRR</t>
        </is>
      </c>
      <c r="B142" s="6" t="inlineStr">
        <is>
          <t>%</t>
        </is>
      </c>
      <c r="C142" s="6" t="inlineStr">
        <is>
          <t>IRR of Equity CFs</t>
        </is>
      </c>
      <c r="D142" s="25">
        <f>IRR(D129:K129)</f>
        <v/>
      </c>
    </row>
    <row r="143">
      <c r="A143" s="5" t="inlineStr">
        <is>
          <t>MOIC</t>
        </is>
      </c>
      <c r="B143" s="6" t="inlineStr">
        <is>
          <t>x</t>
        </is>
      </c>
      <c r="C143" s="6" t="inlineStr">
        <is>
          <t>Sum inflows / outflow</t>
        </is>
      </c>
      <c r="D143" s="24">
        <f>SUMIF(D129:K129,"&gt;0")/ABS(D129)</f>
        <v/>
      </c>
    </row>
    <row r="145">
      <c r="A145" s="23" t="inlineStr">
        <is>
          <t>Unlevered Returns (for reference)</t>
        </is>
      </c>
      <c r="B145" s="6" t="inlineStr"/>
      <c r="C145" s="6" t="inlineStr"/>
    </row>
    <row r="146">
      <c r="A146" s="5" t="inlineStr">
        <is>
          <t>Unlevered Cash Flow</t>
        </is>
      </c>
      <c r="B146" s="6" t="inlineStr">
        <is>
          <t>$mm</t>
        </is>
      </c>
      <c r="C146" s="6" t="inlineStr"/>
      <c r="D146" s="18">
        <f>-$D$17-D111</f>
        <v/>
      </c>
      <c r="E146" s="18">
        <f>E80</f>
        <v/>
      </c>
      <c r="F146" s="18">
        <f>F80</f>
        <v/>
      </c>
      <c r="G146" s="18">
        <f>G80</f>
        <v/>
      </c>
      <c r="H146" s="18">
        <f>H80</f>
        <v/>
      </c>
      <c r="I146" s="18">
        <f>I80</f>
        <v/>
      </c>
      <c r="J146" s="18">
        <f>J80</f>
        <v/>
      </c>
      <c r="K146" s="18">
        <f>K80+K123</f>
        <v/>
      </c>
      <c r="L146" s="18">
        <f>0</f>
        <v/>
      </c>
      <c r="M146" s="18">
        <f>0</f>
        <v/>
      </c>
      <c r="N146" s="18">
        <f>0</f>
        <v/>
      </c>
    </row>
    <row r="147">
      <c r="A147" s="5" t="inlineStr">
        <is>
          <t>Unlevered IRR</t>
        </is>
      </c>
      <c r="B147" s="6" t="inlineStr">
        <is>
          <t>%</t>
        </is>
      </c>
      <c r="C147" s="6" t="inlineStr">
        <is>
          <t>IRR of Equity CFs</t>
        </is>
      </c>
      <c r="D147" s="25">
        <f>IRR(D134:K134)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2026-01-20T03:00:01Z</dcterms:created>
  <dcterms:modified xmlns:dcterms="http://purl.org/dc/terms/" xmlns:xsi="http://www.w3.org/2001/XMLSchema-instance" xsi:type="dcterms:W3CDTF">2026-01-21T01:15:04Z</dcterms:modified>
</cp:coreProperties>
</file>