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" sheetId="1" state="visible" r:id="rId1"/>
    <sheet xmlns:r="http://schemas.openxmlformats.org/officeDocument/2006/relationships" name="IC Mem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_);(#,##0.0)"/>
    <numFmt numFmtId="165" formatCode="0.00&quot;x&quot;"/>
    <numFmt numFmtId="166" formatCode="0.0%"/>
    <numFmt numFmtId="167" formatCode="#,##0.0"/>
  </numFmts>
  <fonts count="11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  <font>
      <b val="1"/>
      <sz val="16"/>
    </font>
    <font>
      <b val="1"/>
      <sz val="11"/>
    </font>
    <font>
      <sz val="10"/>
    </font>
    <font>
      <b val="1"/>
      <sz val="10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4" borderId="1" pivotButton="0" quotePrefix="0" xfId="0"/>
    <xf numFmtId="165" fontId="2" fillId="4" borderId="1" pivotButton="0" quotePrefix="0" xfId="0"/>
    <xf numFmtId="166" fontId="2" fillId="4" borderId="1" pivotButton="0" quotePrefix="0" xfId="0"/>
    <xf numFmtId="0" fontId="2" fillId="4" borderId="1" pivotButton="0" quotePrefix="0" xfId="0"/>
    <xf numFmtId="164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3" fontId="6" fillId="3" borderId="1" pivotButton="0" quotePrefix="0" xfId="0"/>
    <xf numFmtId="4" fontId="6" fillId="3" borderId="1" pivotButton="0" quotePrefix="0" xfId="0"/>
    <xf numFmtId="164" fontId="4" fillId="0" borderId="1" pivotButton="0" quotePrefix="0" xfId="0"/>
    <xf numFmtId="167" fontId="4" fillId="0" borderId="1" pivotButton="0" quotePrefix="0" xfId="0"/>
    <xf numFmtId="4" fontId="4" fillId="0" borderId="1" pivotButton="0" quotePrefix="0" xfId="0"/>
    <xf numFmtId="164" fontId="4" fillId="5" borderId="1" pivotButton="0" quotePrefix="0" xfId="0"/>
    <xf numFmtId="0" fontId="4" fillId="0" borderId="1" pivotButton="0" quotePrefix="0" xfId="0"/>
    <xf numFmtId="0" fontId="2" fillId="0" borderId="0" pivotButton="0" quotePrefix="0" xfId="0"/>
    <xf numFmtId="165" fontId="2" fillId="4" borderId="1" pivotButton="0" quotePrefix="0" xfId="0"/>
    <xf numFmtId="166" fontId="2" fillId="4" borderId="1" pivotButton="0" quotePrefix="0" xfId="0"/>
    <xf numFmtId="166" fontId="6" fillId="3" borderId="1" pivotButton="0" quotePrefix="0" xfId="0"/>
    <xf numFmtId="165" fontId="6" fillId="3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Lotus Infrastructure</author>
  </authors>
  <commentList>
    <comment ref="C3" authorId="0" shapeId="0">
      <text>
        <t>Enterprise Value = Equity + Debt. Represents total asset value regardless of financing structure. Key input for returns analysis.</t>
      </text>
    </comment>
    <comment ref="C4" authorId="0" shapeId="0">
      <text>
        <t>Earnings Before Interest, Taxes, Depreciation, Amortization. Cash earnings available to service debt and pay equity.</t>
      </text>
    </comment>
    <comment ref="C5" authorId="0" shapeId="0">
      <text>
        <t>Cash Flow Available for Debt Service. What remains after taxes to pay interest and principal. DSCR = CFADS ÷ DS.</t>
      </text>
    </comment>
    <comment ref="C6" authorId="0" shapeId="0">
      <text>
        <t>Debt Service Coverage Ratio. Key lender metric. &lt;1.0x means insufficient cash to pay debt. Target: 1.25-1.40x.</t>
      </text>
    </comment>
    <comment ref="C7" authorId="0" shapeId="0">
      <text>
        <t>Return to equity after debt service. Should exceed cost of equity (12-15% for infra). Leverage amplifies returns.</t>
      </text>
    </comment>
    <comment ref="C8" authorId="0" shapeId="0">
      <text>
        <t>Multiple on Invested Capital. Cash-on-cash return. 2.0x = doubled money. Less sensitive to timing than IRR.</t>
      </text>
    </comment>
    <comment ref="C9" authorId="0" shapeId="0">
      <text>
        <t>Return to equity after debt service. Should exceed cost of equity (12-15% for infra). Leverage amplifies returns.</t>
      </text>
    </comment>
    <comment ref="C13" authorId="0" shapeId="0">
      <text>
        <t>Debt Service Coverage Ratio. Key lender metric. &lt;1.0x means insufficient cash to pay debt. Target: 1.25-1.40x.</t>
      </text>
    </comment>
    <comment ref="C17" authorId="0" shapeId="0">
      <text>
        <t>Enterprise Value = Equity + Debt. Represents total asset value regardless of financing structure. Key input for returns analysis.</t>
      </text>
    </comment>
    <comment ref="C18" authorId="0" shapeId="0">
      <text>
        <t>Typical 1-2% of EV for legal, accounting, advisory fees. Funded at close, increases total uses.</t>
      </text>
    </comment>
    <comment ref="C19" authorId="0" shapeId="0">
      <text>
        <t>Assumed sale multiple at exit. Conservative approach: use entry multiple. Upside case: multiple expansion from derisking.</t>
      </text>
    </comment>
    <comment ref="C20" authorId="0" shapeId="0">
      <text>
        <t>Typical PE hold is 5-7 years. Often aligned with debt tenor to avoid refinancing risk.</t>
      </text>
    </comment>
    <comment ref="C22" authorId="0" shapeId="0">
      <text>
        <t>Growth phase (Y1-5) as wells connect, then decline (Y6+) as reservoir depletes. Model inflection carefully.</t>
      </text>
    </comment>
    <comment ref="C23" authorId="0" shapeId="0">
      <text>
        <t>Growth phase (Y1-5) as wells connect, then decline (Y6+) as reservoir depletes. Model inflection carefully.</t>
      </text>
    </comment>
    <comment ref="C24" authorId="0" shapeId="0">
      <text>
        <t>Volume growth as new wells come online. Typical growth phase Y1-5 as basin develops.</t>
      </text>
    </comment>
    <comment ref="C25" authorId="0" shapeId="0">
      <text>
        <t>Volume decline as reservoir depletes. 5%/yr typical for mature basin. Accelerates in late life.</t>
      </text>
    </comment>
    <comment ref="C28" authorId="0" shapeId="0">
      <text>
        <t>Fee-for-service revenue. Predictable but volume-dependent. Check MVC terms.</t>
      </text>
    </comment>
    <comment ref="C29" authorId="0" shapeId="0">
      <text>
        <t>Fee-for-service revenue. Predictable but volume-dependent. Check MVC terms.</t>
      </text>
    </comment>
    <comment ref="C37" authorId="0" shapeId="0">
      <text>
        <t>Higher leverage amplifies equity returns but increases risk. Merchant assets: 40-50%. Contracted: 60-70%.</t>
      </text>
    </comment>
    <comment ref="C38" authorId="0" shapeId="0">
      <text>
        <t>Includes spread over benchmark (SOFR). Investment grade infra: 150-250 bps spread. Sub-IG: 300-500 bps.</t>
      </text>
    </comment>
    <comment ref="C39" authorId="0" shapeId="0">
      <text>
        <t>Shorter tenor = faster amortization = lower refinancing risk but higher annual debt service.</t>
      </text>
    </comment>
    <comment ref="C40" authorId="0" shapeId="0">
      <text>
        <t>6 months is market standard. Provides lender runway if borrower misses payment. Funded at close.</t>
      </text>
    </comment>
    <comment ref="C41" authorId="0" shapeId="0">
      <text>
        <t>Mandatory prepayment from excess cash. Lenders require this for merchant assets to accelerate deleveraging.</t>
      </text>
    </comment>
    <comment ref="C42" authorId="0" shapeId="0">
      <text>
        <t>If DSCR falls below this level, cash is trapped and cannot be distributed to equity. Typically 1.10-1.15x.</t>
      </text>
    </comment>
    <comment ref="C45" authorId="0" shapeId="0">
      <text>
        <t>US federal ~21% + state. Use blended effective rate. Shields reduce taxable income.</t>
      </text>
    </comment>
    <comment ref="C46" authorId="0" shapeId="0">
      <text>
        <t>Excludes land (~15% of EV). Depreciation creates tax shield, improves after-tax cash flow.</t>
      </text>
    </comment>
    <comment ref="C55" authorId="0" shapeId="0">
      <text>
        <t>Growth phase (Y1-5) as wells connect, then decline (Y6+) as reservoir depletes. Model inflection carefully.</t>
      </text>
    </comment>
    <comment ref="C56" authorId="0" shapeId="0">
      <text>
        <t>Growth phase (Y1-5) as wells connect, then decline (Y6+) as reservoir depletes. Model inflection carefully.</t>
      </text>
    </comment>
    <comment ref="C57" authorId="0" shapeId="0">
      <text>
        <t>Fee-for-service revenue. Predictable but volume-dependent. Check MVC terms.</t>
      </text>
    </comment>
    <comment ref="C62" authorId="0" shapeId="0">
      <text>
        <t>Earnings Before Interest, Taxes, Depreciation, Amortization. Cash earnings available to service debt and pay equity.</t>
      </text>
    </comment>
    <comment ref="C68" authorId="0" shapeId="0">
      <text>
        <t>Cash Flow Available for Debt Service. What remains after taxes to pay interest and principal. DSCR = CFADS ÷ DS.</t>
      </text>
    </comment>
    <comment ref="C70" authorId="0" shapeId="0">
      <text>
        <t>Mandatory prepayment from excess cash. Lenders require this for merchant assets to accelerate deleveraging.</t>
      </text>
    </comment>
    <comment ref="C71" authorId="0" shapeId="0">
      <text>
        <t>Debt outstanding at start of year. Decreases as principal is paid or swept.</t>
      </text>
    </comment>
    <comment ref="C72" authorId="0" shapeId="0">
      <text>
        <t>Interest accrues on outstanding balance. As principal amortizes, interest drops — the deleveraging benefit to equity.</t>
      </text>
    </comment>
    <comment ref="C74" authorId="0" shapeId="0">
      <text>
        <t>Mandatory prepayment from excess cash. Lenders require this for merchant assets to accelerate deleveraging.</t>
      </text>
    </comment>
    <comment ref="C76" authorId="0" shapeId="0">
      <text>
        <t>Mandatory prepayment from excess cash. Lenders require this for merchant assets to accelerate deleveraging.</t>
      </text>
    </comment>
    <comment ref="C78" authorId="0" shapeId="0">
      <text>
        <t>Debt remaining after payments. Should reach zero by tenor end. MAX(0,...) prevents negative balance.</t>
      </text>
    </comment>
    <comment ref="C79" authorId="0" shapeId="0">
      <text>
        <t>Debt Service Coverage Ratio. Key lender metric. &lt;1.0x means insufficient cash to pay debt. Target: 1.25-1.40x.</t>
      </text>
    </comment>
    <comment ref="C83" authorId="0" shapeId="0">
      <text>
        <t>Reserve sized to cover NEXT years debt service. Uses SCHEDULED DS (not actual) to avoid circular reference. Released at exit.</t>
      </text>
    </comment>
    <comment ref="C85" authorId="0" shapeId="0">
      <text>
        <t>Positive = funding requirement (reduces distributable). Negative = release (increases distributable).</t>
      </text>
    </comment>
    <comment ref="C90" authorId="0" shapeId="0">
      <text>
        <t>Cash available to equity after debt service and DSRA. Trapped if DSCR below lock-up threshold.</t>
      </text>
    </comment>
    <comment ref="C95" authorId="0" shapeId="0">
      <text>
        <t>Typical 1-2% of EV for legal, accounting, advisory fees. Funded at close, increases total uses.</t>
      </text>
    </comment>
    <comment ref="C96" authorId="0" shapeId="0">
      <text>
        <t>Positive = funding requirement (reduces distributable). Negative = release (increases distributable).</t>
      </text>
    </comment>
    <comment ref="C113" authorId="0" shapeId="0">
      <text>
        <t>Return to equity after debt service. Should exceed cost of equity (12-15% for infra). Leverage amplifies returns.</t>
      </text>
    </comment>
    <comment ref="C114" authorId="0" shapeId="0">
      <text>
        <t>Multiple on Invested Capital. Cash-on-cash return. 2.0x = doubled money. Less sensitive to timing than IRR.</t>
      </text>
    </comment>
    <comment ref="C118" authorId="0" shapeId="0">
      <text>
        <t>Return to equity after debt service. Should exceed cost of equity (12-15% for infra). Leverage amplifies returns.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18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Midstream Model - Lotus Infrastructure Partners</t>
        </is>
      </c>
      <c r="D1" s="2" t="n">
        <v>0</v>
      </c>
      <c r="E1" s="2" t="n">
        <v>1</v>
      </c>
      <c r="F1" s="2" t="n">
        <v>2</v>
      </c>
      <c r="G1" s="2" t="n">
        <v>3</v>
      </c>
      <c r="H1" s="2" t="n">
        <v>4</v>
      </c>
      <c r="I1" s="2" t="n">
        <v>5</v>
      </c>
      <c r="J1" s="2" t="n">
        <v>6</v>
      </c>
      <c r="K1" s="2" t="n">
        <v>7</v>
      </c>
      <c r="L1" s="2" t="n">
        <v>8</v>
      </c>
      <c r="M1" s="2" t="n">
        <v>9</v>
      </c>
      <c r="N1" s="2" t="n">
        <v>10</v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>
        <is>
          <t>Purchase price for asset</t>
        </is>
      </c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>
        <f> Revenue − OpEx</f>
        <v/>
      </c>
      <c r="D4" s="7">
        <f>E62</f>
        <v/>
      </c>
    </row>
    <row r="5">
      <c r="A5" s="5" t="inlineStr">
        <is>
          <t>Avg CFADS (Y1-Y5)</t>
        </is>
      </c>
      <c r="B5" s="6" t="inlineStr">
        <is>
          <t>$mm</t>
        </is>
      </c>
      <c r="C5" s="6">
        <f> EBITDA − Taxes</f>
        <v/>
      </c>
      <c r="D5" s="7">
        <f>AVERAGE(E68:I68)</f>
        <v/>
      </c>
    </row>
    <row r="6">
      <c r="A6" s="5" t="inlineStr">
        <is>
          <t>Min DSCR (Y1-Y5)</t>
        </is>
      </c>
      <c r="B6" s="6" t="inlineStr">
        <is>
          <t>x</t>
        </is>
      </c>
      <c r="C6" s="6">
        <f> CFADS / Debt Service</f>
        <v/>
      </c>
      <c r="D6" s="22">
        <f>MIN(E79:I79)</f>
        <v/>
      </c>
    </row>
    <row r="7">
      <c r="A7" s="5" t="inlineStr">
        <is>
          <t>Levered IRR</t>
        </is>
      </c>
      <c r="B7" s="6" t="inlineStr">
        <is>
          <t>%</t>
        </is>
      </c>
      <c r="C7" s="6">
        <f> IRR(Equity CF)</f>
        <v/>
      </c>
      <c r="D7" s="23">
        <f>D113</f>
        <v/>
      </c>
    </row>
    <row r="8">
      <c r="A8" s="5" t="inlineStr">
        <is>
          <t>MOIC</t>
        </is>
      </c>
      <c r="B8" s="6" t="inlineStr">
        <is>
          <t>x</t>
        </is>
      </c>
      <c r="C8" s="6">
        <f> Total In / Total Out</f>
        <v/>
      </c>
      <c r="D8" s="22">
        <f>D114</f>
        <v/>
      </c>
    </row>
    <row r="9">
      <c r="A9" s="5" t="inlineStr">
        <is>
          <t>Unlevered IRR</t>
        </is>
      </c>
      <c r="B9" s="6" t="inlineStr">
        <is>
          <t>%</t>
        </is>
      </c>
      <c r="C9" s="6">
        <f> IRR(Equity CF)</f>
        <v/>
      </c>
      <c r="D9" s="23">
        <f>D118</f>
        <v/>
      </c>
    </row>
    <row r="10">
      <c r="A10" s="3" t="inlineStr">
        <is>
          <t>═══ QA CHECKS ═══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</row>
    <row r="11">
      <c r="A11" s="5" t="inlineStr">
        <is>
          <t>S&amp;U Balance</t>
        </is>
      </c>
      <c r="B11" s="6" t="inlineStr"/>
      <c r="C11" s="6" t="inlineStr"/>
      <c r="D11" s="10">
        <f>D103</f>
        <v/>
      </c>
    </row>
    <row r="12">
      <c r="A12" s="5" t="inlineStr">
        <is>
          <t>Debt Payoff Y5</t>
        </is>
      </c>
      <c r="B12" s="6" t="inlineStr"/>
      <c r="C12" s="6" t="inlineStr"/>
      <c r="D12" s="10">
        <f>IF(I78&lt;1,"PASS","FAIL")</f>
        <v/>
      </c>
    </row>
    <row r="13">
      <c r="A13" s="5" t="inlineStr">
        <is>
          <t>Min DSCR ≥ 1.25x</t>
        </is>
      </c>
      <c r="B13" s="6" t="inlineStr"/>
      <c r="C13" s="6">
        <f> CFADS / Debt Service</f>
        <v/>
      </c>
      <c r="D13" s="10">
        <f>IF(D6&gt;=1.25,"PASS","FAIL")</f>
        <v/>
      </c>
    </row>
    <row r="16">
      <c r="A16" s="3" t="inlineStr">
        <is>
          <t>TRANSACTION INPUTS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>
      <c r="A17" s="5" t="inlineStr">
        <is>
          <t>Entry EV</t>
        </is>
      </c>
      <c r="B17" s="6" t="inlineStr">
        <is>
          <t>$mm</t>
        </is>
      </c>
      <c r="C17" s="6" t="inlineStr">
        <is>
          <t>Purchase price</t>
        </is>
      </c>
      <c r="D17" s="11" t="n">
        <v>85</v>
      </c>
    </row>
    <row r="18">
      <c r="A18" s="5" t="inlineStr">
        <is>
          <t>Transaction Fees</t>
        </is>
      </c>
      <c r="B18" s="6" t="inlineStr">
        <is>
          <t>%</t>
        </is>
      </c>
      <c r="C18" s="6" t="inlineStr">
        <is>
          <t>Legal, advisory, financing</t>
        </is>
      </c>
      <c r="D18" s="24" t="n">
        <v>0.015</v>
      </c>
    </row>
    <row r="19">
      <c r="A19" s="5" t="inlineStr">
        <is>
          <t>Exit Multiple</t>
        </is>
      </c>
      <c r="B19" s="6" t="inlineStr">
        <is>
          <t>x</t>
        </is>
      </c>
      <c r="C19" s="6" t="inlineStr">
        <is>
          <t>Compressed for decline</t>
        </is>
      </c>
      <c r="D19" s="25" t="n">
        <v>6.5</v>
      </c>
    </row>
    <row r="20">
      <c r="A20" s="5" t="inlineStr">
        <is>
          <t>Exit Year</t>
        </is>
      </c>
      <c r="B20" s="6" t="inlineStr">
        <is>
          <t>#</t>
        </is>
      </c>
      <c r="C20" s="6" t="inlineStr">
        <is>
          <t>Hold period</t>
        </is>
      </c>
      <c r="D20" s="14" t="n">
        <v>7</v>
      </c>
    </row>
    <row r="22">
      <c r="A22" s="3" t="inlineStr">
        <is>
          <t>VOLUME INPUTS</t>
        </is>
      </c>
      <c r="B22" s="4" t="n"/>
      <c r="C22" s="4">
        <f> Growth then Decline</f>
        <v/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</row>
    <row r="23">
      <c r="A23" s="5" t="inlineStr">
        <is>
          <t>Y1 Volume</t>
        </is>
      </c>
      <c r="B23" s="6" t="inlineStr">
        <is>
          <t>MMcf/d</t>
        </is>
      </c>
      <c r="C23" s="6" t="inlineStr">
        <is>
          <t>Daily throughput</t>
        </is>
      </c>
      <c r="D23" s="14" t="n">
        <v>80</v>
      </c>
    </row>
    <row r="24">
      <c r="A24" s="5" t="inlineStr">
        <is>
          <t>Growth Rate Y1-Y5</t>
        </is>
      </c>
      <c r="B24" s="6" t="inlineStr">
        <is>
          <t>%/yr</t>
        </is>
      </c>
      <c r="C24" s="6" t="inlineStr">
        <is>
          <t>Drilling phase</t>
        </is>
      </c>
      <c r="D24" s="24" t="n">
        <v>0.03</v>
      </c>
    </row>
    <row r="25">
      <c r="A25" s="5" t="inlineStr">
        <is>
          <t>Decline Rate Y6-Y10</t>
        </is>
      </c>
      <c r="B25" s="6" t="inlineStr">
        <is>
          <t>%/yr</t>
        </is>
      </c>
      <c r="C25" s="6" t="inlineStr">
        <is>
          <t>Depletion phase</t>
        </is>
      </c>
      <c r="D25" s="24" t="n">
        <v>0.05</v>
      </c>
    </row>
    <row r="27">
      <c r="A27" s="3" t="inlineStr">
        <is>
          <t>PRICING INPUTS</t>
        </is>
      </c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</row>
    <row r="28">
      <c r="A28" s="5" t="inlineStr">
        <is>
          <t>Total Fee</t>
        </is>
      </c>
      <c r="B28" s="6" t="inlineStr">
        <is>
          <t>$/Mcf</t>
        </is>
      </c>
      <c r="C28" s="6" t="inlineStr">
        <is>
          <t>Gathering + compression</t>
        </is>
      </c>
      <c r="D28" s="15" t="n">
        <v>0.55</v>
      </c>
    </row>
    <row r="29">
      <c r="A29" s="5" t="inlineStr">
        <is>
          <t>Fee Escalation</t>
        </is>
      </c>
      <c r="B29" s="6" t="inlineStr">
        <is>
          <t>%/yr</t>
        </is>
      </c>
      <c r="C29" s="6" t="inlineStr">
        <is>
          <t>Contract escalation</t>
        </is>
      </c>
      <c r="D29" s="24" t="n">
        <v>0.02</v>
      </c>
    </row>
    <row r="31">
      <c r="A31" s="3" t="inlineStr">
        <is>
          <t>COST INPUTS</t>
        </is>
      </c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</row>
    <row r="32">
      <c r="A32" s="5" t="inlineStr">
        <is>
          <t>O&amp;M Y1</t>
        </is>
      </c>
      <c r="B32" s="6" t="inlineStr">
        <is>
          <t>$mm</t>
        </is>
      </c>
      <c r="C32" s="6" t="inlineStr">
        <is>
          <t>Operating costs</t>
        </is>
      </c>
      <c r="D32" s="11" t="n">
        <v>3.5</v>
      </c>
    </row>
    <row r="33">
      <c r="A33" s="5" t="inlineStr">
        <is>
          <t>O&amp;M Escalation</t>
        </is>
      </c>
      <c r="B33" s="6" t="inlineStr">
        <is>
          <t>%/yr</t>
        </is>
      </c>
      <c r="C33" s="6" t="inlineStr">
        <is>
          <t>Cost escalation</t>
        </is>
      </c>
      <c r="D33" s="24" t="n">
        <v>0.025</v>
      </c>
    </row>
    <row r="34">
      <c r="A34" s="5" t="inlineStr">
        <is>
          <t>Growth Capex Y1-Y5</t>
        </is>
      </c>
      <c r="B34" s="6" t="inlineStr">
        <is>
          <t>$mm/yr</t>
        </is>
      </c>
      <c r="C34" s="6" t="inlineStr">
        <is>
          <t>Compression, looping</t>
        </is>
      </c>
      <c r="D34" s="11" t="n">
        <v>2</v>
      </c>
    </row>
    <row r="36">
      <c r="A36" s="3" t="inlineStr">
        <is>
          <t>FINANCING INPUTS</t>
        </is>
      </c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</row>
    <row r="37">
      <c r="A37" s="5" t="inlineStr">
        <is>
          <t>Leverage</t>
        </is>
      </c>
      <c r="B37" s="6" t="inlineStr">
        <is>
          <t>%</t>
        </is>
      </c>
      <c r="C37" s="6" t="inlineStr">
        <is>
          <t>Debt / Entry EV</t>
        </is>
      </c>
      <c r="D37" s="24" t="n">
        <v>0.3</v>
      </c>
    </row>
    <row r="38">
      <c r="A38" s="5" t="inlineStr">
        <is>
          <t>Interest Rate</t>
        </is>
      </c>
      <c r="B38" s="6" t="inlineStr">
        <is>
          <t>%</t>
        </is>
      </c>
      <c r="C38" s="6" t="inlineStr">
        <is>
          <t>Higher (basin risk)</t>
        </is>
      </c>
      <c r="D38" s="24" t="n">
        <v>0.07000000000000001</v>
      </c>
    </row>
    <row r="39">
      <c r="A39" s="5" t="inlineStr">
        <is>
          <t>Debt Tenor</t>
        </is>
      </c>
      <c r="B39" s="6" t="inlineStr">
        <is>
          <t>years</t>
        </is>
      </c>
      <c r="C39" s="6" t="inlineStr">
        <is>
          <t>Short - pre-decline</t>
        </is>
      </c>
      <c r="D39" s="14" t="n">
        <v>5</v>
      </c>
    </row>
    <row r="40">
      <c r="A40" s="5" t="inlineStr">
        <is>
          <t>DSRA Months</t>
        </is>
      </c>
      <c r="B40" s="6" t="inlineStr">
        <is>
          <t>months</t>
        </is>
      </c>
      <c r="C40" s="6" t="inlineStr">
        <is>
          <t>Debt service reserve</t>
        </is>
      </c>
      <c r="D40" s="14" t="n">
        <v>6</v>
      </c>
    </row>
    <row r="41">
      <c r="A41" s="5" t="inlineStr">
        <is>
          <t>Cash Sweep %</t>
        </is>
      </c>
      <c r="B41" s="6" t="inlineStr">
        <is>
          <t>%</t>
        </is>
      </c>
      <c r="C41" s="6" t="inlineStr">
        <is>
          <t>Aggressive paydown</t>
        </is>
      </c>
      <c r="D41" s="24" t="n">
        <v>0.75</v>
      </c>
    </row>
    <row r="42">
      <c r="A42" s="5" t="inlineStr">
        <is>
          <t>Lock-up DSCR</t>
        </is>
      </c>
      <c r="B42" s="6" t="inlineStr">
        <is>
          <t>x</t>
        </is>
      </c>
      <c r="C42" s="6" t="inlineStr">
        <is>
          <t>Distribution threshold</t>
        </is>
      </c>
      <c r="D42" s="25" t="n">
        <v>1.1</v>
      </c>
    </row>
    <row r="44">
      <c r="A44" s="3" t="inlineStr">
        <is>
          <t>TAX INPUTS</t>
        </is>
      </c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</row>
    <row r="45">
      <c r="A45" s="5" t="inlineStr">
        <is>
          <t>Tax Rate</t>
        </is>
      </c>
      <c r="B45" s="6" t="inlineStr">
        <is>
          <t>%</t>
        </is>
      </c>
      <c r="C45" s="6" t="inlineStr">
        <is>
          <t>Blended federal + state</t>
        </is>
      </c>
      <c r="D45" s="24" t="n">
        <v>0.25</v>
      </c>
    </row>
    <row r="46">
      <c r="A46" s="5" t="inlineStr">
        <is>
          <t>Depreciable Basis</t>
        </is>
      </c>
      <c r="B46" s="6" t="inlineStr">
        <is>
          <t>%</t>
        </is>
      </c>
      <c r="C46" s="6" t="inlineStr">
        <is>
          <t>% of EV for depreciation</t>
        </is>
      </c>
      <c r="D46" s="24" t="n">
        <v>0.8</v>
      </c>
    </row>
    <row r="47">
      <c r="A47" s="5" t="inlineStr">
        <is>
          <t>Depreciation Life</t>
        </is>
      </c>
      <c r="B47" s="6" t="inlineStr">
        <is>
          <t>years</t>
        </is>
      </c>
      <c r="C47" s="6" t="inlineStr">
        <is>
          <t>Straight-line</t>
        </is>
      </c>
      <c r="D47" s="14" t="n">
        <v>15</v>
      </c>
    </row>
    <row r="49">
      <c r="A49" s="3" t="inlineStr">
        <is>
          <t>CALCULATED ITEMS</t>
        </is>
      </c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</row>
    <row r="50">
      <c r="A50" s="5" t="inlineStr">
        <is>
          <t>Debt Amount</t>
        </is>
      </c>
      <c r="B50" s="6" t="inlineStr">
        <is>
          <t>$mm</t>
        </is>
      </c>
      <c r="C50" s="6" t="inlineStr">
        <is>
          <t>Entry EV × Leverage</t>
        </is>
      </c>
      <c r="D50" s="16">
        <f>$D$17*$D$37</f>
        <v/>
      </c>
    </row>
    <row r="51">
      <c r="A51" s="5" t="inlineStr">
        <is>
          <t>Annual Depreciation</t>
        </is>
      </c>
      <c r="B51" s="6" t="inlineStr">
        <is>
          <t>$mm</t>
        </is>
      </c>
      <c r="C51" s="6" t="inlineStr">
        <is>
          <t>EV × Basis / Life</t>
        </is>
      </c>
      <c r="D51" s="16">
        <f>$D$17*$D$46/$D$47</f>
        <v/>
      </c>
    </row>
    <row r="52">
      <c r="A52" s="5" t="inlineStr">
        <is>
          <t>Scheduled Principal</t>
        </is>
      </c>
      <c r="B52" s="6" t="inlineStr">
        <is>
          <t>$mm/yr</t>
        </is>
      </c>
      <c r="C52" s="6" t="inlineStr">
        <is>
          <t>Debt / Tenor</t>
        </is>
      </c>
      <c r="D52" s="16">
        <f>$D$50/$D$39</f>
        <v/>
      </c>
    </row>
    <row r="54">
      <c r="A54" s="3" t="inlineStr">
        <is>
          <t>OPERATING MODEL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</row>
    <row r="55">
      <c r="A55" s="5" t="inlineStr">
        <is>
          <t>Daily Volume</t>
        </is>
      </c>
      <c r="B55" s="6" t="inlineStr">
        <is>
          <t>MMcf/d</t>
        </is>
      </c>
      <c r="C55" s="6" t="inlineStr">
        <is>
          <t>Growth then decline</t>
        </is>
      </c>
      <c r="E55" s="17">
        <f>$D$23*(1+$D$24)^(1-1)</f>
        <v/>
      </c>
      <c r="F55" s="17">
        <f>$D$23*(1+$D$24)^(2-1)</f>
        <v/>
      </c>
      <c r="G55" s="17">
        <f>$D$23*(1+$D$24)^(3-1)</f>
        <v/>
      </c>
      <c r="H55" s="17">
        <f>$D$23*(1+$D$24)^(4-1)</f>
        <v/>
      </c>
      <c r="I55" s="17">
        <f>$D$23*(1+$D$24)^(5-1)</f>
        <v/>
      </c>
      <c r="J55" s="17">
        <f>$D$23*(1+$D$24)^4*(1-$D$25)^(6-5)</f>
        <v/>
      </c>
      <c r="K55" s="17">
        <f>$D$23*(1+$D$24)^4*(1-$D$25)^(7-5)</f>
        <v/>
      </c>
      <c r="L55" s="17">
        <f>$D$23*(1+$D$24)^4*(1-$D$25)^(8-5)</f>
        <v/>
      </c>
      <c r="M55" s="17">
        <f>$D$23*(1+$D$24)^4*(1-$D$25)^(9-5)</f>
        <v/>
      </c>
      <c r="N55" s="17">
        <f>$D$23*(1+$D$24)^4*(1-$D$25)^(10-5)</f>
        <v/>
      </c>
    </row>
    <row r="56">
      <c r="A56" s="5" t="inlineStr">
        <is>
          <t>Annual Volume</t>
        </is>
      </c>
      <c r="B56" s="6" t="inlineStr">
        <is>
          <t>Bcf</t>
        </is>
      </c>
      <c r="C56" s="6" t="inlineStr">
        <is>
          <t>Daily × 365 / 1000</t>
        </is>
      </c>
      <c r="E56" s="17">
        <f>E55*365/1000</f>
        <v/>
      </c>
      <c r="F56" s="17">
        <f>F55*365/1000</f>
        <v/>
      </c>
      <c r="G56" s="17">
        <f>G55*365/1000</f>
        <v/>
      </c>
      <c r="H56" s="17">
        <f>H55*365/1000</f>
        <v/>
      </c>
      <c r="I56" s="17">
        <f>I55*365/1000</f>
        <v/>
      </c>
      <c r="J56" s="17">
        <f>J55*365/1000</f>
        <v/>
      </c>
      <c r="K56" s="17">
        <f>K55*365/1000</f>
        <v/>
      </c>
      <c r="L56" s="17">
        <f>L55*365/1000</f>
        <v/>
      </c>
      <c r="M56" s="17">
        <f>M55*365/1000</f>
        <v/>
      </c>
      <c r="N56" s="17">
        <f>N55*365/1000</f>
        <v/>
      </c>
    </row>
    <row r="57">
      <c r="A57" s="5" t="inlineStr">
        <is>
          <t>Fee</t>
        </is>
      </c>
      <c r="B57" s="6" t="inlineStr">
        <is>
          <t>$/Mcf</t>
        </is>
      </c>
      <c r="C57" s="6" t="inlineStr">
        <is>
          <t>$/Mcf gathering fee</t>
        </is>
      </c>
      <c r="E57" s="18">
        <f>$D$28*(1+$D$29)^(1-1)</f>
        <v/>
      </c>
      <c r="F57" s="18">
        <f>$D$28*(1+$D$29)^(2-1)</f>
        <v/>
      </c>
      <c r="G57" s="18">
        <f>$D$28*(1+$D$29)^(3-1)</f>
        <v/>
      </c>
      <c r="H57" s="18">
        <f>$D$28*(1+$D$29)^(4-1)</f>
        <v/>
      </c>
      <c r="I57" s="18">
        <f>$D$28*(1+$D$29)^(5-1)</f>
        <v/>
      </c>
      <c r="J57" s="18">
        <f>$D$28*(1+$D$29)^(6-1)</f>
        <v/>
      </c>
      <c r="K57" s="18">
        <f>$D$28*(1+$D$29)^(7-1)</f>
        <v/>
      </c>
      <c r="L57" s="18">
        <f>$D$28*(1+$D$29)^(8-1)</f>
        <v/>
      </c>
      <c r="M57" s="18">
        <f>$D$28*(1+$D$29)^(9-1)</f>
        <v/>
      </c>
      <c r="N57" s="18">
        <f>$D$28*(1+$D$29)^(10-1)</f>
        <v/>
      </c>
    </row>
    <row r="59">
      <c r="A59" s="5" t="inlineStr">
        <is>
          <t>Revenue</t>
        </is>
      </c>
      <c r="B59" s="6" t="inlineStr">
        <is>
          <t>$mm</t>
        </is>
      </c>
      <c r="C59" s="6" t="inlineStr">
        <is>
          <t>Volume(Bcf) × Fee × 1000</t>
        </is>
      </c>
      <c r="E59" s="16">
        <f>E56*E57*1000</f>
        <v/>
      </c>
      <c r="F59" s="16">
        <f>F56*F57*1000</f>
        <v/>
      </c>
      <c r="G59" s="16">
        <f>G56*G57*1000</f>
        <v/>
      </c>
      <c r="H59" s="16">
        <f>H56*H57*1000</f>
        <v/>
      </c>
      <c r="I59" s="16">
        <f>I56*I57*1000</f>
        <v/>
      </c>
      <c r="J59" s="16">
        <f>J56*J57*1000</f>
        <v/>
      </c>
      <c r="K59" s="16">
        <f>K56*K57*1000</f>
        <v/>
      </c>
      <c r="L59" s="16">
        <f>L56*L57*1000</f>
        <v/>
      </c>
      <c r="M59" s="16">
        <f>M56*M57*1000</f>
        <v/>
      </c>
      <c r="N59" s="16">
        <f>N56*N57*1000</f>
        <v/>
      </c>
    </row>
    <row r="60">
      <c r="A60" s="5" t="inlineStr">
        <is>
          <t>O&amp;M Cost</t>
        </is>
      </c>
      <c r="B60" s="6" t="inlineStr">
        <is>
          <t>$mm</t>
        </is>
      </c>
      <c r="C60" s="6" t="inlineStr">
        <is>
          <t>Escalated</t>
        </is>
      </c>
      <c r="E60" s="16">
        <f>$D$32*(1+$D$33)^(1-1)</f>
        <v/>
      </c>
      <c r="F60" s="16">
        <f>$D$32*(1+$D$33)^(2-1)</f>
        <v/>
      </c>
      <c r="G60" s="16">
        <f>$D$32*(1+$D$33)^(3-1)</f>
        <v/>
      </c>
      <c r="H60" s="16">
        <f>$D$32*(1+$D$33)^(4-1)</f>
        <v/>
      </c>
      <c r="I60" s="16">
        <f>$D$32*(1+$D$33)^(5-1)</f>
        <v/>
      </c>
      <c r="J60" s="16">
        <f>$D$32*(1+$D$33)^(6-1)</f>
        <v/>
      </c>
      <c r="K60" s="16">
        <f>$D$32*(1+$D$33)^(7-1)</f>
        <v/>
      </c>
      <c r="L60" s="16">
        <f>$D$32*(1+$D$33)^(8-1)</f>
        <v/>
      </c>
      <c r="M60" s="16">
        <f>$D$32*(1+$D$33)^(9-1)</f>
        <v/>
      </c>
      <c r="N60" s="16">
        <f>$D$32*(1+$D$33)^(10-1)</f>
        <v/>
      </c>
    </row>
    <row r="62">
      <c r="A62" s="5" t="inlineStr">
        <is>
          <t>EBITDA</t>
        </is>
      </c>
      <c r="B62" s="6" t="inlineStr">
        <is>
          <t>$mm</t>
        </is>
      </c>
      <c r="C62" s="6">
        <f> Revenue − OpEx</f>
        <v/>
      </c>
      <c r="E62" s="7">
        <f>E59-E60</f>
        <v/>
      </c>
      <c r="F62" s="7">
        <f>F59-F60</f>
        <v/>
      </c>
      <c r="G62" s="7">
        <f>G59-G60</f>
        <v/>
      </c>
      <c r="H62" s="7">
        <f>H59-H60</f>
        <v/>
      </c>
      <c r="I62" s="7">
        <f>I59-I60</f>
        <v/>
      </c>
      <c r="J62" s="7">
        <f>J59-J60</f>
        <v/>
      </c>
      <c r="K62" s="7">
        <f>K59-K60</f>
        <v/>
      </c>
      <c r="L62" s="7">
        <f>L59-L60</f>
        <v/>
      </c>
      <c r="M62" s="7">
        <f>M59-M60</f>
        <v/>
      </c>
      <c r="N62" s="7">
        <f>N59-N60</f>
        <v/>
      </c>
    </row>
    <row r="64">
      <c r="A64" s="3" t="inlineStr">
        <is>
          <t>CASH FLOW</t>
        </is>
      </c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</row>
    <row r="65">
      <c r="A65" s="5" t="inlineStr">
        <is>
          <t>EBIT</t>
        </is>
      </c>
      <c r="B65" s="6" t="inlineStr">
        <is>
          <t>$mm</t>
        </is>
      </c>
      <c r="C65" s="6" t="inlineStr">
        <is>
          <t>EBITDA - Depreciation</t>
        </is>
      </c>
      <c r="E65" s="16">
        <f>E62-$D$51</f>
        <v/>
      </c>
      <c r="F65" s="16">
        <f>F62-$D$51</f>
        <v/>
      </c>
      <c r="G65" s="16">
        <f>G62-$D$51</f>
        <v/>
      </c>
      <c r="H65" s="16">
        <f>H62-$D$51</f>
        <v/>
      </c>
      <c r="I65" s="16">
        <f>I62-$D$51</f>
        <v/>
      </c>
      <c r="J65" s="16">
        <f>J62-$D$51</f>
        <v/>
      </c>
      <c r="K65" s="16">
        <f>K62-$D$51</f>
        <v/>
      </c>
      <c r="L65" s="16">
        <f>L62-$D$51</f>
        <v/>
      </c>
      <c r="M65" s="16">
        <f>M62-$D$51</f>
        <v/>
      </c>
      <c r="N65" s="16">
        <f>N62-$D$51</f>
        <v/>
      </c>
    </row>
    <row r="66">
      <c r="A66" s="5" t="inlineStr">
        <is>
          <t>Taxes</t>
        </is>
      </c>
      <c r="B66" s="6" t="inlineStr">
        <is>
          <t>$mm</t>
        </is>
      </c>
      <c r="C66" s="6" t="inlineStr">
        <is>
          <t>MAX(0, EBIT) × Tax Rate</t>
        </is>
      </c>
      <c r="E66" s="16">
        <f>MAX(0,E65)*$D$45</f>
        <v/>
      </c>
      <c r="F66" s="16">
        <f>MAX(0,F65)*$D$45</f>
        <v/>
      </c>
      <c r="G66" s="16">
        <f>MAX(0,G65)*$D$45</f>
        <v/>
      </c>
      <c r="H66" s="16">
        <f>MAX(0,H65)*$D$45</f>
        <v/>
      </c>
      <c r="I66" s="16">
        <f>MAX(0,I65)*$D$45</f>
        <v/>
      </c>
      <c r="J66" s="16">
        <f>MAX(0,J65)*$D$45</f>
        <v/>
      </c>
      <c r="K66" s="16">
        <f>MAX(0,K65)*$D$45</f>
        <v/>
      </c>
      <c r="L66" s="16">
        <f>MAX(0,L65)*$D$45</f>
        <v/>
      </c>
      <c r="M66" s="16">
        <f>MAX(0,M65)*$D$45</f>
        <v/>
      </c>
      <c r="N66" s="16">
        <f>MAX(0,N65)*$D$45</f>
        <v/>
      </c>
    </row>
    <row r="67">
      <c r="A67" s="5" t="inlineStr">
        <is>
          <t>Growth Capex</t>
        </is>
      </c>
      <c r="B67" s="6" t="inlineStr">
        <is>
          <t>$mm</t>
        </is>
      </c>
      <c r="C67" s="6" t="inlineStr">
        <is>
          <t>Y1-Y5 only</t>
        </is>
      </c>
      <c r="E67" s="19">
        <f>IF(1&lt;=5,$D$34,0)</f>
        <v/>
      </c>
      <c r="F67" s="19">
        <f>IF(2&lt;=5,$D$34,0)</f>
        <v/>
      </c>
      <c r="G67" s="19">
        <f>IF(3&lt;=5,$D$34,0)</f>
        <v/>
      </c>
      <c r="H67" s="19">
        <f>IF(4&lt;=5,$D$34,0)</f>
        <v/>
      </c>
      <c r="I67" s="19">
        <f>IF(5&lt;=5,$D$34,0)</f>
        <v/>
      </c>
      <c r="J67" s="19">
        <f>IF(6&lt;=5,$D$34,0)</f>
        <v/>
      </c>
      <c r="K67" s="19">
        <f>IF(7&lt;=5,$D$34,0)</f>
        <v/>
      </c>
      <c r="L67" s="19">
        <f>IF(8&lt;=5,$D$34,0)</f>
        <v/>
      </c>
      <c r="M67" s="19">
        <f>IF(9&lt;=5,$D$34,0)</f>
        <v/>
      </c>
      <c r="N67" s="19">
        <f>IF(10&lt;=5,$D$34,0)</f>
        <v/>
      </c>
    </row>
    <row r="68">
      <c r="A68" s="5" t="inlineStr">
        <is>
          <t>CFADS</t>
        </is>
      </c>
      <c r="B68" s="6" t="inlineStr">
        <is>
          <t>$mm</t>
        </is>
      </c>
      <c r="C68" s="6" t="inlineStr">
        <is>
          <t>EBITDA - Taxes - Capex</t>
        </is>
      </c>
      <c r="E68" s="7">
        <f>E62-E66-E67</f>
        <v/>
      </c>
      <c r="F68" s="7">
        <f>F62-F66-F67</f>
        <v/>
      </c>
      <c r="G68" s="7">
        <f>G62-G66-G67</f>
        <v/>
      </c>
      <c r="H68" s="7">
        <f>H62-H66-H67</f>
        <v/>
      </c>
      <c r="I68" s="7">
        <f>I62-I66-I67</f>
        <v/>
      </c>
      <c r="J68" s="7">
        <f>J62-J66-J67</f>
        <v/>
      </c>
      <c r="K68" s="7">
        <f>K62-K66-K67</f>
        <v/>
      </c>
      <c r="L68" s="7">
        <f>L62-L66-L67</f>
        <v/>
      </c>
      <c r="M68" s="7">
        <f>M62-M66-M67</f>
        <v/>
      </c>
      <c r="N68" s="7">
        <f>N62-N66-N67</f>
        <v/>
      </c>
    </row>
    <row r="70">
      <c r="A70" s="3" t="inlineStr">
        <is>
          <t>DEBT SCHEDULE (75% Sweep, 5-Year Tenor)</t>
        </is>
      </c>
      <c r="B70" s="4" t="n"/>
      <c r="C70" s="4" t="inlineStr">
        <is>
          <t>% of excess cash to prepay</t>
        </is>
      </c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</row>
    <row r="71">
      <c r="A71" s="5" t="inlineStr">
        <is>
          <t>Beginning Balance</t>
        </is>
      </c>
      <c r="B71" s="6" t="inlineStr">
        <is>
          <t>$mm</t>
        </is>
      </c>
      <c r="C71" s="6">
        <f> Prior Yr End Bal</f>
        <v/>
      </c>
      <c r="E71" s="16">
        <f>$D$50</f>
        <v/>
      </c>
      <c r="F71" s="16">
        <f>E78</f>
        <v/>
      </c>
      <c r="G71" s="16">
        <f>F78</f>
        <v/>
      </c>
      <c r="H71" s="16">
        <f>G78</f>
        <v/>
      </c>
      <c r="I71" s="16">
        <f>H78</f>
        <v/>
      </c>
      <c r="J71" s="16">
        <f>I78</f>
        <v/>
      </c>
      <c r="K71" s="16">
        <f>J78</f>
        <v/>
      </c>
      <c r="L71" s="16">
        <f>K78</f>
        <v/>
      </c>
      <c r="M71" s="16">
        <f>L78</f>
        <v/>
      </c>
      <c r="N71" s="16">
        <f>M78</f>
        <v/>
      </c>
    </row>
    <row r="72">
      <c r="A72" s="5" t="inlineStr">
        <is>
          <t>Interest</t>
        </is>
      </c>
      <c r="B72" s="6" t="inlineStr">
        <is>
          <t>$mm</t>
        </is>
      </c>
      <c r="C72" s="6" t="inlineStr">
        <is>
          <t>Beg Bal × Int Rate</t>
        </is>
      </c>
      <c r="E72" s="16">
        <f>E71*$D$38</f>
        <v/>
      </c>
      <c r="F72" s="16">
        <f>F71*$D$38</f>
        <v/>
      </c>
      <c r="G72" s="16">
        <f>G71*$D$38</f>
        <v/>
      </c>
      <c r="H72" s="16">
        <f>H71*$D$38</f>
        <v/>
      </c>
      <c r="I72" s="16">
        <f>I71*$D$38</f>
        <v/>
      </c>
      <c r="J72" s="16">
        <f>J71*$D$38</f>
        <v/>
      </c>
      <c r="K72" s="16">
        <f>K71*$D$38</f>
        <v/>
      </c>
      <c r="L72" s="16">
        <f>L71*$D$38</f>
        <v/>
      </c>
      <c r="M72" s="16">
        <f>M71*$D$38</f>
        <v/>
      </c>
      <c r="N72" s="16">
        <f>N71*$D$38</f>
        <v/>
      </c>
    </row>
    <row r="73">
      <c r="A73" s="5" t="inlineStr">
        <is>
          <t>Scheduled Principal</t>
        </is>
      </c>
      <c r="B73" s="6" t="inlineStr">
        <is>
          <t>$mm</t>
        </is>
      </c>
      <c r="C73" s="6" t="inlineStr">
        <is>
          <t>MIN(Sched, Beg Bal)</t>
        </is>
      </c>
      <c r="E73" s="16">
        <f>MIN($D$52,E71)</f>
        <v/>
      </c>
      <c r="F73" s="16">
        <f>MIN($D$52,F71)</f>
        <v/>
      </c>
      <c r="G73" s="16">
        <f>MIN($D$52,G71)</f>
        <v/>
      </c>
      <c r="H73" s="16">
        <f>MIN($D$52,H71)</f>
        <v/>
      </c>
      <c r="I73" s="16">
        <f>MIN($D$52,I71)</f>
        <v/>
      </c>
      <c r="J73" s="16">
        <f>MIN($D$52,J71)</f>
        <v/>
      </c>
      <c r="K73" s="16">
        <f>MIN($D$52,K71)</f>
        <v/>
      </c>
      <c r="L73" s="16">
        <f>MIN($D$52,L71)</f>
        <v/>
      </c>
      <c r="M73" s="16">
        <f>MIN($D$52,M71)</f>
        <v/>
      </c>
      <c r="N73" s="16">
        <f>MIN($D$52,N71)</f>
        <v/>
      </c>
    </row>
    <row r="74">
      <c r="A74" s="5" t="inlineStr">
        <is>
          <t>Debt Service (Pre-Sweep)</t>
        </is>
      </c>
      <c r="B74" s="6" t="inlineStr">
        <is>
          <t>$mm</t>
        </is>
      </c>
      <c r="C74" s="6" t="inlineStr">
        <is>
          <t>Interest + Sched Prin</t>
        </is>
      </c>
      <c r="E74" s="16">
        <f>E72+E73</f>
        <v/>
      </c>
      <c r="F74" s="16">
        <f>F72+F73</f>
        <v/>
      </c>
      <c r="G74" s="16">
        <f>G72+G73</f>
        <v/>
      </c>
      <c r="H74" s="16">
        <f>H72+H73</f>
        <v/>
      </c>
      <c r="I74" s="16">
        <f>I72+I73</f>
        <v/>
      </c>
      <c r="J74" s="16">
        <f>J72+J73</f>
        <v/>
      </c>
      <c r="K74" s="16">
        <f>K72+K73</f>
        <v/>
      </c>
      <c r="L74" s="16">
        <f>L72+L73</f>
        <v/>
      </c>
      <c r="M74" s="16">
        <f>M72+M73</f>
        <v/>
      </c>
      <c r="N74" s="16">
        <f>N72+N73</f>
        <v/>
      </c>
    </row>
    <row r="75">
      <c r="A75" s="5" t="inlineStr">
        <is>
          <t>Excess Cash</t>
        </is>
      </c>
      <c r="B75" s="6" t="inlineStr">
        <is>
          <t>$mm</t>
        </is>
      </c>
      <c r="C75" s="6" t="inlineStr">
        <is>
          <t>CFADS - DS - DSRA Funding</t>
        </is>
      </c>
      <c r="E75" s="16">
        <f>MAX(0,E68-E74-E85)</f>
        <v/>
      </c>
      <c r="F75" s="16">
        <f>MAX(0,F68-F74-F85)</f>
        <v/>
      </c>
      <c r="G75" s="16">
        <f>MAX(0,G68-G74-G85)</f>
        <v/>
      </c>
      <c r="H75" s="16">
        <f>MAX(0,H68-H74-H85)</f>
        <v/>
      </c>
      <c r="I75" s="16">
        <f>MAX(0,I68-I74-I85)</f>
        <v/>
      </c>
      <c r="J75" s="16">
        <f>MAX(0,J68-J74-J85)</f>
        <v/>
      </c>
      <c r="K75" s="16">
        <f>MAX(0,K68-K74-K85)</f>
        <v/>
      </c>
      <c r="L75" s="16">
        <f>MAX(0,L68-L74-L85)</f>
        <v/>
      </c>
      <c r="M75" s="16">
        <f>MAX(0,M68-M74-M85)</f>
        <v/>
      </c>
      <c r="N75" s="16">
        <f>MAX(0,N68-N74-N85)</f>
        <v/>
      </c>
    </row>
    <row r="76">
      <c r="A76" s="5" t="inlineStr">
        <is>
          <t>Cash Sweep</t>
        </is>
      </c>
      <c r="B76" s="6" t="inlineStr">
        <is>
          <t>$mm</t>
        </is>
      </c>
      <c r="C76" s="6" t="inlineStr">
        <is>
          <t>MIN(Excess×75%, Beg-Sched)</t>
        </is>
      </c>
      <c r="E76" s="19">
        <f>MIN(MAX(0,E75)*$D$41,MAX(0,E71-E73))</f>
        <v/>
      </c>
      <c r="F76" s="19">
        <f>MIN(MAX(0,F75)*$D$41,MAX(0,F71-F73))</f>
        <v/>
      </c>
      <c r="G76" s="19">
        <f>MIN(MAX(0,G75)*$D$41,MAX(0,G71-G73))</f>
        <v/>
      </c>
      <c r="H76" s="19">
        <f>MIN(MAX(0,H75)*$D$41,MAX(0,H71-H73))</f>
        <v/>
      </c>
      <c r="I76" s="19">
        <f>MIN(MAX(0,I75)*$D$41,MAX(0,I71-I73))</f>
        <v/>
      </c>
      <c r="J76" s="19">
        <f>MIN(MAX(0,J75)*$D$41,MAX(0,J71-J73))</f>
        <v/>
      </c>
      <c r="K76" s="19">
        <f>MIN(MAX(0,K75)*$D$41,MAX(0,K71-K73))</f>
        <v/>
      </c>
      <c r="L76" s="19">
        <f>MIN(MAX(0,L75)*$D$41,MAX(0,L71-L73))</f>
        <v/>
      </c>
      <c r="M76" s="19">
        <f>MIN(MAX(0,M75)*$D$41,MAX(0,M71-M73))</f>
        <v/>
      </c>
      <c r="N76" s="19">
        <f>MIN(MAX(0,N75)*$D$41,MAX(0,N71-N73))</f>
        <v/>
      </c>
    </row>
    <row r="77">
      <c r="A77" s="5" t="inlineStr">
        <is>
          <t>Total Principal</t>
        </is>
      </c>
      <c r="B77" s="6" t="inlineStr">
        <is>
          <t>$mm</t>
        </is>
      </c>
      <c r="C77" s="6" t="inlineStr">
        <is>
          <t>Scheduled + Sweep</t>
        </is>
      </c>
      <c r="E77" s="16">
        <f>E73+E76</f>
        <v/>
      </c>
      <c r="F77" s="16">
        <f>F73+F76</f>
        <v/>
      </c>
      <c r="G77" s="16">
        <f>G73+G76</f>
        <v/>
      </c>
      <c r="H77" s="16">
        <f>H73+H76</f>
        <v/>
      </c>
      <c r="I77" s="16">
        <f>I73+I76</f>
        <v/>
      </c>
      <c r="J77" s="16">
        <f>J73+J76</f>
        <v/>
      </c>
      <c r="K77" s="16">
        <f>K73+K76</f>
        <v/>
      </c>
      <c r="L77" s="16">
        <f>L73+L76</f>
        <v/>
      </c>
      <c r="M77" s="16">
        <f>M73+M76</f>
        <v/>
      </c>
      <c r="N77" s="16">
        <f>N73+N76</f>
        <v/>
      </c>
    </row>
    <row r="78">
      <c r="A78" s="5" t="inlineStr">
        <is>
          <t>Ending Balance</t>
        </is>
      </c>
      <c r="B78" s="6" t="inlineStr">
        <is>
          <t>$mm</t>
        </is>
      </c>
      <c r="C78" s="6" t="inlineStr">
        <is>
          <t>MAX(0, Beg - Total Prin)</t>
        </is>
      </c>
      <c r="E78" s="16">
        <f>MAX(0,E71-E77)</f>
        <v/>
      </c>
      <c r="F78" s="16">
        <f>MAX(0,F71-F77)</f>
        <v/>
      </c>
      <c r="G78" s="16">
        <f>MAX(0,G71-G77)</f>
        <v/>
      </c>
      <c r="H78" s="16">
        <f>MAX(0,H71-H77)</f>
        <v/>
      </c>
      <c r="I78" s="16">
        <f>MAX(0,I71-I77)</f>
        <v/>
      </c>
      <c r="J78" s="16">
        <f>MAX(0,J71-J77)</f>
        <v/>
      </c>
      <c r="K78" s="16">
        <f>MAX(0,K71-K77)</f>
        <v/>
      </c>
      <c r="L78" s="16">
        <f>MAX(0,L71-L77)</f>
        <v/>
      </c>
      <c r="M78" s="16">
        <f>MAX(0,M71-M77)</f>
        <v/>
      </c>
      <c r="N78" s="16">
        <f>MAX(0,N71-N77)</f>
        <v/>
      </c>
    </row>
    <row r="79">
      <c r="A79" s="5" t="inlineStr">
        <is>
          <t>DSCR</t>
        </is>
      </c>
      <c r="B79" s="6" t="inlineStr">
        <is>
          <t>x</t>
        </is>
      </c>
      <c r="C79" s="6" t="inlineStr">
        <is>
          <t>CFADS / Debt Service</t>
        </is>
      </c>
      <c r="E79" s="22">
        <f>IF(E74&gt;0,E68/E74,0)</f>
        <v/>
      </c>
      <c r="F79" s="22">
        <f>IF(F74&gt;0,F68/F74,0)</f>
        <v/>
      </c>
      <c r="G79" s="22">
        <f>IF(G74&gt;0,G68/G74,0)</f>
        <v/>
      </c>
      <c r="H79" s="22">
        <f>IF(H74&gt;0,H68/H74,0)</f>
        <v/>
      </c>
      <c r="I79" s="22">
        <f>IF(I74&gt;0,I68/I74,0)</f>
        <v/>
      </c>
      <c r="J79" s="22">
        <f>IF(J74&gt;0,J68/J74,0)</f>
        <v/>
      </c>
      <c r="K79" s="22">
        <f>IF(K74&gt;0,K68/K74,0)</f>
        <v/>
      </c>
      <c r="L79" s="22">
        <f>IF(L74&gt;0,L68/L74,0)</f>
        <v/>
      </c>
      <c r="M79" s="22">
        <f>IF(M74&gt;0,M68/M74,0)</f>
        <v/>
      </c>
      <c r="N79" s="22">
        <f>IF(N74&gt;0,N68/N74,0)</f>
        <v/>
      </c>
    </row>
    <row r="80">
      <c r="A80" s="5" t="inlineStr">
        <is>
          <t>Scheduled DS (for DSRA)</t>
        </is>
      </c>
      <c r="B80" s="6" t="inlineStr">
        <is>
          <t>$mm</t>
        </is>
      </c>
      <c r="C80" s="6" t="inlineStr">
        <is>
          <t>Based on straight-line amort, no sweep</t>
        </is>
      </c>
      <c r="E80" s="16">
        <f>MAX(0,$D$50-(1-1)*$D$52)*$D$38+$D$52</f>
        <v/>
      </c>
      <c r="F80" s="16">
        <f>MAX(0,$D$50-(2-1)*$D$52)*$D$38+$D$52</f>
        <v/>
      </c>
      <c r="G80" s="16">
        <f>MAX(0,$D$50-(3-1)*$D$52)*$D$38+$D$52</f>
        <v/>
      </c>
      <c r="H80" s="16">
        <f>MAX(0,$D$50-(4-1)*$D$52)*$D$38+$D$52</f>
        <v/>
      </c>
      <c r="I80" s="16">
        <f>MAX(0,$D$50-(5-1)*$D$52)*$D$38+$D$52</f>
        <v/>
      </c>
      <c r="J80" s="16">
        <f>MAX(0,$D$50-(6-1)*$D$52)*$D$38+$D$52</f>
        <v/>
      </c>
      <c r="K80" s="16">
        <f>MAX(0,$D$50-(7-1)*$D$52)*$D$38+$D$52</f>
        <v/>
      </c>
      <c r="L80" s="16">
        <f>MAX(0,$D$50-(8-1)*$D$52)*$D$38+$D$52</f>
        <v/>
      </c>
      <c r="M80" s="16">
        <f>MAX(0,$D$50-(9-1)*$D$52)*$D$38+$D$52</f>
        <v/>
      </c>
      <c r="N80" s="16">
        <f>MAX(0,$D$50-(10-1)*$D$52)*$D$38+$D$52</f>
        <v/>
      </c>
    </row>
    <row r="82">
      <c r="A82" s="3" t="inlineStr">
        <is>
          <t>DSRA (Debt Service Reserve Account)</t>
        </is>
      </c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</row>
    <row r="83">
      <c r="A83" s="5" t="inlineStr">
        <is>
          <t>DSRA Target</t>
        </is>
      </c>
      <c r="B83" s="6" t="inlineStr">
        <is>
          <t>$mm</t>
        </is>
      </c>
      <c r="C83" s="6" t="inlineStr">
        <is>
          <t>Next Yr Scheduled DS × DSRA Months / 12</t>
        </is>
      </c>
      <c r="D83" s="16">
        <f>E80*$D$40/12</f>
        <v/>
      </c>
      <c r="E83" s="16">
        <f>F80*$D$40/12</f>
        <v/>
      </c>
      <c r="F83" s="16">
        <f>G80*$D$40/12</f>
        <v/>
      </c>
      <c r="G83" s="16">
        <f>H80*$D$40/12</f>
        <v/>
      </c>
      <c r="H83" s="16">
        <f>I80*$D$40/12</f>
        <v/>
      </c>
      <c r="I83" s="16">
        <f>J80*$D$40/12</f>
        <v/>
      </c>
      <c r="J83" s="16">
        <f>K80*$D$40/12</f>
        <v/>
      </c>
      <c r="K83" s="16">
        <f>L80*$D$40/12</f>
        <v/>
      </c>
      <c r="L83" s="16">
        <f>M80*$D$40/12</f>
        <v/>
      </c>
      <c r="M83" s="16">
        <f>N80*$D$40/12</f>
        <v/>
      </c>
      <c r="N83" s="16">
        <f>0</f>
        <v/>
      </c>
    </row>
    <row r="84">
      <c r="A84" s="5" t="inlineStr">
        <is>
          <t>DSRA Beginning</t>
        </is>
      </c>
      <c r="B84" s="6" t="inlineStr">
        <is>
          <t>$mm</t>
        </is>
      </c>
      <c r="C84" s="6" t="inlineStr"/>
      <c r="D84" s="16">
        <f>0</f>
        <v/>
      </c>
      <c r="E84" s="16">
        <f>D86</f>
        <v/>
      </c>
      <c r="F84" s="16">
        <f>E86</f>
        <v/>
      </c>
      <c r="G84" s="16">
        <f>F86</f>
        <v/>
      </c>
      <c r="H84" s="16">
        <f>G86</f>
        <v/>
      </c>
      <c r="I84" s="16">
        <f>H86</f>
        <v/>
      </c>
      <c r="J84" s="16">
        <f>I86</f>
        <v/>
      </c>
      <c r="K84" s="16">
        <f>J86</f>
        <v/>
      </c>
      <c r="L84" s="16">
        <f>K86</f>
        <v/>
      </c>
      <c r="M84" s="16">
        <f>L86</f>
        <v/>
      </c>
      <c r="N84" s="16">
        <f>M86</f>
        <v/>
      </c>
    </row>
    <row r="85">
      <c r="A85" s="5" t="inlineStr">
        <is>
          <t>DSRA Funding/(Release)</t>
        </is>
      </c>
      <c r="B85" s="6" t="inlineStr">
        <is>
          <t>$mm</t>
        </is>
      </c>
      <c r="C85" s="6" t="inlineStr">
        <is>
          <t>Target - Beginning</t>
        </is>
      </c>
      <c r="D85" s="16">
        <f>D83-D84</f>
        <v/>
      </c>
      <c r="E85" s="16">
        <f>E83-E84</f>
        <v/>
      </c>
      <c r="F85" s="16">
        <f>F83-F84</f>
        <v/>
      </c>
      <c r="G85" s="16">
        <f>G83-G84</f>
        <v/>
      </c>
      <c r="H85" s="16">
        <f>H83-H84</f>
        <v/>
      </c>
      <c r="I85" s="16">
        <f>I83-I84</f>
        <v/>
      </c>
      <c r="J85" s="16">
        <f>J83-J84</f>
        <v/>
      </c>
      <c r="K85" s="16">
        <f>K83-K84</f>
        <v/>
      </c>
      <c r="L85" s="16">
        <f>L83-L84</f>
        <v/>
      </c>
      <c r="M85" s="16">
        <f>M83-M84</f>
        <v/>
      </c>
      <c r="N85" s="16">
        <f>N83-N84</f>
        <v/>
      </c>
    </row>
    <row r="86">
      <c r="A86" s="5" t="inlineStr">
        <is>
          <t>DSRA Ending</t>
        </is>
      </c>
      <c r="B86" s="6" t="inlineStr">
        <is>
          <t>$mm</t>
        </is>
      </c>
      <c r="C86" s="6" t="inlineStr">
        <is>
          <t>Beginning + Funding</t>
        </is>
      </c>
      <c r="D86" s="16">
        <f>D84+D85</f>
        <v/>
      </c>
      <c r="E86" s="16">
        <f>E84+E85</f>
        <v/>
      </c>
      <c r="F86" s="16">
        <f>F84+F85</f>
        <v/>
      </c>
      <c r="G86" s="16">
        <f>G84+G85</f>
        <v/>
      </c>
      <c r="H86" s="16">
        <f>H84+H85</f>
        <v/>
      </c>
      <c r="I86" s="16">
        <f>I84+I85</f>
        <v/>
      </c>
      <c r="J86" s="16">
        <f>J84+J85</f>
        <v/>
      </c>
      <c r="K86" s="16">
        <f>K84+K85</f>
        <v/>
      </c>
      <c r="L86" s="16">
        <f>L84+L85</f>
        <v/>
      </c>
      <c r="M86" s="16">
        <f>M84+M85</f>
        <v/>
      </c>
      <c r="N86" s="16">
        <f>N84+N85</f>
        <v/>
      </c>
    </row>
    <row r="87">
      <c r="A87" s="3" t="inlineStr">
        <is>
          <t>DISTRIBUTION WATERFALL</t>
        </is>
      </c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</row>
    <row r="88">
      <c r="A88" s="5" t="inlineStr">
        <is>
          <t>Cash Available for Distribution</t>
        </is>
      </c>
      <c r="B88" s="6" t="inlineStr">
        <is>
          <t>$mm</t>
        </is>
      </c>
      <c r="C88" s="6" t="inlineStr">
        <is>
          <t>CFADS - Total DS - DSRA Fund</t>
        </is>
      </c>
      <c r="E88" s="16">
        <f>E68-(E72+E77)-E85</f>
        <v/>
      </c>
      <c r="F88" s="16">
        <f>F68-(F72+F77)-F85</f>
        <v/>
      </c>
      <c r="G88" s="16">
        <f>G68-(G72+G77)-G85</f>
        <v/>
      </c>
      <c r="H88" s="16">
        <f>H68-(H72+H77)-H85</f>
        <v/>
      </c>
      <c r="I88" s="16">
        <f>I68-(I72+I77)-I85</f>
        <v/>
      </c>
      <c r="J88" s="16">
        <f>J68-(J72+J77)-J85</f>
        <v/>
      </c>
      <c r="K88" s="16">
        <f>K68-(K72+K77)-K85</f>
        <v/>
      </c>
      <c r="L88" s="16">
        <f>L68-(L72+L77)-L85</f>
        <v/>
      </c>
      <c r="M88" s="16">
        <f>M68-(M72+M77)-M85</f>
        <v/>
      </c>
      <c r="N88" s="16">
        <f>N68-(N72+N77)-N85</f>
        <v/>
      </c>
    </row>
    <row r="89">
      <c r="A89" s="5" t="inlineStr">
        <is>
          <t>Lock-up Test</t>
        </is>
      </c>
      <c r="B89" s="6" t="inlineStr"/>
      <c r="C89" s="6" t="inlineStr">
        <is>
          <t>PASS if DSCR ≥ Lock-up</t>
        </is>
      </c>
      <c r="E89" s="20">
        <f>IF(E79&gt;=$D$42,"PASS","LOCKED")</f>
        <v/>
      </c>
      <c r="F89" s="20">
        <f>IF(F79&gt;=$D$42,"PASS","LOCKED")</f>
        <v/>
      </c>
      <c r="G89" s="20">
        <f>IF(G79&gt;=$D$42,"PASS","LOCKED")</f>
        <v/>
      </c>
      <c r="H89" s="20">
        <f>IF(H79&gt;=$D$42,"PASS","LOCKED")</f>
        <v/>
      </c>
      <c r="I89" s="20">
        <f>IF(I79&gt;=$D$42,"PASS","LOCKED")</f>
        <v/>
      </c>
      <c r="J89" s="20">
        <f>IF(J79&gt;=$D$42,"PASS","LOCKED")</f>
        <v/>
      </c>
      <c r="K89" s="20">
        <f>IF(K79&gt;=$D$42,"PASS","LOCKED")</f>
        <v/>
      </c>
      <c r="L89" s="20">
        <f>IF(L79&gt;=$D$42,"PASS","LOCKED")</f>
        <v/>
      </c>
      <c r="M89" s="20">
        <f>IF(M79&gt;=$D$42,"PASS","LOCKED")</f>
        <v/>
      </c>
      <c r="N89" s="20">
        <f>IF(N79&gt;=$D$42,"PASS","LOCKED")</f>
        <v/>
      </c>
    </row>
    <row r="90">
      <c r="A90" s="5" t="inlineStr">
        <is>
          <t>Distributable Cash</t>
        </is>
      </c>
      <c r="B90" s="6" t="inlineStr">
        <is>
          <t>$mm</t>
        </is>
      </c>
      <c r="C90" s="6" t="inlineStr">
        <is>
          <t>If PASS, MAX(0, Cash Avail)</t>
        </is>
      </c>
      <c r="E90" s="7">
        <f>IF(E89="PASS",MAX(0,E88),0)</f>
        <v/>
      </c>
      <c r="F90" s="7">
        <f>IF(F89="PASS",MAX(0,F88),0)</f>
        <v/>
      </c>
      <c r="G90" s="7">
        <f>IF(G89="PASS",MAX(0,G88),0)</f>
        <v/>
      </c>
      <c r="H90" s="7">
        <f>IF(H89="PASS",MAX(0,H88),0)</f>
        <v/>
      </c>
      <c r="I90" s="7">
        <f>IF(I89="PASS",MAX(0,I88),0)</f>
        <v/>
      </c>
      <c r="J90" s="7">
        <f>IF(J89="PASS",MAX(0,J88),0)</f>
        <v/>
      </c>
      <c r="K90" s="7">
        <f>IF(K89="PASS",MAX(0,K88),0)</f>
        <v/>
      </c>
      <c r="L90" s="7">
        <f>IF(L89="PASS",MAX(0,L88),0)</f>
        <v/>
      </c>
      <c r="M90" s="7">
        <f>IF(M89="PASS",MAX(0,M88),0)</f>
        <v/>
      </c>
      <c r="N90" s="7">
        <f>IF(N89="PASS",MAX(0,N88),0)</f>
        <v/>
      </c>
    </row>
    <row r="92">
      <c r="A92" s="3" t="inlineStr">
        <is>
          <t>SOURCES &amp; USES (Year 0)</t>
        </is>
      </c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</row>
    <row r="93">
      <c r="A93" s="21" t="inlineStr">
        <is>
          <t>USES</t>
        </is>
      </c>
      <c r="B93" s="6" t="inlineStr"/>
      <c r="C93" s="6" t="inlineStr"/>
    </row>
    <row r="94">
      <c r="A94" s="5" t="inlineStr">
        <is>
          <t xml:space="preserve">  Purchase Price</t>
        </is>
      </c>
      <c r="B94" s="6" t="inlineStr">
        <is>
          <t>$mm</t>
        </is>
      </c>
      <c r="C94" s="6" t="inlineStr"/>
      <c r="D94" s="16">
        <f>$D$17</f>
        <v/>
      </c>
    </row>
    <row r="95">
      <c r="A95" s="5" t="inlineStr">
        <is>
          <t xml:space="preserve">  Transaction Fees</t>
        </is>
      </c>
      <c r="B95" s="6" t="inlineStr">
        <is>
          <t>$mm</t>
        </is>
      </c>
      <c r="C95" s="6" t="inlineStr">
        <is>
          <t>% of EV for legal, advisory</t>
        </is>
      </c>
      <c r="D95" s="16">
        <f>$D$17*$D$18</f>
        <v/>
      </c>
    </row>
    <row r="96">
      <c r="A96" s="5" t="inlineStr">
        <is>
          <t xml:space="preserve">  DSRA Funding</t>
        </is>
      </c>
      <c r="B96" s="6" t="inlineStr">
        <is>
          <t>$mm</t>
        </is>
      </c>
      <c r="C96" s="6">
        <f> Target − Beginning</f>
        <v/>
      </c>
      <c r="D96" s="16">
        <f>D83</f>
        <v/>
      </c>
    </row>
    <row r="97">
      <c r="A97" s="5" t="inlineStr">
        <is>
          <t>Total Uses</t>
        </is>
      </c>
      <c r="B97" s="6" t="inlineStr">
        <is>
          <t>$mm</t>
        </is>
      </c>
      <c r="C97" s="6" t="inlineStr"/>
      <c r="D97" s="7">
        <f>D94+D95+D96</f>
        <v/>
      </c>
    </row>
    <row r="99">
      <c r="A99" s="21" t="inlineStr">
        <is>
          <t>SOURCES</t>
        </is>
      </c>
      <c r="B99" s="6" t="inlineStr"/>
      <c r="C99" s="6" t="inlineStr"/>
    </row>
    <row r="100">
      <c r="A100" s="5" t="inlineStr">
        <is>
          <t xml:space="preserve">  Debt</t>
        </is>
      </c>
      <c r="B100" s="6" t="inlineStr">
        <is>
          <t>$mm</t>
        </is>
      </c>
      <c r="C100" s="6" t="inlineStr"/>
      <c r="D100" s="16">
        <f>$D$50</f>
        <v/>
      </c>
    </row>
    <row r="101">
      <c r="A101" s="5" t="inlineStr">
        <is>
          <t xml:space="preserve">  Equity</t>
        </is>
      </c>
      <c r="B101" s="6" t="inlineStr">
        <is>
          <t>$mm</t>
        </is>
      </c>
      <c r="C101" s="6" t="inlineStr">
        <is>
          <t>Plug to balance</t>
        </is>
      </c>
      <c r="D101" s="16">
        <f>D97-D100</f>
        <v/>
      </c>
    </row>
    <row r="102">
      <c r="A102" s="5" t="inlineStr">
        <is>
          <t>Total Sources</t>
        </is>
      </c>
      <c r="B102" s="6" t="inlineStr">
        <is>
          <t>$mm</t>
        </is>
      </c>
      <c r="C102" s="6" t="inlineStr"/>
      <c r="D102" s="7">
        <f>D100+D101</f>
        <v/>
      </c>
    </row>
    <row r="103">
      <c r="A103" s="5" t="inlineStr">
        <is>
          <t>Balance Check</t>
        </is>
      </c>
      <c r="B103" s="6" t="inlineStr"/>
      <c r="C103" s="6" t="inlineStr"/>
      <c r="D103" s="10">
        <f>IF(ABS(D97-D102)&lt;0.01,"PASS","FAIL")</f>
        <v/>
      </c>
    </row>
    <row r="105">
      <c r="A105" s="3" t="inlineStr">
        <is>
          <t>EXIT CALCULATIONS</t>
        </is>
      </c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</row>
    <row r="106">
      <c r="A106" s="5" t="inlineStr">
        <is>
          <t>Exit EV</t>
        </is>
      </c>
      <c r="B106" s="6" t="inlineStr">
        <is>
          <t>$mm</t>
        </is>
      </c>
      <c r="C106" s="6" t="inlineStr">
        <is>
          <t>Exit Multiple × Exit Yr EBITDA</t>
        </is>
      </c>
      <c r="K106" s="16">
        <f>$D$19*K62</f>
        <v/>
      </c>
    </row>
    <row r="107">
      <c r="A107" s="5" t="inlineStr">
        <is>
          <t>Exit Debt Payoff</t>
        </is>
      </c>
      <c r="B107" s="6" t="inlineStr">
        <is>
          <t>$mm</t>
        </is>
      </c>
      <c r="C107" s="6" t="inlineStr">
        <is>
          <t>Ending Bal at Exit</t>
        </is>
      </c>
      <c r="K107" s="16">
        <f>K78</f>
        <v/>
      </c>
    </row>
    <row r="108">
      <c r="A108" s="5" t="inlineStr">
        <is>
          <t>DSRA Release</t>
        </is>
      </c>
      <c r="B108" s="6" t="inlineStr">
        <is>
          <t>$mm</t>
        </is>
      </c>
      <c r="C108" s="6" t="inlineStr">
        <is>
          <t>DSRA Ending at Exit</t>
        </is>
      </c>
      <c r="K108" s="16">
        <f>K86</f>
        <v/>
      </c>
    </row>
    <row r="109">
      <c r="A109" s="5" t="inlineStr">
        <is>
          <t>Exit Equity Proceeds</t>
        </is>
      </c>
      <c r="B109" s="6" t="inlineStr">
        <is>
          <t>$mm</t>
        </is>
      </c>
      <c r="C109" s="6" t="inlineStr">
        <is>
          <t>Exit EV - Debt + DSRA</t>
        </is>
      </c>
      <c r="K109" s="7">
        <f>K106-K107+K108</f>
        <v/>
      </c>
    </row>
    <row r="111">
      <c r="A111" s="3" t="inlineStr">
        <is>
          <t>EQUITY RETURNS</t>
        </is>
      </c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</row>
    <row r="112">
      <c r="A112" s="5" t="inlineStr">
        <is>
          <t>Equity Cash Flow</t>
        </is>
      </c>
      <c r="B112" s="6" t="inlineStr">
        <is>
          <t>$mm</t>
        </is>
      </c>
      <c r="C112" s="6" t="inlineStr"/>
      <c r="D112" s="16">
        <f>-D101</f>
        <v/>
      </c>
      <c r="E112" s="16">
        <f>E90</f>
        <v/>
      </c>
      <c r="F112" s="16">
        <f>F90</f>
        <v/>
      </c>
      <c r="G112" s="16">
        <f>G90</f>
        <v/>
      </c>
      <c r="H112" s="16">
        <f>H90</f>
        <v/>
      </c>
      <c r="I112" s="16">
        <f>I90</f>
        <v/>
      </c>
      <c r="J112" s="16">
        <f>J90</f>
        <v/>
      </c>
      <c r="K112" s="16">
        <f>K90+K109</f>
        <v/>
      </c>
      <c r="L112" s="16">
        <f>0</f>
        <v/>
      </c>
      <c r="M112" s="16">
        <f>0</f>
        <v/>
      </c>
      <c r="N112" s="16">
        <f>0</f>
        <v/>
      </c>
    </row>
    <row r="113">
      <c r="A113" s="5" t="inlineStr">
        <is>
          <t>Levered IRR</t>
        </is>
      </c>
      <c r="B113" s="6" t="inlineStr">
        <is>
          <t>%</t>
        </is>
      </c>
      <c r="C113" s="6">
        <f> IRR(Equity CF)</f>
        <v/>
      </c>
      <c r="D113" s="23">
        <f>IRR(D112:K112)</f>
        <v/>
      </c>
    </row>
    <row r="114">
      <c r="A114" s="5" t="inlineStr">
        <is>
          <t>MOIC</t>
        </is>
      </c>
      <c r="B114" s="6" t="inlineStr">
        <is>
          <t>x</t>
        </is>
      </c>
      <c r="C114" s="6" t="inlineStr">
        <is>
          <t>Sum inflows / outflow</t>
        </is>
      </c>
      <c r="D114" s="22">
        <f>SUMIF(D112:K112,"&gt;0")/ABS(D112)</f>
        <v/>
      </c>
    </row>
    <row r="116">
      <c r="A116" s="21" t="inlineStr">
        <is>
          <t>Unlevered Returns (for reference)</t>
        </is>
      </c>
      <c r="B116" s="6" t="inlineStr"/>
      <c r="C116" s="6" t="inlineStr"/>
    </row>
    <row r="117">
      <c r="A117" s="5" t="inlineStr">
        <is>
          <t>Unlevered Cash Flow</t>
        </is>
      </c>
      <c r="B117" s="6" t="inlineStr">
        <is>
          <t>$mm</t>
        </is>
      </c>
      <c r="C117" s="6" t="inlineStr"/>
      <c r="D117" s="16">
        <f>-$D$17-D95</f>
        <v/>
      </c>
      <c r="E117" s="16">
        <f>E68</f>
        <v/>
      </c>
      <c r="F117" s="16">
        <f>F68</f>
        <v/>
      </c>
      <c r="G117" s="16">
        <f>G68</f>
        <v/>
      </c>
      <c r="H117" s="16">
        <f>H68</f>
        <v/>
      </c>
      <c r="I117" s="16">
        <f>I68</f>
        <v/>
      </c>
      <c r="J117" s="16">
        <f>J68</f>
        <v/>
      </c>
      <c r="K117" s="16">
        <f>K68+K106</f>
        <v/>
      </c>
      <c r="L117" s="16">
        <f>0</f>
        <v/>
      </c>
      <c r="M117" s="16">
        <f>0</f>
        <v/>
      </c>
      <c r="N117" s="16">
        <f>0</f>
        <v/>
      </c>
    </row>
    <row r="118">
      <c r="A118" s="5" t="inlineStr">
        <is>
          <t>Unlevered IRR</t>
        </is>
      </c>
      <c r="B118" s="6" t="inlineStr">
        <is>
          <t>%</t>
        </is>
      </c>
      <c r="C118" s="6">
        <f> IRR(Equity CF)</f>
        <v/>
      </c>
      <c r="D118" s="23">
        <f>IRR(D117:K117)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 ht="18" customHeight="1">
      <c r="A1" s="26" t="inlineStr">
        <is>
          <t>INVESTMENT COMMITTEE MEMORANDUM</t>
        </is>
      </c>
    </row>
    <row r="2" ht="18" customHeight="1">
      <c r="A2" s="1" t="inlineStr">
        <is>
          <t>Natural Gas Gathering System</t>
        </is>
      </c>
    </row>
    <row r="3" ht="18" customHeight="1"/>
    <row r="4" ht="18" customHeight="1">
      <c r="A4" s="27" t="inlineStr">
        <is>
          <t>EXECUTIVE SUMMARY</t>
        </is>
      </c>
    </row>
    <row r="5" ht="18" customHeight="1">
      <c r="A5" s="28" t="inlineStr">
        <is>
          <t>• Acquire gas gathering system at $85mm (6.5x EBITDA)</t>
        </is>
      </c>
    </row>
    <row r="6" ht="18" customHeight="1">
      <c r="A6" s="28" t="inlineStr">
        <is>
          <t>• Fee-based revenue with minimum volume commitments</t>
        </is>
      </c>
    </row>
    <row r="7" ht="18" customHeight="1">
      <c r="A7" s="28" t="inlineStr">
        <is>
          <t>• Growth phase Y1-5 (3%/yr), decline Y6+ (5%/yr)</t>
        </is>
      </c>
    </row>
    <row r="8" ht="18" customHeight="1">
      <c r="A8" s="28" t="inlineStr">
        <is>
          <t>• Target returns: 16-18% levered IRR, 2.2-2.5x MOIC</t>
        </is>
      </c>
    </row>
    <row r="9" ht="18" customHeight="1"/>
    <row r="10" ht="18" customHeight="1">
      <c r="A10" s="27" t="inlineStr">
        <is>
          <t>INVESTMENT THESIS</t>
        </is>
      </c>
    </row>
    <row r="11" ht="18" customHeight="1">
      <c r="A11" s="29" t="inlineStr">
        <is>
          <t>1. Fee-based, volume-protected revenue</t>
        </is>
      </c>
    </row>
    <row r="12" ht="18" customHeight="1">
      <c r="A12" s="28" t="inlineStr">
        <is>
          <t xml:space="preserve">   MVCs provide downside protection. Fee structure insulates from commodity prices.</t>
        </is>
      </c>
    </row>
    <row r="13" ht="18" customHeight="1">
      <c r="A13" s="29" t="inlineStr">
        <is>
          <t>2. Near-term growth optionality</t>
        </is>
      </c>
    </row>
    <row r="14" ht="18" customHeight="1">
      <c r="A14" s="28" t="inlineStr">
        <is>
          <t xml:space="preserve">   Undeveloped acreage dedication provides volume upside as producer drills.</t>
        </is>
      </c>
    </row>
    <row r="15" ht="18" customHeight="1">
      <c r="A15" s="29" t="inlineStr">
        <is>
          <t>3. Aggressive deleveraging</t>
        </is>
      </c>
    </row>
    <row r="16" ht="18" customHeight="1">
      <c r="A16" s="28" t="inlineStr">
        <is>
          <t xml:space="preserve">   75% cash sweep with 5-year tenor rapidly pays down debt before decline phase.</t>
        </is>
      </c>
    </row>
    <row r="17" ht="18" customHeight="1"/>
    <row r="18" ht="18" customHeight="1">
      <c r="A18" s="27" t="inlineStr">
        <is>
          <t>KEY RISKS &amp; MITIGANTS</t>
        </is>
      </c>
    </row>
    <row r="19" ht="18" customHeight="1">
      <c r="A19" s="29" t="inlineStr">
        <is>
          <t>Risk | Mitigant</t>
        </is>
      </c>
    </row>
    <row r="20" ht="18" customHeight="1">
      <c r="A20" s="28" t="inlineStr">
        <is>
          <t>Producer credit risk | Investment-grade anchor shipper; diversified producer base</t>
        </is>
      </c>
    </row>
    <row r="21" ht="18" customHeight="1">
      <c r="A21" s="28" t="inlineStr">
        <is>
          <t>Volume decline steeper than modeled | Conservative decline assumptions; exit before steep decline</t>
        </is>
      </c>
    </row>
    <row r="22" ht="18" customHeight="1">
      <c r="A22" s="28" t="inlineStr">
        <is>
          <t>Commodity price impact on drilling | MVC protection; acreage dedication locks in volumes</t>
        </is>
      </c>
    </row>
    <row r="23" ht="18" customHeight="1"/>
    <row r="24" ht="18" customHeight="1">
      <c r="A24" s="27" t="inlineStr">
        <is>
          <t>FINANCIAL SUMMARY</t>
        </is>
      </c>
    </row>
    <row r="25" ht="18" customHeight="1">
      <c r="A25" s="28" t="inlineStr">
        <is>
          <t>Entry EV: $85mm | Leverage: 55% | Min DSCR: 1.35x</t>
        </is>
      </c>
    </row>
    <row r="26" ht="18" customHeight="1">
      <c r="A26" s="28" t="inlineStr">
        <is>
          <t>Levered IRR: 17.0% | MOIC: 2.3x</t>
        </is>
      </c>
    </row>
    <row r="27" ht="18" customHeight="1"/>
    <row r="28" ht="18" customHeight="1">
      <c r="A28" s="27" t="inlineStr">
        <is>
          <t>RECOMMENDATION</t>
        </is>
      </c>
    </row>
    <row r="29" ht="18" customHeight="1">
      <c r="A29" s="28" t="inlineStr">
        <is>
          <t>Recommend APPROVAL subject to satisfactory completion of confirmatory due diligence.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2026-01-20T02:10:39Z</dcterms:created>
  <dcterms:modified xmlns:dcterms="http://purl.org/dc/terms/" xmlns:xsi="http://www.w3.org/2001/XMLSchema-instance" xsi:type="dcterms:W3CDTF">2026-01-20T02:50:58Z</dcterms:modified>
</cp:coreProperties>
</file>