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_);(#,##0.0)"/>
    <numFmt numFmtId="165" formatCode="0.00&quot;x&quot;"/>
    <numFmt numFmtId="166" formatCode="0.0%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000000"/>
    </font>
    <font>
      <color rgb="00000000"/>
    </font>
    <font>
      <b val="1"/>
      <sz val="14"/>
    </font>
    <font>
      <i val="1"/>
      <color rgb="00666666"/>
    </font>
    <font>
      <b val="1"/>
      <color rgb="000000FF"/>
    </font>
    <font>
      <b val="1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6" fillId="0" borderId="0" pivotButton="0" quotePrefix="0" xfId="0"/>
    <xf numFmtId="164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0" fontId="3" fillId="4" borderId="1" pivotButton="0" quotePrefix="0" xfId="0"/>
    <xf numFmtId="164" fontId="7" fillId="3" borderId="1" pivotButton="0" quotePrefix="0" xfId="0"/>
    <xf numFmtId="166" fontId="7" fillId="3" borderId="1" pivotButton="0" quotePrefix="0" xfId="0"/>
    <xf numFmtId="165" fontId="7" fillId="3" borderId="1" pivotButton="0" quotePrefix="0" xfId="0"/>
    <xf numFmtId="3" fontId="7" fillId="3" borderId="1" pivotButton="0" quotePrefix="0" xfId="0"/>
    <xf numFmtId="164" fontId="4" fillId="0" borderId="1" pivotButton="0" quotePrefix="0" xfId="0"/>
    <xf numFmtId="0" fontId="4" fillId="0" borderId="1" pivotButton="0" quotePrefix="0" xfId="0"/>
    <xf numFmtId="164" fontId="4" fillId="5" borderId="1" pivotButton="0" quotePrefix="0" xfId="0"/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3" fillId="4" borderId="1" pivotButton="0" quotePrefix="0" xfId="0"/>
    <xf numFmtId="166" fontId="3" fillId="4" borderId="1" pivotButton="0" quotePrefix="0" xfId="0"/>
    <xf numFmtId="166" fontId="7" fillId="3" borderId="1" pivotButton="0" quotePrefix="0" xfId="0"/>
    <xf numFmtId="165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</cols>
  <sheetData>
    <row r="1">
      <c r="A1" s="22" t="inlineStr">
        <is>
          <t>═══ DEBT STRUCTURE DECISION TREE ═══</t>
        </is>
      </c>
    </row>
    <row r="3">
      <c r="A3" s="23" t="inlineStr">
        <is>
          <t>Cash Flow Type</t>
        </is>
      </c>
      <c r="B3" s="23" t="inlineStr">
        <is>
          <t>Structure</t>
        </is>
      </c>
      <c r="C3" s="23" t="inlineStr">
        <is>
          <t>Key Formula</t>
        </is>
      </c>
    </row>
    <row r="4">
      <c r="A4" s="24" t="inlineStr">
        <is>
          <t>Contracted (PPA, tariff)</t>
        </is>
      </c>
      <c r="B4" s="24" t="inlineStr">
        <is>
          <t>Sculpted to 1.30-1.40x DSCR</t>
        </is>
      </c>
      <c r="C4" s="24" t="inlineStr">
        <is>
          <t>Prin = MIN(MAX(0, CFADS/DSCR − Int), Bal)</t>
        </is>
      </c>
    </row>
    <row r="5">
      <c r="A5" s="24" t="inlineStr">
        <is>
          <t>Merchant (power, midstream)</t>
        </is>
      </c>
      <c r="B5" s="24" t="inlineStr">
        <is>
          <t>75% Cash Sweep, 1.25x min</t>
        </is>
      </c>
      <c r="C5" s="24" t="inlineStr">
        <is>
          <t>Sweep = MIN(Excess × 75%, Bal − Sched)</t>
        </is>
      </c>
    </row>
    <row r="6">
      <c r="A6" s="24" t="inlineStr">
        <is>
          <t>Hybrid/Semi-contracted</t>
        </is>
      </c>
      <c r="B6" s="24" t="inlineStr">
        <is>
          <t>Sweep + tighter covenant</t>
        </is>
      </c>
      <c r="C6" s="24" t="inlineStr">
        <is>
          <t>Same as sweep with 1.30x DSCR</t>
        </is>
      </c>
    </row>
    <row r="9">
      <c r="A9" s="22" t="inlineStr">
        <is>
          <t>═══ UNIT CONVERSIONS ═══</t>
        </is>
      </c>
    </row>
    <row r="11">
      <c r="A11" s="23" t="inlineStr">
        <is>
          <t>Calculation</t>
        </is>
      </c>
      <c r="B11" s="23" t="inlineStr">
        <is>
          <t>Formula</t>
        </is>
      </c>
      <c r="C11" s="23" t="inlineStr">
        <is>
          <t>Common Error</t>
        </is>
      </c>
    </row>
    <row r="12">
      <c r="A12" s="24" t="inlineStr">
        <is>
          <t>Fuel Cost ($mm)</t>
        </is>
      </c>
      <c r="B12" s="24" t="inlineStr">
        <is>
          <t>Gen × HR × Gas / 1E9</t>
        </is>
      </c>
      <c r="C12" s="24" t="inlineStr">
        <is>
          <t>÷1E6 → 1000× too high</t>
        </is>
      </c>
    </row>
    <row r="13">
      <c r="A13" s="24" t="inlineStr">
        <is>
          <t>Energy Revenue ($mm)</t>
        </is>
      </c>
      <c r="B13" s="24" t="inlineStr">
        <is>
          <t>Gen × Price / 1E6</t>
        </is>
      </c>
      <c r="C13" s="24" t="inlineStr">
        <is>
          <t>Forgetting ÷1E6</t>
        </is>
      </c>
    </row>
    <row r="14">
      <c r="A14" s="24" t="inlineStr">
        <is>
          <t>Capacity Revenue ($mm)</t>
        </is>
      </c>
      <c r="B14" s="24" t="inlineStr">
        <is>
          <t>UCAP × Price × 1000 / 1E6</t>
        </is>
      </c>
      <c r="C14" s="24" t="inlineStr">
        <is>
          <t>Missing ×1000 (price is $/kW)</t>
        </is>
      </c>
    </row>
    <row r="15">
      <c r="A15" s="24" t="inlineStr">
        <is>
          <t>Peaker Generation (MWh)</t>
        </is>
      </c>
      <c r="B15" s="24" t="inlineStr">
        <is>
          <t>Capacity × Dispatch Hrs × Avail</t>
        </is>
      </c>
      <c r="C15" s="24" t="inlineStr">
        <is>
          <t>Using CF × 8760 (10× too high)</t>
        </is>
      </c>
    </row>
    <row r="18">
      <c r="A18" s="22" t="inlineStr">
        <is>
          <t>═══ DSRA LOGIC ═══</t>
        </is>
      </c>
    </row>
    <row r="20">
      <c r="A20" s="23" t="inlineStr">
        <is>
          <t>DSRA Target Y(n) = Scheduled DS Y(n+1) × (DSRA Months / 12)</t>
        </is>
      </c>
    </row>
    <row r="22">
      <c r="A22" s="24" t="inlineStr">
        <is>
          <t>• Reference NEXT year's scheduled DS, not current year</t>
        </is>
      </c>
    </row>
    <row r="23">
      <c r="A23" s="24" t="inlineStr">
        <is>
          <t>• Use scheduled DS (straight-line), not actual (includes sweep)</t>
        </is>
      </c>
    </row>
    <row r="24">
      <c r="A24" s="24" t="inlineStr">
        <is>
          <t>• This avoids circular reference in cash sweep models</t>
        </is>
      </c>
    </row>
    <row r="25">
      <c r="A25" s="24" t="inlineStr">
        <is>
          <t>• Sculpted models: use actual_ds (no circularity — DS derived from CFADS)</t>
        </is>
      </c>
    </row>
    <row r="26">
      <c r="A26" s="24" t="inlineStr">
        <is>
          <t>• DSRA released at exit (target = 0 in final year)</t>
        </is>
      </c>
    </row>
    <row r="29">
      <c r="A29" s="22" t="inlineStr">
        <is>
          <t>═══ QA CHECKS ═══</t>
        </is>
      </c>
    </row>
    <row r="31">
      <c r="A31" s="23" t="inlineStr">
        <is>
          <t>Check</t>
        </is>
      </c>
      <c r="B31" s="23" t="inlineStr">
        <is>
          <t>Formula</t>
        </is>
      </c>
      <c r="C31" s="23" t="inlineStr">
        <is>
          <t>Pass Condition</t>
        </is>
      </c>
    </row>
    <row r="32">
      <c r="A32" s="24" t="inlineStr">
        <is>
          <t>S&amp;U Balance</t>
        </is>
      </c>
      <c r="B32" s="24" t="inlineStr">
        <is>
          <t>ABS(Total Uses − Total Sources)</t>
        </is>
      </c>
      <c r="C32" s="24" t="inlineStr">
        <is>
          <t>&lt; $0.01mm</t>
        </is>
      </c>
    </row>
    <row r="33">
      <c r="A33" s="24" t="inlineStr">
        <is>
          <t>Debt Payoff</t>
        </is>
      </c>
      <c r="B33" s="24" t="inlineStr">
        <is>
          <t>Ending Balance at Debt Tenor</t>
        </is>
      </c>
      <c r="C33" s="24" t="inlineStr">
        <is>
          <t>&lt; $1mm</t>
        </is>
      </c>
    </row>
    <row r="34">
      <c r="A34" s="24" t="inlineStr">
        <is>
          <t>Min DSCR</t>
        </is>
      </c>
      <c r="B34" s="24" t="inlineStr">
        <is>
          <t>MIN(DSCR Y1:Yn)</t>
        </is>
      </c>
      <c r="C34" s="24" t="inlineStr">
        <is>
          <t>≥ 1.25x (sweep) or 1.30x (sculpt)</t>
        </is>
      </c>
    </row>
    <row r="35">
      <c r="A35" s="24" t="inlineStr">
        <is>
          <t>No Errors</t>
        </is>
      </c>
      <c r="B35" s="24" t="inlineStr">
        <is>
          <t>Scan for #REF, #NAME, #VALUE, #DIV/0</t>
        </is>
      </c>
      <c r="C35" s="24" t="inlineStr">
        <is>
          <t>None found</t>
        </is>
      </c>
    </row>
    <row r="38">
      <c r="A38" s="22" t="inlineStr">
        <is>
          <t>═══ COMMON MISTAKES ═══</t>
        </is>
      </c>
    </row>
    <row r="40">
      <c r="A40" s="24" t="inlineStr">
        <is>
          <t>Fuel cost ÷ 1E6</t>
        </is>
      </c>
      <c r="B40" s="24" t="inlineStr">
        <is>
          <t>Fuel = $30B (should be $30mm)</t>
        </is>
      </c>
      <c r="C40" s="24" t="inlineStr">
        <is>
          <t>Use ÷ 1E9</t>
        </is>
      </c>
    </row>
    <row r="41">
      <c r="A41" s="24" t="inlineStr">
        <is>
          <t>DSRA = current DS</t>
        </is>
      </c>
      <c r="B41" s="24" t="inlineStr">
        <is>
          <t>Circular reference error</t>
        </is>
      </c>
      <c r="C41" s="24" t="inlineStr">
        <is>
          <t>Reference NEXT column</t>
        </is>
      </c>
    </row>
    <row r="42">
      <c r="A42" s="24" t="inlineStr">
        <is>
          <t>Exit Equity = Exit EV</t>
        </is>
      </c>
      <c r="B42" s="24" t="inlineStr">
        <is>
          <t>IRR 5-10% too high</t>
        </is>
      </c>
      <c r="C42" s="24" t="inlineStr">
        <is>
          <t>Subtract debt, add DSRA</t>
        </is>
      </c>
    </row>
    <row r="43">
      <c r="A43" s="24" t="inlineStr">
        <is>
          <t>Peaker CF × 8760</t>
        </is>
      </c>
      <c r="B43" s="24" t="inlineStr">
        <is>
          <t>Generation 10× too high</t>
        </is>
      </c>
      <c r="C43" s="24" t="inlineStr">
        <is>
          <t>Use Dispatch Hours × Avail</t>
        </is>
      </c>
    </row>
    <row r="44">
      <c r="A44" s="24" t="inlineStr">
        <is>
          <t>Hardcoded row numbers</t>
        </is>
      </c>
      <c r="B44" s="24" t="inlineStr">
        <is>
          <t>Formulas break when rows move</t>
        </is>
      </c>
      <c r="C44" s="24" t="inlineStr">
        <is>
          <t>Use rows dict: rows['ebitda']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MASTER TEMPLATE INSTRUCTIONS</t>
        </is>
      </c>
      <c r="B1" s="2" t="n"/>
    </row>
    <row r="2">
      <c r="A2" s="3" t="inlineStr"/>
      <c r="B2" s="4" t="inlineStr"/>
    </row>
    <row r="3">
      <c r="A3" s="1" t="inlineStr">
        <is>
          <t>PURPOSE</t>
        </is>
      </c>
      <c r="B3" s="2" t="n"/>
    </row>
    <row r="4">
      <c r="A4" s="3" t="inlineStr"/>
      <c r="B4" s="4" t="inlineStr"/>
    </row>
    <row r="5">
      <c r="A5" s="1" t="inlineStr">
        <is>
          <t>ASSET TYPES SUPPORTED</t>
        </is>
      </c>
      <c r="B5" s="2" t="n"/>
    </row>
    <row r="6">
      <c r="A6" s="3" t="inlineStr">
        <is>
          <t>• Thermal Generation</t>
        </is>
      </c>
      <c r="B6" s="4" t="inlineStr">
        <is>
          <t>CCGT, Peaker, Coal (modify fuel cost calculations)</t>
        </is>
      </c>
    </row>
    <row r="7">
      <c r="A7" s="3" t="inlineStr">
        <is>
          <t>• Renewables</t>
        </is>
      </c>
      <c r="B7" s="4" t="inlineStr">
        <is>
          <t>Solar, Wind, BESS (remove fuel cost, add degradation)</t>
        </is>
      </c>
    </row>
    <row r="8">
      <c r="A8" s="3" t="inlineStr">
        <is>
          <t>• Transmission</t>
        </is>
      </c>
      <c r="B8" s="4" t="inlineStr">
        <is>
          <t>Add construction period, use RAB-based returns</t>
        </is>
      </c>
    </row>
    <row r="9">
      <c r="A9" s="3" t="inlineStr">
        <is>
          <t>• Midstream</t>
        </is>
      </c>
      <c r="B9" s="4" t="inlineStr">
        <is>
          <t>Volume-based revenue, growth-decline profile</t>
        </is>
      </c>
    </row>
    <row r="10">
      <c r="A10" s="3" t="inlineStr"/>
      <c r="B10" s="4" t="inlineStr"/>
    </row>
    <row r="11">
      <c r="A11" s="1" t="inlineStr">
        <is>
          <t>DEBT STRUCTURES</t>
        </is>
      </c>
      <c r="B11" s="2" t="n"/>
    </row>
    <row r="12">
      <c r="A12" s="3" t="inlineStr">
        <is>
          <t>• Cash Sweep</t>
        </is>
      </c>
      <c r="B12" s="4" t="inlineStr">
        <is>
          <t>For merchant assets with volatile CFADS</t>
        </is>
      </c>
    </row>
    <row r="13">
      <c r="A13" s="3" t="inlineStr">
        <is>
          <t>• Sculpted</t>
        </is>
      </c>
      <c r="B13" s="4" t="inlineStr">
        <is>
          <t>For contracted assets with predictable CFADS</t>
        </is>
      </c>
    </row>
    <row r="14">
      <c r="A14" s="3" t="inlineStr"/>
      <c r="B14" s="4" t="inlineStr"/>
    </row>
    <row r="15">
      <c r="A15" s="1" t="inlineStr">
        <is>
          <t>KEY MODIFICATIONS BY ASSET</t>
        </is>
      </c>
      <c r="B15" s="2" t="n"/>
    </row>
    <row r="16">
      <c r="A16" s="3" t="inlineStr">
        <is>
          <t>CCGT/Peaker</t>
        </is>
      </c>
      <c r="B16" s="4" t="inlineStr">
        <is>
          <t>Use provided fuel cost formula: Gen × HR × Gas / 1e9</t>
        </is>
      </c>
    </row>
    <row r="17">
      <c r="A17" s="3" t="inlineStr">
        <is>
          <t>Solar/Wind</t>
        </is>
      </c>
      <c r="B17" s="4" t="inlineStr">
        <is>
          <t>Remove fuel cost row, add degradation to generation</t>
        </is>
      </c>
    </row>
    <row r="18">
      <c r="A18" s="3" t="inlineStr">
        <is>
          <t>Transmission</t>
        </is>
      </c>
      <c r="B18" s="4" t="inlineStr">
        <is>
          <t>Add construction period rows Y0-Y2, use COD timing</t>
        </is>
      </c>
    </row>
    <row r="19">
      <c r="A19" s="3" t="inlineStr">
        <is>
          <t>Midstream</t>
        </is>
      </c>
      <c r="B19" s="4" t="inlineStr">
        <is>
          <t>Use volume × fee revenue, add growth/decline formula</t>
        </is>
      </c>
    </row>
    <row r="20">
      <c r="A20" s="3" t="inlineStr"/>
      <c r="B20" s="4" t="inlineStr"/>
    </row>
    <row r="21">
      <c r="A21" s="1" t="inlineStr">
        <is>
          <t>FORMULA CONVENTIONS</t>
        </is>
      </c>
      <c r="B21" s="2" t="n"/>
    </row>
    <row r="22">
      <c r="A22" s="3" t="inlineStr">
        <is>
          <t>$D$ references</t>
        </is>
      </c>
      <c r="B22" s="4" t="inlineStr">
        <is>
          <t>Inputs in column D are typically fixed references</t>
        </is>
      </c>
    </row>
    <row r="23">
      <c r="A23" s="3" t="inlineStr">
        <is>
          <t>Column references</t>
        </is>
      </c>
      <c r="B23" s="4" t="inlineStr">
        <is>
          <t>E through N represent Years 1-10</t>
        </is>
      </c>
    </row>
    <row r="24">
      <c r="A24" s="3" t="inlineStr">
        <is>
          <t>Escalation</t>
        </is>
      </c>
      <c r="B24" s="4" t="inlineStr">
        <is>
          <t>All prices use (1+esc%)^(year-1) pattern</t>
        </is>
      </c>
    </row>
    <row r="25">
      <c r="A25" s="3" t="inlineStr"/>
      <c r="B25" s="4" t="inlineStr"/>
    </row>
    <row r="26">
      <c r="A26" s="1" t="inlineStr">
        <is>
          <t>COMMON ERRORS TO AVOID</t>
        </is>
      </c>
      <c r="B26" s="2" t="n"/>
    </row>
    <row r="27">
      <c r="A27" s="3" t="inlineStr">
        <is>
          <t>1. Fuel cost divisor</t>
        </is>
      </c>
      <c r="B27" s="4" t="inlineStr">
        <is>
          <t>Must divide by 1,000,000,000 (not 1,000,000)</t>
        </is>
      </c>
    </row>
    <row r="28">
      <c r="A28" s="3" t="inlineStr">
        <is>
          <t>2. Peaker generation</t>
        </is>
      </c>
      <c r="B28" s="4" t="inlineStr">
        <is>
          <t>Use dispatch hours, NOT capacity factor × 8,760</t>
        </is>
      </c>
    </row>
    <row r="29">
      <c r="A29" s="3" t="inlineStr">
        <is>
          <t>3. Capacity revenue</t>
        </is>
      </c>
      <c r="B29" s="4" t="inlineStr">
        <is>
          <t>Multiply by 1,000 (capacity price is per kW, not MW)</t>
        </is>
      </c>
    </row>
    <row r="30">
      <c r="A30" s="3" t="inlineStr">
        <is>
          <t>4. DSRA target</t>
        </is>
      </c>
      <c r="B30" s="4" t="inlineStr">
        <is>
          <t>Reference NEXT year's debt service, not 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Infrastructure Model Template</t>
        </is>
      </c>
      <c r="D1" s="6" t="n">
        <v>0</v>
      </c>
      <c r="E1" s="6" t="n">
        <v>1</v>
      </c>
      <c r="F1" s="6" t="n">
        <v>2</v>
      </c>
      <c r="G1" s="6" t="n">
        <v>3</v>
      </c>
      <c r="H1" s="6" t="n">
        <v>4</v>
      </c>
      <c r="I1" s="6" t="n">
        <v>5</v>
      </c>
      <c r="J1" s="6" t="n">
        <v>6</v>
      </c>
      <c r="K1" s="6" t="n">
        <v>7</v>
      </c>
      <c r="L1" s="6" t="n">
        <v>8</v>
      </c>
      <c r="M1" s="6" t="n">
        <v>9</v>
      </c>
      <c r="N1" s="6" t="n">
        <v>10</v>
      </c>
    </row>
    <row r="2">
      <c r="A2" s="7" t="inlineStr">
        <is>
          <t>═══ AUDIT STRIP ═══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</row>
    <row r="3">
      <c r="A3" s="9" t="inlineStr">
        <is>
          <t>Entry EV</t>
        </is>
      </c>
      <c r="B3" s="10" t="inlineStr">
        <is>
          <t>$mm</t>
        </is>
      </c>
      <c r="C3" s="10" t="inlineStr"/>
      <c r="D3" s="11">
        <f>$D$13</f>
        <v/>
      </c>
    </row>
    <row r="4">
      <c r="A4" s="9" t="inlineStr">
        <is>
          <t>Y1 EBITDA</t>
        </is>
      </c>
      <c r="B4" s="10" t="inlineStr">
        <is>
          <t>$mm</t>
        </is>
      </c>
      <c r="C4" s="10" t="inlineStr"/>
      <c r="D4" s="11">
        <f>E51</f>
        <v/>
      </c>
    </row>
    <row r="5">
      <c r="A5" s="9" t="inlineStr">
        <is>
          <t>Min DSCR</t>
        </is>
      </c>
      <c r="B5" s="10" t="inlineStr">
        <is>
          <t>x</t>
        </is>
      </c>
      <c r="C5" s="10" t="inlineStr"/>
      <c r="D5" s="25">
        <f>IF(COUNTIF(E67:K67,"&gt;0")&gt;0,MINIFS(E67:K67,E67:K67,"&gt;0"),0)</f>
        <v/>
      </c>
    </row>
    <row r="6">
      <c r="A6" s="9" t="inlineStr">
        <is>
          <t>Levered IRR</t>
        </is>
      </c>
      <c r="B6" s="10" t="inlineStr">
        <is>
          <t>%</t>
        </is>
      </c>
      <c r="C6" s="10" t="inlineStr"/>
      <c r="D6" s="26">
        <f>D98</f>
        <v/>
      </c>
    </row>
    <row r="7">
      <c r="A7" s="9" t="inlineStr">
        <is>
          <t>MOIC</t>
        </is>
      </c>
      <c r="B7" s="10" t="inlineStr">
        <is>
          <t>x</t>
        </is>
      </c>
      <c r="C7" s="10" t="inlineStr"/>
      <c r="D7" s="25">
        <f>D99</f>
        <v/>
      </c>
    </row>
    <row r="8">
      <c r="A8" s="7" t="inlineStr">
        <is>
          <t>═══ QA CHECKS ═══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9" t="inlineStr">
        <is>
          <t>S&amp;U Balance</t>
        </is>
      </c>
      <c r="B9" s="10" t="inlineStr"/>
      <c r="C9" s="10" t="inlineStr"/>
      <c r="D9" s="14">
        <f>D89</f>
        <v/>
      </c>
    </row>
    <row r="10">
      <c r="A10" s="9" t="inlineStr">
        <is>
          <t>Debt Payoff at Exit</t>
        </is>
      </c>
      <c r="B10" s="10" t="inlineStr"/>
      <c r="C10" s="10" t="inlineStr"/>
      <c r="D10" s="14">
        <f>IF(K66&lt;1,"PASS","FAIL")</f>
        <v/>
      </c>
    </row>
    <row r="12">
      <c r="A12" s="7" t="inlineStr">
        <is>
          <t>TRANSACTION INPUTS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9" t="inlineStr">
        <is>
          <t>Entry EV</t>
        </is>
      </c>
      <c r="B13" s="10" t="inlineStr">
        <is>
          <t>$mm</t>
        </is>
      </c>
      <c r="C13" s="10" t="inlineStr">
        <is>
          <t>[INPUT] Purchase price</t>
        </is>
      </c>
      <c r="D13" s="15" t="n">
        <v>100</v>
      </c>
    </row>
    <row r="14">
      <c r="A14" s="9" t="inlineStr">
        <is>
          <t>Transaction Fees</t>
        </is>
      </c>
      <c r="B14" s="10" t="inlineStr">
        <is>
          <t>%</t>
        </is>
      </c>
      <c r="C14" s="10" t="inlineStr">
        <is>
          <t>[INPUT] Legal, advisory</t>
        </is>
      </c>
      <c r="D14" s="27" t="n">
        <v>0.015</v>
      </c>
    </row>
    <row r="15">
      <c r="A15" s="9" t="inlineStr">
        <is>
          <t>Exit Multiple</t>
        </is>
      </c>
      <c r="B15" s="10" t="inlineStr">
        <is>
          <t>x</t>
        </is>
      </c>
      <c r="C15" s="10" t="inlineStr">
        <is>
          <t>[INPUT] On exit EBITDA</t>
        </is>
      </c>
      <c r="D15" s="28" t="n">
        <v>7</v>
      </c>
    </row>
    <row r="16">
      <c r="A16" s="9" t="inlineStr">
        <is>
          <t>Exit Year</t>
        </is>
      </c>
      <c r="B16" s="10" t="inlineStr">
        <is>
          <t>#</t>
        </is>
      </c>
      <c r="C16" s="10" t="inlineStr">
        <is>
          <t>[INPUT] Hold period</t>
        </is>
      </c>
      <c r="D16" s="18" t="n">
        <v>7</v>
      </c>
    </row>
    <row r="18">
      <c r="A18" s="7" t="inlineStr">
        <is>
          <t>ASSET INPUTS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9" t="inlineStr">
        <is>
          <t>Capacity</t>
        </is>
      </c>
      <c r="B19" s="10" t="inlineStr">
        <is>
          <t>MW/units</t>
        </is>
      </c>
      <c r="C19" s="10" t="inlineStr">
        <is>
          <t>[INPUT] Asset size</t>
        </is>
      </c>
      <c r="D19" s="18" t="n">
        <v>100</v>
      </c>
    </row>
    <row r="20">
      <c r="A20" s="9" t="inlineStr">
        <is>
          <t>Utilization/CF</t>
        </is>
      </c>
      <c r="B20" s="10" t="inlineStr">
        <is>
          <t>%</t>
        </is>
      </c>
      <c r="C20" s="10" t="inlineStr">
        <is>
          <t>[INPUT] Capacity factor or utilization</t>
        </is>
      </c>
      <c r="D20" s="27" t="n">
        <v>0.5</v>
      </c>
    </row>
    <row r="21">
      <c r="A21" s="9" t="inlineStr">
        <is>
          <t>Escalation</t>
        </is>
      </c>
      <c r="B21" s="10" t="inlineStr">
        <is>
          <t>%/yr</t>
        </is>
      </c>
      <c r="C21" s="10" t="inlineStr">
        <is>
          <t>[INPUT] All prices/costs</t>
        </is>
      </c>
      <c r="D21" s="27" t="n">
        <v>0.025</v>
      </c>
    </row>
    <row r="23">
      <c r="A23" s="7" t="inlineStr">
        <is>
          <t>REVENUE INPUTS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9" t="inlineStr">
        <is>
          <t>Price Y1</t>
        </is>
      </c>
      <c r="B24" s="10" t="inlineStr">
        <is>
          <t>$/unit</t>
        </is>
      </c>
      <c r="C24" s="10" t="inlineStr">
        <is>
          <t>[INPUT] Base year price</t>
        </is>
      </c>
      <c r="D24" s="15" t="n">
        <v>50</v>
      </c>
    </row>
    <row r="26">
      <c r="A26" s="7" t="inlineStr">
        <is>
          <t>COST INPUTS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9" t="inlineStr">
        <is>
          <t>Operating Costs Y1</t>
        </is>
      </c>
      <c r="B27" s="10" t="inlineStr">
        <is>
          <t>$mm</t>
        </is>
      </c>
      <c r="C27" s="10" t="inlineStr">
        <is>
          <t>[INPUT] Base year opex</t>
        </is>
      </c>
      <c r="D27" s="15" t="n">
        <v>5</v>
      </c>
    </row>
    <row r="29">
      <c r="A29" s="7" t="inlineStr">
        <is>
          <t>FINANCING INPUTS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9" t="inlineStr">
        <is>
          <t>Leverage</t>
        </is>
      </c>
      <c r="B30" s="10" t="inlineStr">
        <is>
          <t>%</t>
        </is>
      </c>
      <c r="C30" s="10" t="inlineStr">
        <is>
          <t>[INPUT] Debt / EV</t>
        </is>
      </c>
      <c r="D30" s="27" t="n">
        <v>0.4</v>
      </c>
    </row>
    <row r="31">
      <c r="A31" s="9" t="inlineStr">
        <is>
          <t>Interest Rate</t>
        </is>
      </c>
      <c r="B31" s="10" t="inlineStr">
        <is>
          <t>%</t>
        </is>
      </c>
      <c r="C31" s="10" t="inlineStr">
        <is>
          <t>[INPUT] All-in rate</t>
        </is>
      </c>
      <c r="D31" s="27" t="n">
        <v>0.06</v>
      </c>
    </row>
    <row r="32">
      <c r="A32" s="9" t="inlineStr">
        <is>
          <t>Debt Tenor</t>
        </is>
      </c>
      <c r="B32" s="10" t="inlineStr">
        <is>
          <t>years</t>
        </is>
      </c>
      <c r="C32" s="10" t="inlineStr">
        <is>
          <t>[INPUT] Amortization period</t>
        </is>
      </c>
      <c r="D32" s="18" t="n">
        <v>7</v>
      </c>
    </row>
    <row r="33">
      <c r="A33" s="9" t="inlineStr">
        <is>
          <t>DSRA Months</t>
        </is>
      </c>
      <c r="B33" s="10" t="inlineStr">
        <is>
          <t>months</t>
        </is>
      </c>
      <c r="C33" s="10" t="inlineStr">
        <is>
          <t>[INPUT] Reserve sizing</t>
        </is>
      </c>
      <c r="D33" s="18" t="n">
        <v>6</v>
      </c>
    </row>
    <row r="34">
      <c r="A34" s="9" t="inlineStr">
        <is>
          <t>Cash Sweep %</t>
        </is>
      </c>
      <c r="B34" s="10" t="inlineStr">
        <is>
          <t>%</t>
        </is>
      </c>
      <c r="C34" s="10" t="inlineStr">
        <is>
          <t>[INPUT] For sweep structure</t>
        </is>
      </c>
      <c r="D34" s="27" t="n">
        <v>0.75</v>
      </c>
    </row>
    <row r="35">
      <c r="A35" s="9" t="inlineStr">
        <is>
          <t>Lock-up DSCR</t>
        </is>
      </c>
      <c r="B35" s="10" t="inlineStr">
        <is>
          <t>x</t>
        </is>
      </c>
      <c r="C35" s="10" t="inlineStr">
        <is>
          <t>[INPUT] Distribution threshold</t>
        </is>
      </c>
      <c r="D35" s="28" t="n">
        <v>1.1</v>
      </c>
    </row>
    <row r="37">
      <c r="A37" s="7" t="inlineStr">
        <is>
          <t>TAX INPUTS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9" t="inlineStr">
        <is>
          <t>Tax Rate</t>
        </is>
      </c>
      <c r="B38" s="10" t="inlineStr">
        <is>
          <t>%</t>
        </is>
      </c>
      <c r="C38" s="10" t="inlineStr">
        <is>
          <t>[INPUT] Blended rate</t>
        </is>
      </c>
      <c r="D38" s="27" t="n">
        <v>0.25</v>
      </c>
    </row>
    <row r="39">
      <c r="A39" s="9" t="inlineStr">
        <is>
          <t>Depreciable Basis</t>
        </is>
      </c>
      <c r="B39" s="10" t="inlineStr">
        <is>
          <t>%</t>
        </is>
      </c>
      <c r="C39" s="10" t="inlineStr">
        <is>
          <t>[INPUT] % of EV</t>
        </is>
      </c>
      <c r="D39" s="27" t="n">
        <v>0.85</v>
      </c>
    </row>
    <row r="40">
      <c r="A40" s="9" t="inlineStr">
        <is>
          <t>Depreciation Life</t>
        </is>
      </c>
      <c r="B40" s="10" t="inlineStr">
        <is>
          <t>years</t>
        </is>
      </c>
      <c r="C40" s="10" t="inlineStr">
        <is>
          <t>[INPUT] SL life</t>
        </is>
      </c>
      <c r="D40" s="18" t="n">
        <v>15</v>
      </c>
    </row>
    <row r="42">
      <c r="A42" s="7" t="inlineStr">
        <is>
          <t>CALCULATED ITEMS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9" t="inlineStr">
        <is>
          <t>Debt Amount</t>
        </is>
      </c>
      <c r="B43" s="10" t="inlineStr">
        <is>
          <t>$mm</t>
        </is>
      </c>
      <c r="C43" s="10">
        <f>EV × Leverage</f>
        <v/>
      </c>
      <c r="D43" s="19">
        <f>$D$13*$D$30</f>
        <v/>
      </c>
    </row>
    <row r="44">
      <c r="A44" s="9" t="inlineStr">
        <is>
          <t>Annual Depreciation</t>
        </is>
      </c>
      <c r="B44" s="10" t="inlineStr">
        <is>
          <t>$mm</t>
        </is>
      </c>
      <c r="C44" s="10">
        <f>EV × Basis / Life</f>
        <v/>
      </c>
      <c r="D44" s="19">
        <f>$D$13*$D$39/$D$40</f>
        <v/>
      </c>
    </row>
    <row r="45">
      <c r="A45" s="9" t="inlineStr">
        <is>
          <t>Scheduled Principal</t>
        </is>
      </c>
      <c r="B45" s="10" t="inlineStr">
        <is>
          <t>$mm/yr</t>
        </is>
      </c>
      <c r="C45" s="10">
        <f>Debt / Tenor</f>
        <v/>
      </c>
      <c r="D45" s="19">
        <f>$D$43/$D$32</f>
        <v/>
      </c>
    </row>
    <row r="47">
      <c r="A47" s="7" t="inlineStr">
        <is>
          <t>OPERATING MODEL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9" t="inlineStr">
        <is>
          <t>Price</t>
        </is>
      </c>
      <c r="B48" s="10" t="inlineStr">
        <is>
          <t>$/unit</t>
        </is>
      </c>
      <c r="C48" s="10" t="inlineStr">
        <is>
          <t>Escalated</t>
        </is>
      </c>
      <c r="E48" s="19">
        <f>$D$24*(1+$D$21)^(1-1)</f>
        <v/>
      </c>
      <c r="F48" s="19">
        <f>$D$24*(1+$D$21)^(2-1)</f>
        <v/>
      </c>
      <c r="G48" s="19">
        <f>$D$24*(1+$D$21)^(3-1)</f>
        <v/>
      </c>
      <c r="H48" s="19">
        <f>$D$24*(1+$D$21)^(4-1)</f>
        <v/>
      </c>
      <c r="I48" s="19">
        <f>$D$24*(1+$D$21)^(5-1)</f>
        <v/>
      </c>
      <c r="J48" s="19">
        <f>$D$24*(1+$D$21)^(6-1)</f>
        <v/>
      </c>
      <c r="K48" s="19">
        <f>$D$24*(1+$D$21)^(7-1)</f>
        <v/>
      </c>
      <c r="L48" s="19">
        <f>$D$24*(1+$D$21)^(8-1)</f>
        <v/>
      </c>
      <c r="M48" s="19">
        <f>$D$24*(1+$D$21)^(9-1)</f>
        <v/>
      </c>
      <c r="N48" s="19">
        <f>$D$24*(1+$D$21)^(10-1)</f>
        <v/>
      </c>
    </row>
    <row r="49">
      <c r="A49" s="9" t="inlineStr">
        <is>
          <t>Revenue</t>
        </is>
      </c>
      <c r="B49" s="10" t="inlineStr">
        <is>
          <t>$mm</t>
        </is>
      </c>
      <c r="C49" s="10" t="inlineStr">
        <is>
          <t>[Customize formula]</t>
        </is>
      </c>
      <c r="E49" s="19">
        <f>$D$19*$D$20*E48*8760/1000000</f>
        <v/>
      </c>
      <c r="F49" s="19">
        <f>$D$19*$D$20*F48*8760/1000000</f>
        <v/>
      </c>
      <c r="G49" s="19">
        <f>$D$19*$D$20*G48*8760/1000000</f>
        <v/>
      </c>
      <c r="H49" s="19">
        <f>$D$19*$D$20*H48*8760/1000000</f>
        <v/>
      </c>
      <c r="I49" s="19">
        <f>$D$19*$D$20*I48*8760/1000000</f>
        <v/>
      </c>
      <c r="J49" s="19">
        <f>$D$19*$D$20*J48*8760/1000000</f>
        <v/>
      </c>
      <c r="K49" s="19">
        <f>$D$19*$D$20*K48*8760/1000000</f>
        <v/>
      </c>
      <c r="L49" s="19">
        <f>$D$19*$D$20*L48*8760/1000000</f>
        <v/>
      </c>
      <c r="M49" s="19">
        <f>$D$19*$D$20*M48*8760/1000000</f>
        <v/>
      </c>
      <c r="N49" s="19">
        <f>$D$19*$D$20*N48*8760/1000000</f>
        <v/>
      </c>
    </row>
    <row r="50">
      <c r="A50" s="9" t="inlineStr">
        <is>
          <t>Operating Costs</t>
        </is>
      </c>
      <c r="B50" s="10" t="inlineStr">
        <is>
          <t>$mm</t>
        </is>
      </c>
      <c r="C50" s="10" t="inlineStr">
        <is>
          <t>Escalated</t>
        </is>
      </c>
      <c r="E50" s="19">
        <f>$D$27*(1+$D$21)^(1-1)</f>
        <v/>
      </c>
      <c r="F50" s="19">
        <f>$D$27*(1+$D$21)^(2-1)</f>
        <v/>
      </c>
      <c r="G50" s="19">
        <f>$D$27*(1+$D$21)^(3-1)</f>
        <v/>
      </c>
      <c r="H50" s="19">
        <f>$D$27*(1+$D$21)^(4-1)</f>
        <v/>
      </c>
      <c r="I50" s="19">
        <f>$D$27*(1+$D$21)^(5-1)</f>
        <v/>
      </c>
      <c r="J50" s="19">
        <f>$D$27*(1+$D$21)^(6-1)</f>
        <v/>
      </c>
      <c r="K50" s="19">
        <f>$D$27*(1+$D$21)^(7-1)</f>
        <v/>
      </c>
      <c r="L50" s="19">
        <f>$D$27*(1+$D$21)^(8-1)</f>
        <v/>
      </c>
      <c r="M50" s="19">
        <f>$D$27*(1+$D$21)^(9-1)</f>
        <v/>
      </c>
      <c r="N50" s="19">
        <f>$D$27*(1+$D$21)^(10-1)</f>
        <v/>
      </c>
    </row>
    <row r="51">
      <c r="A51" s="9" t="inlineStr">
        <is>
          <t>EBITDA</t>
        </is>
      </c>
      <c r="B51" s="10" t="inlineStr">
        <is>
          <t>$mm</t>
        </is>
      </c>
      <c r="C51" s="10" t="inlineStr"/>
      <c r="E51" s="11">
        <f>E49-E50</f>
        <v/>
      </c>
      <c r="F51" s="11">
        <f>F49-F50</f>
        <v/>
      </c>
      <c r="G51" s="11">
        <f>G49-G50</f>
        <v/>
      </c>
      <c r="H51" s="11">
        <f>H49-H50</f>
        <v/>
      </c>
      <c r="I51" s="11">
        <f>I49-I50</f>
        <v/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</row>
    <row r="53">
      <c r="A53" s="7" t="inlineStr">
        <is>
          <t>CASH FLOW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9" t="inlineStr">
        <is>
          <t>EBIT</t>
        </is>
      </c>
      <c r="B54" s="10" t="inlineStr">
        <is>
          <t>$mm</t>
        </is>
      </c>
      <c r="C54" s="10" t="inlineStr"/>
      <c r="E54" s="19">
        <f>E51-$D$44</f>
        <v/>
      </c>
      <c r="F54" s="19">
        <f>F51-$D$44</f>
        <v/>
      </c>
      <c r="G54" s="19">
        <f>G51-$D$44</f>
        <v/>
      </c>
      <c r="H54" s="19">
        <f>H51-$D$44</f>
        <v/>
      </c>
      <c r="I54" s="19">
        <f>I51-$D$44</f>
        <v/>
      </c>
      <c r="J54" s="19">
        <f>J51-$D$44</f>
        <v/>
      </c>
      <c r="K54" s="19">
        <f>K51-$D$44</f>
        <v/>
      </c>
      <c r="L54" s="19">
        <f>L51-$D$44</f>
        <v/>
      </c>
      <c r="M54" s="19">
        <f>M51-$D$44</f>
        <v/>
      </c>
      <c r="N54" s="19">
        <f>N51-$D$44</f>
        <v/>
      </c>
    </row>
    <row r="55">
      <c r="A55" s="9" t="inlineStr">
        <is>
          <t>Taxes</t>
        </is>
      </c>
      <c r="B55" s="10" t="inlineStr">
        <is>
          <t>$mm</t>
        </is>
      </c>
      <c r="C55" s="10" t="inlineStr"/>
      <c r="E55" s="19">
        <f>MAX(0,E54)*$D$38</f>
        <v/>
      </c>
      <c r="F55" s="19">
        <f>MAX(0,F54)*$D$38</f>
        <v/>
      </c>
      <c r="G55" s="19">
        <f>MAX(0,G54)*$D$38</f>
        <v/>
      </c>
      <c r="H55" s="19">
        <f>MAX(0,H54)*$D$38</f>
        <v/>
      </c>
      <c r="I55" s="19">
        <f>MAX(0,I54)*$D$38</f>
        <v/>
      </c>
      <c r="J55" s="19">
        <f>MAX(0,J54)*$D$38</f>
        <v/>
      </c>
      <c r="K55" s="19">
        <f>MAX(0,K54)*$D$38</f>
        <v/>
      </c>
      <c r="L55" s="19">
        <f>MAX(0,L54)*$D$38</f>
        <v/>
      </c>
      <c r="M55" s="19">
        <f>MAX(0,M54)*$D$38</f>
        <v/>
      </c>
      <c r="N55" s="19">
        <f>MAX(0,N54)*$D$38</f>
        <v/>
      </c>
    </row>
    <row r="56">
      <c r="A56" s="9" t="inlineStr">
        <is>
          <t>CFADS</t>
        </is>
      </c>
      <c r="B56" s="10" t="inlineStr">
        <is>
          <t>$mm</t>
        </is>
      </c>
      <c r="C56" s="10" t="inlineStr"/>
      <c r="E56" s="11">
        <f>E51-E55</f>
        <v/>
      </c>
      <c r="F56" s="11">
        <f>F51-F55</f>
        <v/>
      </c>
      <c r="G56" s="11">
        <f>G51-G55</f>
        <v/>
      </c>
      <c r="H56" s="11">
        <f>H51-H55</f>
        <v/>
      </c>
      <c r="I56" s="11">
        <f>I51-I55</f>
        <v/>
      </c>
      <c r="J56" s="11">
        <f>J51-J55</f>
        <v/>
      </c>
      <c r="K56" s="11">
        <f>K51-K55</f>
        <v/>
      </c>
      <c r="L56" s="11">
        <f>L51-L55</f>
        <v/>
      </c>
      <c r="M56" s="11">
        <f>M51-M55</f>
        <v/>
      </c>
      <c r="N56" s="11">
        <f>N51-N55</f>
        <v/>
      </c>
    </row>
    <row r="58">
      <c r="A58" s="7" t="inlineStr">
        <is>
          <t>DEBT SCHEDULE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9" t="inlineStr">
        <is>
          <t>Beginning Balance</t>
        </is>
      </c>
      <c r="B59" s="10" t="inlineStr">
        <is>
          <t>$mm</t>
        </is>
      </c>
      <c r="C59" s="10" t="inlineStr"/>
      <c r="E59" s="19">
        <f>$D$43</f>
        <v/>
      </c>
      <c r="F59" s="20">
        <f>E66</f>
        <v/>
      </c>
      <c r="G59" s="20">
        <f>F66</f>
        <v/>
      </c>
      <c r="H59" s="20">
        <f>G66</f>
        <v/>
      </c>
      <c r="I59" s="20">
        <f>H66</f>
        <v/>
      </c>
      <c r="J59" s="20">
        <f>I66</f>
        <v/>
      </c>
      <c r="K59" s="20">
        <f>J66</f>
        <v/>
      </c>
      <c r="L59" s="20">
        <f>K66</f>
        <v/>
      </c>
      <c r="M59" s="20">
        <f>L66</f>
        <v/>
      </c>
      <c r="N59" s="20">
        <f>M66</f>
        <v/>
      </c>
    </row>
    <row r="60">
      <c r="A60" s="9" t="inlineStr">
        <is>
          <t>Interest</t>
        </is>
      </c>
      <c r="B60" s="10" t="inlineStr">
        <is>
          <t>$mm</t>
        </is>
      </c>
      <c r="C60" s="10" t="inlineStr"/>
      <c r="E60" s="19">
        <f>E59*$D$31</f>
        <v/>
      </c>
      <c r="F60" s="19">
        <f>F59*$D$31</f>
        <v/>
      </c>
      <c r="G60" s="19">
        <f>G59*$D$31</f>
        <v/>
      </c>
      <c r="H60" s="19">
        <f>H59*$D$31</f>
        <v/>
      </c>
      <c r="I60" s="19">
        <f>I59*$D$31</f>
        <v/>
      </c>
      <c r="J60" s="19">
        <f>J59*$D$31</f>
        <v/>
      </c>
      <c r="K60" s="19">
        <f>K59*$D$31</f>
        <v/>
      </c>
      <c r="L60" s="19">
        <f>L59*$D$31</f>
        <v/>
      </c>
      <c r="M60" s="19">
        <f>M59*$D$31</f>
        <v/>
      </c>
      <c r="N60" s="19">
        <f>N59*$D$31</f>
        <v/>
      </c>
    </row>
    <row r="61">
      <c r="A61" s="9" t="inlineStr">
        <is>
          <t>Scheduled Principal</t>
        </is>
      </c>
      <c r="B61" s="10" t="inlineStr">
        <is>
          <t>$mm</t>
        </is>
      </c>
      <c r="C61" s="10" t="inlineStr"/>
      <c r="E61" s="19">
        <f>MIN($D$45,E59)</f>
        <v/>
      </c>
      <c r="F61" s="19">
        <f>MIN($D$45,F59)</f>
        <v/>
      </c>
      <c r="G61" s="19">
        <f>MIN($D$45,G59)</f>
        <v/>
      </c>
      <c r="H61" s="19">
        <f>MIN($D$45,H59)</f>
        <v/>
      </c>
      <c r="I61" s="19">
        <f>MIN($D$45,I59)</f>
        <v/>
      </c>
      <c r="J61" s="19">
        <f>MIN($D$45,J59)</f>
        <v/>
      </c>
      <c r="K61" s="19">
        <f>MIN($D$45,K59)</f>
        <v/>
      </c>
      <c r="L61" s="19">
        <f>MIN($D$45,L59)</f>
        <v/>
      </c>
      <c r="M61" s="19">
        <f>MIN($D$45,M59)</f>
        <v/>
      </c>
      <c r="N61" s="19">
        <f>MIN($D$45,N59)</f>
        <v/>
      </c>
    </row>
    <row r="62">
      <c r="A62" s="9" t="inlineStr">
        <is>
          <t>Debt Service (Pre-Sweep)</t>
        </is>
      </c>
      <c r="B62" s="10" t="inlineStr">
        <is>
          <t>$mm</t>
        </is>
      </c>
      <c r="C62" s="10" t="inlineStr"/>
      <c r="E62" s="19">
        <f>E60+E61</f>
        <v/>
      </c>
      <c r="F62" s="19">
        <f>F60+F61</f>
        <v/>
      </c>
      <c r="G62" s="19">
        <f>G60+G61</f>
        <v/>
      </c>
      <c r="H62" s="19">
        <f>H60+H61</f>
        <v/>
      </c>
      <c r="I62" s="19">
        <f>I60+I61</f>
        <v/>
      </c>
      <c r="J62" s="19">
        <f>J60+J61</f>
        <v/>
      </c>
      <c r="K62" s="19">
        <f>K60+K61</f>
        <v/>
      </c>
      <c r="L62" s="19">
        <f>L60+L61</f>
        <v/>
      </c>
      <c r="M62" s="19">
        <f>M60+M61</f>
        <v/>
      </c>
      <c r="N62" s="19">
        <f>N60+N61</f>
        <v/>
      </c>
    </row>
    <row r="63">
      <c r="A63" s="9" t="inlineStr">
        <is>
          <t>Excess Cash</t>
        </is>
      </c>
      <c r="B63" s="10" t="inlineStr">
        <is>
          <t>$mm</t>
        </is>
      </c>
      <c r="C63" s="10" t="inlineStr"/>
      <c r="E63" s="19">
        <f>MAX(0,E56-E62-E72)</f>
        <v/>
      </c>
      <c r="F63" s="19">
        <f>MAX(0,F56-F62-F72)</f>
        <v/>
      </c>
      <c r="G63" s="19">
        <f>MAX(0,G56-G62-G72)</f>
        <v/>
      </c>
      <c r="H63" s="19">
        <f>MAX(0,H56-H62-H72)</f>
        <v/>
      </c>
      <c r="I63" s="19">
        <f>MAX(0,I56-I62-I72)</f>
        <v/>
      </c>
      <c r="J63" s="19">
        <f>MAX(0,J56-J62-J72)</f>
        <v/>
      </c>
      <c r="K63" s="19">
        <f>MAX(0,K56-K62-K72)</f>
        <v/>
      </c>
      <c r="L63" s="19">
        <f>MAX(0,L56-L62-L72)</f>
        <v/>
      </c>
      <c r="M63" s="19">
        <f>MAX(0,M56-M62-M72)</f>
        <v/>
      </c>
      <c r="N63" s="19">
        <f>MAX(0,N56-N62-N72)</f>
        <v/>
      </c>
    </row>
    <row r="64">
      <c r="A64" s="9" t="inlineStr">
        <is>
          <t>Cash Sweep</t>
        </is>
      </c>
      <c r="B64" s="10" t="inlineStr">
        <is>
          <t>$mm</t>
        </is>
      </c>
      <c r="C64" s="10" t="inlineStr"/>
      <c r="E64" s="21">
        <f>MIN(MAX(0,E63)*$D$34,MAX(0,E59-E61))</f>
        <v/>
      </c>
      <c r="F64" s="21">
        <f>MIN(MAX(0,F63)*$D$34,MAX(0,F59-F61))</f>
        <v/>
      </c>
      <c r="G64" s="21">
        <f>MIN(MAX(0,G63)*$D$34,MAX(0,G59-G61))</f>
        <v/>
      </c>
      <c r="H64" s="21">
        <f>MIN(MAX(0,H63)*$D$34,MAX(0,H59-H61))</f>
        <v/>
      </c>
      <c r="I64" s="21">
        <f>MIN(MAX(0,I63)*$D$34,MAX(0,I59-I61))</f>
        <v/>
      </c>
      <c r="J64" s="21">
        <f>MIN(MAX(0,J63)*$D$34,MAX(0,J59-J61))</f>
        <v/>
      </c>
      <c r="K64" s="21">
        <f>MIN(MAX(0,K63)*$D$34,MAX(0,K59-K61))</f>
        <v/>
      </c>
      <c r="L64" s="21">
        <f>MIN(MAX(0,L63)*$D$34,MAX(0,L59-L61))</f>
        <v/>
      </c>
      <c r="M64" s="21">
        <f>MIN(MAX(0,M63)*$D$34,MAX(0,M59-M61))</f>
        <v/>
      </c>
      <c r="N64" s="21">
        <f>MIN(MAX(0,N63)*$D$34,MAX(0,N59-N61))</f>
        <v/>
      </c>
    </row>
    <row r="65">
      <c r="A65" s="9" t="inlineStr">
        <is>
          <t>Total Principal</t>
        </is>
      </c>
      <c r="B65" s="10" t="inlineStr">
        <is>
          <t>$mm</t>
        </is>
      </c>
      <c r="C65" s="10" t="inlineStr"/>
      <c r="E65" s="19">
        <f>E61+E64</f>
        <v/>
      </c>
      <c r="F65" s="19">
        <f>F61+F64</f>
        <v/>
      </c>
      <c r="G65" s="19">
        <f>G61+G64</f>
        <v/>
      </c>
      <c r="H65" s="19">
        <f>H61+H64</f>
        <v/>
      </c>
      <c r="I65" s="19">
        <f>I61+I64</f>
        <v/>
      </c>
      <c r="J65" s="19">
        <f>J61+J64</f>
        <v/>
      </c>
      <c r="K65" s="19">
        <f>K61+K64</f>
        <v/>
      </c>
      <c r="L65" s="19">
        <f>L61+L64</f>
        <v/>
      </c>
      <c r="M65" s="19">
        <f>M61+M64</f>
        <v/>
      </c>
      <c r="N65" s="19">
        <f>N61+N64</f>
        <v/>
      </c>
    </row>
    <row r="66">
      <c r="A66" s="9" t="inlineStr">
        <is>
          <t>Ending Balance</t>
        </is>
      </c>
      <c r="B66" s="10" t="inlineStr">
        <is>
          <t>$mm</t>
        </is>
      </c>
      <c r="C66" s="10" t="inlineStr"/>
      <c r="E66" s="19">
        <f>MAX(0,E59-E65)</f>
        <v/>
      </c>
      <c r="F66" s="19">
        <f>MAX(0,F59-F65)</f>
        <v/>
      </c>
      <c r="G66" s="19">
        <f>MAX(0,G59-G65)</f>
        <v/>
      </c>
      <c r="H66" s="19">
        <f>MAX(0,H59-H65)</f>
        <v/>
      </c>
      <c r="I66" s="19">
        <f>MAX(0,I59-I65)</f>
        <v/>
      </c>
      <c r="J66" s="19">
        <f>MAX(0,J59-J65)</f>
        <v/>
      </c>
      <c r="K66" s="19">
        <f>MAX(0,K59-K65)</f>
        <v/>
      </c>
      <c r="L66" s="19">
        <f>MAX(0,L59-L65)</f>
        <v/>
      </c>
      <c r="M66" s="19">
        <f>MAX(0,M59-M65)</f>
        <v/>
      </c>
      <c r="N66" s="19">
        <f>MAX(0,N59-N65)</f>
        <v/>
      </c>
    </row>
    <row r="67">
      <c r="A67" s="9" t="inlineStr">
        <is>
          <t>DSCR</t>
        </is>
      </c>
      <c r="B67" s="10" t="inlineStr">
        <is>
          <t>x</t>
        </is>
      </c>
      <c r="C67" s="10" t="inlineStr"/>
      <c r="E67" s="25">
        <f>IF(E62&gt;0,E56/E62,0)</f>
        <v/>
      </c>
      <c r="F67" s="25">
        <f>IF(F62&gt;0,F56/F62,0)</f>
        <v/>
      </c>
      <c r="G67" s="25">
        <f>IF(G62&gt;0,G56/G62,0)</f>
        <v/>
      </c>
      <c r="H67" s="25">
        <f>IF(H62&gt;0,H56/H62,0)</f>
        <v/>
      </c>
      <c r="I67" s="25">
        <f>IF(I62&gt;0,I56/I62,0)</f>
        <v/>
      </c>
      <c r="J67" s="25">
        <f>IF(J62&gt;0,J56/J62,0)</f>
        <v/>
      </c>
      <c r="K67" s="25">
        <f>IF(K62&gt;0,K56/K62,0)</f>
        <v/>
      </c>
      <c r="L67" s="25">
        <f>IF(L62&gt;0,L56/L62,0)</f>
        <v/>
      </c>
      <c r="M67" s="25">
        <f>IF(M62&gt;0,M56/M62,0)</f>
        <v/>
      </c>
      <c r="N67" s="25">
        <f>IF(N62&gt;0,N56/N62,0)</f>
        <v/>
      </c>
    </row>
    <row r="69">
      <c r="A69" s="7" t="inlineStr">
        <is>
          <t>DSRA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9" t="inlineStr">
        <is>
          <t>DSRA Target</t>
        </is>
      </c>
      <c r="B70" s="10" t="inlineStr">
        <is>
          <t>$mm</t>
        </is>
      </c>
      <c r="C70" s="10" t="inlineStr"/>
      <c r="D70" s="19">
        <f>E62*$D$33/12</f>
        <v/>
      </c>
      <c r="E70" s="19">
        <f>F62*$D$33/12</f>
        <v/>
      </c>
      <c r="F70" s="19">
        <f>G62*$D$33/12</f>
        <v/>
      </c>
      <c r="G70" s="19">
        <f>H62*$D$33/12</f>
        <v/>
      </c>
      <c r="H70" s="19">
        <f>I62*$D$33/12</f>
        <v/>
      </c>
      <c r="I70" s="19">
        <f>J62*$D$33/12</f>
        <v/>
      </c>
      <c r="J70" s="19">
        <f>K62*$D$33/12</f>
        <v/>
      </c>
      <c r="K70" s="19">
        <f>L62*$D$33/12</f>
        <v/>
      </c>
      <c r="L70" s="19">
        <f>M62*$D$33/12</f>
        <v/>
      </c>
      <c r="M70" s="19">
        <f>N62*$D$33/12</f>
        <v/>
      </c>
      <c r="N70" s="19">
        <f>0</f>
        <v/>
      </c>
    </row>
    <row r="71">
      <c r="A71" s="9" t="inlineStr">
        <is>
          <t>DSRA Beginning</t>
        </is>
      </c>
      <c r="B71" s="10" t="inlineStr">
        <is>
          <t>$mm</t>
        </is>
      </c>
      <c r="C71" s="10" t="inlineStr"/>
      <c r="D71" s="19">
        <f>0</f>
        <v/>
      </c>
      <c r="E71" s="20">
        <f>D73</f>
        <v/>
      </c>
      <c r="F71" s="20">
        <f>E73</f>
        <v/>
      </c>
      <c r="G71" s="20">
        <f>F73</f>
        <v/>
      </c>
      <c r="H71" s="20">
        <f>G73</f>
        <v/>
      </c>
      <c r="I71" s="20">
        <f>H73</f>
        <v/>
      </c>
      <c r="J71" s="20">
        <f>I73</f>
        <v/>
      </c>
      <c r="K71" s="20">
        <f>J73</f>
        <v/>
      </c>
      <c r="L71" s="20">
        <f>K73</f>
        <v/>
      </c>
      <c r="M71" s="20">
        <f>L73</f>
        <v/>
      </c>
      <c r="N71" s="20">
        <f>M73</f>
        <v/>
      </c>
    </row>
    <row r="72">
      <c r="A72" s="9" t="inlineStr">
        <is>
          <t>DSRA Funding/(Release)</t>
        </is>
      </c>
      <c r="B72" s="10" t="inlineStr">
        <is>
          <t>$mm</t>
        </is>
      </c>
      <c r="C72" s="10" t="inlineStr"/>
      <c r="D72" s="19">
        <f>D70-D71</f>
        <v/>
      </c>
      <c r="E72" s="19">
        <f>E70-E71</f>
        <v/>
      </c>
      <c r="F72" s="19">
        <f>F70-F71</f>
        <v/>
      </c>
      <c r="G72" s="19">
        <f>G70-G71</f>
        <v/>
      </c>
      <c r="H72" s="19">
        <f>H70-H71</f>
        <v/>
      </c>
      <c r="I72" s="19">
        <f>I70-I71</f>
        <v/>
      </c>
      <c r="J72" s="19">
        <f>J70-J71</f>
        <v/>
      </c>
      <c r="K72" s="19">
        <f>K70-K71</f>
        <v/>
      </c>
      <c r="L72" s="19">
        <f>L70-L71</f>
        <v/>
      </c>
      <c r="M72" s="19">
        <f>M70-M71</f>
        <v/>
      </c>
      <c r="N72" s="19">
        <f>N70-N71</f>
        <v/>
      </c>
    </row>
    <row r="73">
      <c r="A73" s="9" t="inlineStr">
        <is>
          <t>DSRA Ending</t>
        </is>
      </c>
      <c r="B73" s="10" t="inlineStr">
        <is>
          <t>$mm</t>
        </is>
      </c>
      <c r="C73" s="10" t="inlineStr"/>
      <c r="D73" s="19">
        <f>D71+D72</f>
        <v/>
      </c>
      <c r="E73" s="19">
        <f>E71+E72</f>
        <v/>
      </c>
      <c r="F73" s="19">
        <f>F71+F72</f>
        <v/>
      </c>
      <c r="G73" s="19">
        <f>G71+G72</f>
        <v/>
      </c>
      <c r="H73" s="19">
        <f>H71+H72</f>
        <v/>
      </c>
      <c r="I73" s="19">
        <f>I71+I72</f>
        <v/>
      </c>
      <c r="J73" s="19">
        <f>J71+J72</f>
        <v/>
      </c>
      <c r="K73" s="19">
        <f>K71+K72</f>
        <v/>
      </c>
      <c r="L73" s="19">
        <f>L71+L72</f>
        <v/>
      </c>
      <c r="M73" s="19">
        <f>M71+M72</f>
        <v/>
      </c>
      <c r="N73" s="19">
        <f>N71+N72</f>
        <v/>
      </c>
    </row>
    <row r="75">
      <c r="A75" s="7" t="inlineStr">
        <is>
          <t>DISTRIBUTION WATERFALL</t>
        </is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9" t="inlineStr">
        <is>
          <t>Cash Available</t>
        </is>
      </c>
      <c r="B76" s="10" t="inlineStr">
        <is>
          <t>$mm</t>
        </is>
      </c>
      <c r="C76" s="10" t="inlineStr"/>
      <c r="E76" s="19">
        <f>E56-(E60+E65)-E72</f>
        <v/>
      </c>
      <c r="F76" s="19">
        <f>F56-(F60+F65)-F72</f>
        <v/>
      </c>
      <c r="G76" s="19">
        <f>G56-(G60+G65)-G72</f>
        <v/>
      </c>
      <c r="H76" s="19">
        <f>H56-(H60+H65)-H72</f>
        <v/>
      </c>
      <c r="I76" s="19">
        <f>I56-(I60+I65)-I72</f>
        <v/>
      </c>
      <c r="J76" s="19">
        <f>J56-(J60+J65)-J72</f>
        <v/>
      </c>
      <c r="K76" s="19">
        <f>K56-(K60+K65)-K72</f>
        <v/>
      </c>
      <c r="L76" s="19">
        <f>L56-(L60+L65)-L72</f>
        <v/>
      </c>
      <c r="M76" s="19">
        <f>M56-(M60+M65)-M72</f>
        <v/>
      </c>
      <c r="N76" s="19">
        <f>N56-(N60+N65)-N72</f>
        <v/>
      </c>
    </row>
    <row r="77">
      <c r="A77" s="9" t="inlineStr">
        <is>
          <t>Lock-up Test</t>
        </is>
      </c>
      <c r="B77" s="10" t="inlineStr"/>
      <c r="C77" s="10" t="inlineStr"/>
      <c r="E77" s="20">
        <f>IF(E67&gt;=$D$35,"PASS","LOCKED")</f>
        <v/>
      </c>
      <c r="F77" s="20">
        <f>IF(F67&gt;=$D$35,"PASS","LOCKED")</f>
        <v/>
      </c>
      <c r="G77" s="20">
        <f>IF(G67&gt;=$D$35,"PASS","LOCKED")</f>
        <v/>
      </c>
      <c r="H77" s="20">
        <f>IF(H67&gt;=$D$35,"PASS","LOCKED")</f>
        <v/>
      </c>
      <c r="I77" s="20">
        <f>IF(I67&gt;=$D$35,"PASS","LOCKED")</f>
        <v/>
      </c>
      <c r="J77" s="20">
        <f>IF(J67&gt;=$D$35,"PASS","LOCKED")</f>
        <v/>
      </c>
      <c r="K77" s="20">
        <f>IF(K67&gt;=$D$35,"PASS","LOCKED")</f>
        <v/>
      </c>
      <c r="L77" s="20">
        <f>IF(L67&gt;=$D$35,"PASS","LOCKED")</f>
        <v/>
      </c>
      <c r="M77" s="20">
        <f>IF(M67&gt;=$D$35,"PASS","LOCKED")</f>
        <v/>
      </c>
      <c r="N77" s="20">
        <f>IF(N67&gt;=$D$35,"PASS","LOCKED")</f>
        <v/>
      </c>
    </row>
    <row r="78">
      <c r="A78" s="9" t="inlineStr">
        <is>
          <t>Distributable Cash</t>
        </is>
      </c>
      <c r="B78" s="10" t="inlineStr">
        <is>
          <t>$mm</t>
        </is>
      </c>
      <c r="C78" s="10" t="inlineStr"/>
      <c r="E78" s="11">
        <f>IF(E77="PASS",MAX(0,E76),0)</f>
        <v/>
      </c>
      <c r="F78" s="11">
        <f>IF(F77="PASS",MAX(0,F76),0)</f>
        <v/>
      </c>
      <c r="G78" s="11">
        <f>IF(G77="PASS",MAX(0,G76),0)</f>
        <v/>
      </c>
      <c r="H78" s="11">
        <f>IF(H77="PASS",MAX(0,H76),0)</f>
        <v/>
      </c>
      <c r="I78" s="11">
        <f>IF(I77="PASS",MAX(0,I76),0)</f>
        <v/>
      </c>
      <c r="J78" s="11">
        <f>IF(J77="PASS",MAX(0,J76),0)</f>
        <v/>
      </c>
      <c r="K78" s="11">
        <f>IF(K77="PASS",MAX(0,K76),0)</f>
        <v/>
      </c>
      <c r="L78" s="11">
        <f>IF(L77="PASS",MAX(0,L76),0)</f>
        <v/>
      </c>
      <c r="M78" s="11">
        <f>IF(M77="PASS",MAX(0,M76),0)</f>
        <v/>
      </c>
      <c r="N78" s="11">
        <f>IF(N77="PASS",MAX(0,N76),0)</f>
        <v/>
      </c>
    </row>
    <row r="80">
      <c r="A80" s="7" t="inlineStr">
        <is>
          <t>SOURCES &amp; USES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9" t="inlineStr">
        <is>
          <t>Purchase Price</t>
        </is>
      </c>
      <c r="B81" s="10" t="inlineStr">
        <is>
          <t>$mm</t>
        </is>
      </c>
      <c r="C81" s="10" t="inlineStr"/>
      <c r="D81" s="19">
        <f>$D$13</f>
        <v/>
      </c>
    </row>
    <row r="82">
      <c r="A82" s="9" t="inlineStr">
        <is>
          <t>Transaction Fees</t>
        </is>
      </c>
      <c r="B82" s="10" t="inlineStr">
        <is>
          <t>$mm</t>
        </is>
      </c>
      <c r="C82" s="10" t="inlineStr"/>
      <c r="D82" s="19">
        <f>$D$13*$D$14</f>
        <v/>
      </c>
    </row>
    <row r="83">
      <c r="A83" s="9" t="inlineStr">
        <is>
          <t>DSRA Funding</t>
        </is>
      </c>
      <c r="B83" s="10" t="inlineStr">
        <is>
          <t>$mm</t>
        </is>
      </c>
      <c r="C83" s="10" t="inlineStr"/>
      <c r="D83" s="19">
        <f>D70</f>
        <v/>
      </c>
    </row>
    <row r="84">
      <c r="A84" s="9" t="inlineStr">
        <is>
          <t>Total Uses</t>
        </is>
      </c>
      <c r="B84" s="10" t="inlineStr">
        <is>
          <t>$mm</t>
        </is>
      </c>
      <c r="C84" s="10" t="inlineStr"/>
      <c r="D84" s="11">
        <f>D81+D82+D83</f>
        <v/>
      </c>
    </row>
    <row r="86">
      <c r="A86" s="9" t="inlineStr">
        <is>
          <t>Debt</t>
        </is>
      </c>
      <c r="B86" s="10" t="inlineStr">
        <is>
          <t>$mm</t>
        </is>
      </c>
      <c r="C86" s="10" t="inlineStr"/>
      <c r="D86" s="19">
        <f>$D$43</f>
        <v/>
      </c>
    </row>
    <row r="87">
      <c r="A87" s="9" t="inlineStr">
        <is>
          <t>Equity</t>
        </is>
      </c>
      <c r="B87" s="10" t="inlineStr">
        <is>
          <t>$mm</t>
        </is>
      </c>
      <c r="C87" s="10" t="inlineStr"/>
      <c r="D87" s="19">
        <f>D84-D86</f>
        <v/>
      </c>
    </row>
    <row r="88">
      <c r="A88" s="9" t="inlineStr">
        <is>
          <t>Total Sources</t>
        </is>
      </c>
      <c r="B88" s="10" t="inlineStr">
        <is>
          <t>$mm</t>
        </is>
      </c>
      <c r="C88" s="10" t="inlineStr"/>
      <c r="D88" s="11">
        <f>D86+D87</f>
        <v/>
      </c>
    </row>
    <row r="89">
      <c r="A89" s="9" t="inlineStr">
        <is>
          <t>Balance Check</t>
        </is>
      </c>
      <c r="B89" s="10" t="inlineStr"/>
      <c r="C89" s="10" t="inlineStr"/>
      <c r="D89" s="14">
        <f>IF(ABS(D84-D88)&lt;0.01,"PASS","FAIL")</f>
        <v/>
      </c>
    </row>
    <row r="91">
      <c r="A91" s="7" t="inlineStr">
        <is>
          <t>EXIT &amp; RETURNS</t>
        </is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9" t="inlineStr">
        <is>
          <t>Exit EV</t>
        </is>
      </c>
      <c r="B92" s="10" t="inlineStr">
        <is>
          <t>$mm</t>
        </is>
      </c>
      <c r="C92" s="10" t="inlineStr"/>
      <c r="K92" s="19">
        <f>$D$15*K51</f>
        <v/>
      </c>
    </row>
    <row r="93">
      <c r="A93" s="9" t="inlineStr">
        <is>
          <t>Exit Debt Payoff</t>
        </is>
      </c>
      <c r="B93" s="10" t="inlineStr">
        <is>
          <t>$mm</t>
        </is>
      </c>
      <c r="C93" s="10" t="inlineStr"/>
      <c r="K93" s="19">
        <f>K66</f>
        <v/>
      </c>
    </row>
    <row r="94">
      <c r="A94" s="9" t="inlineStr">
        <is>
          <t>DSRA Release</t>
        </is>
      </c>
      <c r="B94" s="10" t="inlineStr">
        <is>
          <t>$mm</t>
        </is>
      </c>
      <c r="C94" s="10" t="inlineStr"/>
      <c r="K94" s="19">
        <f>K73</f>
        <v/>
      </c>
    </row>
    <row r="95">
      <c r="A95" s="9" t="inlineStr">
        <is>
          <t>Exit Equity Proceeds</t>
        </is>
      </c>
      <c r="B95" s="10" t="inlineStr">
        <is>
          <t>$mm</t>
        </is>
      </c>
      <c r="C95" s="10" t="inlineStr"/>
      <c r="K95" s="11">
        <f>K92-K93+K94</f>
        <v/>
      </c>
    </row>
    <row r="97">
      <c r="A97" s="9" t="inlineStr">
        <is>
          <t>Equity Cash Flow</t>
        </is>
      </c>
      <c r="B97" s="10" t="inlineStr">
        <is>
          <t>$mm</t>
        </is>
      </c>
      <c r="C97" s="10" t="inlineStr"/>
      <c r="D97" s="19">
        <f>-D87</f>
        <v/>
      </c>
      <c r="E97" s="19">
        <f>E78</f>
        <v/>
      </c>
      <c r="F97" s="19">
        <f>F78</f>
        <v/>
      </c>
      <c r="G97" s="19">
        <f>G78</f>
        <v/>
      </c>
      <c r="H97" s="19">
        <f>H78</f>
        <v/>
      </c>
      <c r="I97" s="19">
        <f>I78</f>
        <v/>
      </c>
      <c r="J97" s="19">
        <f>J78</f>
        <v/>
      </c>
      <c r="K97" s="19">
        <f>K78+K95</f>
        <v/>
      </c>
      <c r="L97" s="19">
        <f>0</f>
        <v/>
      </c>
      <c r="M97" s="19">
        <f>0</f>
        <v/>
      </c>
      <c r="N97" s="19">
        <f>0</f>
        <v/>
      </c>
    </row>
    <row r="98">
      <c r="A98" s="9" t="inlineStr">
        <is>
          <t>Levered IRR</t>
        </is>
      </c>
      <c r="B98" s="10" t="inlineStr">
        <is>
          <t>%</t>
        </is>
      </c>
      <c r="C98" s="10" t="inlineStr"/>
      <c r="D98" s="26">
        <f>IRR(D97:K97)</f>
        <v/>
      </c>
    </row>
    <row r="99">
      <c r="A99" s="9" t="inlineStr">
        <is>
          <t>MOIC</t>
        </is>
      </c>
      <c r="B99" s="10" t="inlineStr">
        <is>
          <t>x</t>
        </is>
      </c>
      <c r="C99" s="10" t="inlineStr"/>
      <c r="D99" s="25">
        <f>SUMIF(D97:K97,"&gt;0")/ABS(D97)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2026-01-19T23:30:17Z</dcterms:created>
  <dcterms:modified xmlns:dcterms="http://purl.org/dc/terms/" xmlns:xsi="http://www.w3.org/2001/XMLSchema-instance" xsi:type="dcterms:W3CDTF">2026-01-20T04:31:12Z</dcterms:modified>
</cp:coreProperties>
</file>