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21">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
    <font>
      <b val="1"/>
      <i val="1"/>
      <color rgb="00666666"/>
    </font>
    <font>
      <b val="1"/>
      <sz val="9"/>
    </font>
    <font>
      <color rgb="00666666"/>
      <sz val="9"/>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7" fillId="0" borderId="0" pivotButton="0" quotePrefix="0" xfId="0"/>
    <xf numFmtId="0" fontId="18" fillId="0" borderId="0" pivotButton="0" quotePrefix="0" xfId="0"/>
    <xf numFmtId="164" fontId="17" fillId="0" borderId="1" pivotButton="0" quotePrefix="0" xfId="0"/>
    <xf numFmtId="165" fontId="17" fillId="0" borderId="1" pivotButton="0" quotePrefix="0" xfId="0"/>
    <xf numFmtId="166" fontId="17" fillId="0" borderId="1" pivotButton="0" quotePrefix="0" xfId="0"/>
    <xf numFmtId="0" fontId="10"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9" fillId="0" borderId="0" pivotButton="0" quotePrefix="0" xfId="0"/>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38" authorId="0" shapeId="0">
      <text>
        <t>Return to equity after debt service. Should exceed cost of equity (12-15% for infra).</t>
      </text>
    </comment>
    <comment ref="C139" authorId="0" shapeId="0">
      <text>
        <t>Multiple on Invested Capital. Cash-on-cash return. 2.0x = doubled money.</t>
      </text>
    </comment>
    <comment ref="C143"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44" authorId="0" shapeId="0">
      <text>
        <t>Return to equity after debt service. Should exceed cost of equity (12-15% for infra).</t>
      </text>
    </comment>
    <comment ref="C145" authorId="0" shapeId="0">
      <text>
        <t>Multiple on Invested Capital. Cash-on-cash return. 2.0x = doubled money.</t>
      </text>
    </comment>
    <comment ref="C149"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M3" s="54" t="inlineStr">
        <is>
          <t>IRR Sensitivity:</t>
        </is>
      </c>
    </row>
    <row r="4">
      <c r="A4" s="5" t="inlineStr">
        <is>
          <t>Y1 EBITDA</t>
        </is>
      </c>
      <c r="B4" s="6" t="inlineStr">
        <is>
          <t>$mm</t>
        </is>
      </c>
      <c r="C4" s="6" t="inlineStr">
        <is>
          <t>Revenue minus OpEx</t>
        </is>
      </c>
      <c r="D4" s="7">
        <f>E87</f>
        <v/>
      </c>
      <c r="M4" s="55" t="inlineStr">
        <is>
          <t>+/- 5% Entry → ~+/- 1% IRR</t>
        </is>
      </c>
    </row>
    <row r="5">
      <c r="A5" s="35" t="inlineStr">
        <is>
          <t>═══════════ CONTROL PANEL ═══════════</t>
        </is>
      </c>
      <c r="B5" s="46" t="n"/>
      <c r="C5" s="46" t="n"/>
      <c r="D5" s="46" t="n"/>
      <c r="M5" s="55" t="inlineStr">
        <is>
          <t>+/- 0.5x Exit → ~+/- 1.5% IRR</t>
        </is>
      </c>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IF(K103&lt;1,"PASS","FAIL")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7">
      <c r="A77" s="5" t="inlineStr">
        <is>
          <t>Energy Revenue</t>
        </is>
      </c>
      <c r="B77" s="6" t="inlineStr">
        <is>
          <t>$mm</t>
        </is>
      </c>
      <c r="C77" s="6" t="inlineStr">
        <is>
          <t>Generation × Power Price / 1M</t>
        </is>
      </c>
      <c r="E77" s="18">
        <f>$D$67*E73/1000000</f>
        <v/>
      </c>
      <c r="F77" s="18">
        <f>$D$67*F73/1000000</f>
        <v/>
      </c>
      <c r="G77" s="18">
        <f>$D$67*G73/1000000</f>
        <v/>
      </c>
      <c r="H77" s="18">
        <f>$D$67*H73/1000000</f>
        <v/>
      </c>
      <c r="I77" s="18">
        <f>$D$67*I73/1000000</f>
        <v/>
      </c>
      <c r="J77" s="18">
        <f>$D$67*J73/1000000</f>
        <v/>
      </c>
      <c r="K77" s="18">
        <f>$D$67*K73/1000000</f>
        <v/>
      </c>
      <c r="L77" s="18">
        <f>$D$67*L73/1000000</f>
        <v/>
      </c>
      <c r="M77" s="18">
        <f>$D$67*M73/1000000</f>
        <v/>
      </c>
      <c r="N77" s="18">
        <f>$D$67*N73/1000000</f>
        <v/>
      </c>
    </row>
    <row r="78">
      <c r="A78" s="5" t="inlineStr">
        <is>
          <t>Capacity Revenue</t>
        </is>
      </c>
      <c r="B78" s="6" t="inlineStr">
        <is>
          <t>$mm</t>
        </is>
      </c>
      <c r="C78" s="6" t="inlineStr">
        <is>
          <t>UCAP × Cap Price × 1000 / 1M</t>
        </is>
      </c>
      <c r="E78" s="18">
        <f>$D$34*E74*1000/1000000</f>
        <v/>
      </c>
      <c r="F78" s="18">
        <f>$D$34*F74*1000/1000000</f>
        <v/>
      </c>
      <c r="G78" s="18">
        <f>$D$34*G74*1000/1000000</f>
        <v/>
      </c>
      <c r="H78" s="18">
        <f>$D$34*H74*1000/1000000</f>
        <v/>
      </c>
      <c r="I78" s="18">
        <f>$D$34*I74*1000/1000000</f>
        <v/>
      </c>
      <c r="J78" s="18">
        <f>$D$34*J74*1000/1000000</f>
        <v/>
      </c>
      <c r="K78" s="18">
        <f>$D$34*K74*1000/1000000</f>
        <v/>
      </c>
      <c r="L78" s="18">
        <f>$D$34*L74*1000/1000000</f>
        <v/>
      </c>
      <c r="M78" s="18">
        <f>$D$34*M74*1000/1000000</f>
        <v/>
      </c>
      <c r="N78" s="18">
        <f>$D$34*N74*1000/1000000</f>
        <v/>
      </c>
    </row>
    <row r="79">
      <c r="A79" s="5" t="inlineStr">
        <is>
          <t>Total Revenue</t>
        </is>
      </c>
      <c r="B79" s="6" t="inlineStr">
        <is>
          <t>$mm</t>
        </is>
      </c>
      <c r="C79" s="6" t="inlineStr"/>
      <c r="E79" s="20">
        <f>E77+E78</f>
        <v/>
      </c>
      <c r="F79" s="20">
        <f>F77+F78</f>
        <v/>
      </c>
      <c r="G79" s="20">
        <f>G77+G78</f>
        <v/>
      </c>
      <c r="H79" s="20">
        <f>H77+H78</f>
        <v/>
      </c>
      <c r="I79" s="20">
        <f>I77+I78</f>
        <v/>
      </c>
      <c r="J79" s="20">
        <f>J77+J78</f>
        <v/>
      </c>
      <c r="K79" s="20">
        <f>K77+K78</f>
        <v/>
      </c>
      <c r="L79" s="20">
        <f>L77+L78</f>
        <v/>
      </c>
      <c r="M79" s="20">
        <f>M77+M78</f>
        <v/>
      </c>
      <c r="N79" s="20">
        <f>N77+N78</f>
        <v/>
      </c>
    </row>
    <row r="81">
      <c r="A81" s="5" t="inlineStr">
        <is>
          <t>Fuel Cost</t>
        </is>
      </c>
      <c r="B81" s="6" t="inlineStr">
        <is>
          <t>$mm</t>
        </is>
      </c>
      <c r="C81" s="6" t="inlineStr">
        <is>
          <t>Gen × HR × Gas / 1B</t>
        </is>
      </c>
      <c r="E81" s="18">
        <f>$D$67*$D$35*E75/1000000000</f>
        <v/>
      </c>
      <c r="F81" s="18">
        <f>$D$67*$D$35*F75/1000000000</f>
        <v/>
      </c>
      <c r="G81" s="18">
        <f>$D$67*$D$35*G75/1000000000</f>
        <v/>
      </c>
      <c r="H81" s="18">
        <f>$D$67*$D$35*H75/1000000000</f>
        <v/>
      </c>
      <c r="I81" s="18">
        <f>$D$67*$D$35*I75/1000000000</f>
        <v/>
      </c>
      <c r="J81" s="18">
        <f>$D$67*$D$35*J75/1000000000</f>
        <v/>
      </c>
      <c r="K81" s="18">
        <f>$D$67*$D$35*K75/1000000000</f>
        <v/>
      </c>
      <c r="L81" s="18">
        <f>$D$67*$D$35*L75/1000000000</f>
        <v/>
      </c>
      <c r="M81" s="18">
        <f>$D$67*$D$35*M75/1000000000</f>
        <v/>
      </c>
      <c r="N81" s="18">
        <f>$D$67*$D$35*N75/1000000000</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t>
        </is>
      </c>
      <c r="E82" s="53">
        <f>E73-($D$35/1000)*E75</f>
        <v/>
      </c>
      <c r="F82" s="53">
        <f>F73-($D$35/1000)*F75</f>
        <v/>
      </c>
      <c r="G82" s="53">
        <f>G73-($D$35/1000)*G75</f>
        <v/>
      </c>
      <c r="H82" s="53">
        <f>H73-($D$35/1000)*H75</f>
        <v/>
      </c>
      <c r="I82" s="53">
        <f>I73-($D$35/1000)*I75</f>
        <v/>
      </c>
      <c r="J82" s="53">
        <f>J73-($D$35/1000)*J75</f>
        <v/>
      </c>
      <c r="K82" s="53">
        <f>K73-($D$35/1000)*K75</f>
        <v/>
      </c>
      <c r="L82" s="53">
        <f>L73-($D$35/1000)*L75</f>
        <v/>
      </c>
      <c r="M82" s="53">
        <f>M73-($D$35/1000)*M75</f>
        <v/>
      </c>
      <c r="N82" s="53">
        <f>N73-($D$35/1000)*N75</f>
        <v/>
      </c>
    </row>
    <row r="83">
      <c r="A83" s="5" t="inlineStr">
        <is>
          <t>VOM</t>
        </is>
      </c>
      <c r="B83" s="6" t="inlineStr">
        <is>
          <t>$mm</t>
        </is>
      </c>
      <c r="C83" s="6" t="inlineStr">
        <is>
          <t>Generation × VOM rate / 1M</t>
        </is>
      </c>
      <c r="E83" s="18">
        <f>$D$67*$D$47/1000000</f>
        <v/>
      </c>
      <c r="F83" s="18">
        <f>$D$67*$D$47/1000000</f>
        <v/>
      </c>
      <c r="G83" s="18">
        <f>$D$67*$D$47/1000000</f>
        <v/>
      </c>
      <c r="H83" s="18">
        <f>$D$67*$D$47/1000000</f>
        <v/>
      </c>
      <c r="I83" s="18">
        <f>$D$67*$D$47/1000000</f>
        <v/>
      </c>
      <c r="J83" s="18">
        <f>$D$67*$D$47/1000000</f>
        <v/>
      </c>
      <c r="K83" s="18">
        <f>$D$67*$D$47/1000000</f>
        <v/>
      </c>
      <c r="L83" s="18">
        <f>$D$67*$D$47/1000000</f>
        <v/>
      </c>
      <c r="M83" s="18">
        <f>$D$67*$D$47/1000000</f>
        <v/>
      </c>
      <c r="N83" s="18">
        <f>$D$67*$D$47/1000000</f>
        <v/>
      </c>
    </row>
    <row r="84">
      <c r="A84" s="5" t="inlineStr">
        <is>
          <t>FOM</t>
        </is>
      </c>
      <c r="B84" s="6" t="inlineStr">
        <is>
          <t>$mm</t>
        </is>
      </c>
      <c r="C84" s="6" t="inlineStr">
        <is>
          <t>Capacity × FOM × esc × 1000 / 1M</t>
        </is>
      </c>
      <c r="E84" s="18">
        <f>$D$34*$D$48*1000/1000000</f>
        <v/>
      </c>
      <c r="F84" s="18">
        <f>$D$34*$D$48*1000/1000000</f>
        <v/>
      </c>
      <c r="G84" s="18">
        <f>$D$34*$D$48*1000/1000000</f>
        <v/>
      </c>
      <c r="H84" s="18">
        <f>$D$34*$D$48*1000/1000000</f>
        <v/>
      </c>
      <c r="I84" s="18">
        <f>$D$34*$D$48*1000/1000000</f>
        <v/>
      </c>
      <c r="J84" s="18">
        <f>$D$34*$D$48*1000/1000000</f>
        <v/>
      </c>
      <c r="K84" s="18">
        <f>$D$34*$D$48*1000/1000000</f>
        <v/>
      </c>
      <c r="L84" s="18">
        <f>$D$34*$D$48*1000/1000000</f>
        <v/>
      </c>
      <c r="M84" s="18">
        <f>$D$34*$D$48*1000/1000000</f>
        <v/>
      </c>
      <c r="N84" s="18">
        <f>$D$34*$D$48*1000/1000000</f>
        <v/>
      </c>
    </row>
    <row r="85">
      <c r="A85" s="5" t="inlineStr">
        <is>
          <t>Total Operating Costs</t>
        </is>
      </c>
      <c r="B85" s="6" t="inlineStr">
        <is>
          <t>$mm</t>
        </is>
      </c>
      <c r="C85" s="6" t="inlineStr"/>
      <c r="E85" s="18">
        <f>E81+E83+E84</f>
        <v/>
      </c>
      <c r="F85" s="18">
        <f>F81+F83+F84</f>
        <v/>
      </c>
      <c r="G85" s="18">
        <f>G81+G83+G84</f>
        <v/>
      </c>
      <c r="H85" s="18">
        <f>H81+H83+H84</f>
        <v/>
      </c>
      <c r="I85" s="18">
        <f>I81+I83+I84</f>
        <v/>
      </c>
      <c r="J85" s="18">
        <f>J81+J83+J84</f>
        <v/>
      </c>
      <c r="K85" s="18">
        <f>K81+K83+K84</f>
        <v/>
      </c>
      <c r="L85" s="18">
        <f>L81+L83+L84</f>
        <v/>
      </c>
      <c r="M85" s="18">
        <f>M81+M83+M84</f>
        <v/>
      </c>
      <c r="N85" s="18">
        <f>N81+N83+N84</f>
        <v/>
      </c>
    </row>
    <row r="87">
      <c r="A87" s="5" t="inlineStr">
        <is>
          <t>EBITDA</t>
        </is>
      </c>
      <c r="B87" s="6" t="inlineStr">
        <is>
          <t>$mm</t>
        </is>
      </c>
      <c r="C87" s="6" t="inlineStr">
        <is>
          <t>Revenue minus OpEx</t>
        </is>
      </c>
      <c r="E87" s="7">
        <f>E79-E85</f>
        <v/>
      </c>
      <c r="F87" s="7">
        <f>F79-F85</f>
        <v/>
      </c>
      <c r="G87" s="7">
        <f>G79-G85</f>
        <v/>
      </c>
      <c r="H87" s="7">
        <f>H79-H85</f>
        <v/>
      </c>
      <c r="I87" s="7">
        <f>I79-I85</f>
        <v/>
      </c>
      <c r="J87" s="7">
        <f>J79-J85</f>
        <v/>
      </c>
      <c r="K87" s="7">
        <f>K79-K85</f>
        <v/>
      </c>
      <c r="L87" s="7">
        <f>L79-L85</f>
        <v/>
      </c>
      <c r="M87" s="7">
        <f>M79-M85</f>
        <v/>
      </c>
      <c r="N87" s="7">
        <f>N79-N85</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f>MAX(0,E90)*$D$61</f>
        <v/>
      </c>
      <c r="F91" s="18">
        <f>MAX(0,F90)*$D$61</f>
        <v/>
      </c>
      <c r="G91" s="18">
        <f>MAX(0,G90)*$D$61</f>
        <v/>
      </c>
      <c r="H91" s="18">
        <f>MAX(0,H90)*$D$61</f>
        <v/>
      </c>
      <c r="I91" s="18">
        <f>MAX(0,I90)*$D$61</f>
        <v/>
      </c>
      <c r="J91" s="18">
        <f>MAX(0,J90)*$D$61</f>
        <v/>
      </c>
      <c r="K91" s="18">
        <f>MAX(0,K90)*$D$61</f>
        <v/>
      </c>
      <c r="L91" s="18">
        <f>MAX(0,L90)*$D$61</f>
        <v/>
      </c>
      <c r="M91" s="18">
        <f>MAX(0,M90)*$D$61</f>
        <v/>
      </c>
      <c r="N91" s="18">
        <f>MAX(0,N90)*$D$61</f>
        <v/>
      </c>
    </row>
    <row r="92">
      <c r="A92" s="5" t="inlineStr">
        <is>
          <t>Major Maintenance</t>
        </is>
      </c>
      <c r="B92" s="6" t="inlineStr">
        <is>
          <t>$mm</t>
        </is>
      </c>
      <c r="C92" s="6" t="inlineStr">
        <is>
          <t>HGP in specified year</t>
        </is>
      </c>
      <c r="E92" s="21">
        <f>IF(1=$D$49,$D$50,0)</f>
        <v/>
      </c>
      <c r="F92" s="21">
        <f>IF(2=$D$49,$D$50,0)</f>
        <v/>
      </c>
      <c r="G92" s="21">
        <f>IF(3=$D$49,$D$50,0)</f>
        <v/>
      </c>
      <c r="H92" s="21">
        <f>IF(4=$D$49,$D$50,0)</f>
        <v/>
      </c>
      <c r="I92" s="21">
        <f>IF(5=$D$49,$D$50,0)</f>
        <v/>
      </c>
      <c r="J92" s="21">
        <f>IF(6=$D$49,$D$50,0)</f>
        <v/>
      </c>
      <c r="K92" s="21">
        <f>IF(7=$D$49,$D$50,0)</f>
        <v/>
      </c>
      <c r="L92" s="21">
        <f>IF(8=$D$49,$D$50,0)</f>
        <v/>
      </c>
      <c r="M92" s="21">
        <f>IF(9=$D$49,$D$50,0)</f>
        <v/>
      </c>
      <c r="N92" s="21">
        <f>IF(10=$D$49,$D$50,0)</f>
        <v/>
      </c>
    </row>
    <row r="93">
      <c r="A93" s="5" t="inlineStr">
        <is>
          <t>CFADS</t>
        </is>
      </c>
      <c r="B93" s="6" t="inlineStr">
        <is>
          <t>$mm</t>
        </is>
      </c>
      <c r="C93" s="6" t="inlineStr">
        <is>
          <t>EBITDA - Taxes - Maint</t>
        </is>
      </c>
      <c r="E93" s="7">
        <f>E87-E91-E92</f>
        <v/>
      </c>
      <c r="F93" s="7">
        <f>F87-F91-F92</f>
        <v/>
      </c>
      <c r="G93" s="7">
        <f>G87-G91-G92</f>
        <v/>
      </c>
      <c r="H93" s="7">
        <f>H87-H91-H92</f>
        <v/>
      </c>
      <c r="I93" s="7">
        <f>I87-I91-I92</f>
        <v/>
      </c>
      <c r="J93" s="7">
        <f>J87-J91-J92</f>
        <v/>
      </c>
      <c r="K93" s="7">
        <f>K87-K91-K92</f>
        <v/>
      </c>
      <c r="L93" s="7">
        <f>L87-L91-L92</f>
        <v/>
      </c>
      <c r="M93" s="7">
        <f>M87-M91-M92</f>
        <v/>
      </c>
      <c r="N93" s="7">
        <f>N87-N91-N92</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D96"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f>E96*$D$54</f>
        <v/>
      </c>
      <c r="F97" s="18">
        <f>F96*$D$54</f>
        <v/>
      </c>
      <c r="G97" s="18">
        <f>G96*$D$54</f>
        <v/>
      </c>
      <c r="H97" s="18">
        <f>H96*$D$54</f>
        <v/>
      </c>
      <c r="I97" s="18">
        <f>I96*$D$54</f>
        <v/>
      </c>
      <c r="J97" s="18">
        <f>J96*$D$54</f>
        <v/>
      </c>
      <c r="K97" s="18">
        <f>K96*$D$54</f>
        <v/>
      </c>
      <c r="L97" s="18">
        <f>L96*$D$54</f>
        <v/>
      </c>
      <c r="M97" s="18">
        <f>M96*$D$54</f>
        <v/>
      </c>
      <c r="N97" s="18">
        <f>N96*$D$54</f>
        <v/>
      </c>
    </row>
    <row r="98">
      <c r="A98" s="5" t="inlineStr">
        <is>
          <t>Scheduled Principal</t>
        </is>
      </c>
      <c r="B98" s="6" t="inlineStr">
        <is>
          <t>$mm</t>
        </is>
      </c>
      <c r="C98" s="6" t="inlineStr">
        <is>
          <t>MIN(Sched, Beg Bal)</t>
        </is>
      </c>
      <c r="E98" s="18">
        <f>MIN($D$70,E96)</f>
        <v/>
      </c>
      <c r="F98" s="18">
        <f>MIN($D$70,F96)</f>
        <v/>
      </c>
      <c r="G98" s="18">
        <f>MIN($D$70,G96)</f>
        <v/>
      </c>
      <c r="H98" s="18">
        <f>MIN($D$70,H96)</f>
        <v/>
      </c>
      <c r="I98" s="18">
        <f>MIN($D$70,I96)</f>
        <v/>
      </c>
      <c r="J98" s="18">
        <f>MIN($D$70,J96)</f>
        <v/>
      </c>
      <c r="K98" s="18">
        <f>MIN($D$70,K96)</f>
        <v/>
      </c>
      <c r="L98" s="18">
        <f>MIN($D$70,L96)</f>
        <v/>
      </c>
      <c r="M98" s="18">
        <f>MIN($D$70,M96)</f>
        <v/>
      </c>
      <c r="N98" s="18">
        <f>MIN($D$70,N96)</f>
        <v/>
      </c>
    </row>
    <row r="99">
      <c r="A99" s="5" t="inlineStr">
        <is>
          <t>Debt Service (Pre-Sweep)</t>
        </is>
      </c>
      <c r="B99" s="6" t="inlineStr">
        <is>
          <t>$mm</t>
        </is>
      </c>
      <c r="C99" s="6" t="inlineStr">
        <is>
          <t>Interest + Sched Prin</t>
        </is>
      </c>
      <c r="E99" s="18">
        <f>E97+E98</f>
        <v/>
      </c>
      <c r="F99" s="18">
        <f>F97+F98</f>
        <v/>
      </c>
      <c r="G99" s="18">
        <f>G97+G98</f>
        <v/>
      </c>
      <c r="H99" s="18">
        <f>H97+H98</f>
        <v/>
      </c>
      <c r="I99" s="18">
        <f>I97+I98</f>
        <v/>
      </c>
      <c r="J99" s="18">
        <f>J97+J98</f>
        <v/>
      </c>
      <c r="K99" s="18">
        <f>K97+K98</f>
        <v/>
      </c>
      <c r="L99" s="18">
        <f>L97+L98</f>
        <v/>
      </c>
      <c r="M99" s="18">
        <f>M97+M98</f>
        <v/>
      </c>
      <c r="N99" s="18">
        <f>N97+N98</f>
        <v/>
      </c>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f>MIN(E100*$D$57,MAX(0,E96-E98))</f>
        <v/>
      </c>
      <c r="F101" s="21">
        <f>MIN(F100*$D$57,MAX(0,F96-F98))</f>
        <v/>
      </c>
      <c r="G101" s="21">
        <f>MIN(G100*$D$57,MAX(0,G96-G98))</f>
        <v/>
      </c>
      <c r="H101" s="21">
        <f>MIN(H100*$D$57,MAX(0,H96-H98))</f>
        <v/>
      </c>
      <c r="I101" s="21">
        <f>MIN(I100*$D$57,MAX(0,I96-I98))</f>
        <v/>
      </c>
      <c r="J101" s="21">
        <f>MIN(J100*$D$57,MAX(0,J96-J98))</f>
        <v/>
      </c>
      <c r="K101" s="21">
        <f>MIN(K100*$D$57,MAX(0,K96-K98))</f>
        <v/>
      </c>
      <c r="L101" s="21">
        <f>MIN(L100*$D$57,MAX(0,L96-L98))</f>
        <v/>
      </c>
      <c r="M101" s="21">
        <f>MIN(M100*$D$57,MAX(0,M96-M98))</f>
        <v/>
      </c>
      <c r="N101" s="21">
        <f>MIN(N100*$D$57,MAX(0,N96-N98))</f>
        <v/>
      </c>
    </row>
    <row r="102">
      <c r="A102" s="5" t="inlineStr">
        <is>
          <t>Total Principal</t>
        </is>
      </c>
      <c r="B102" s="6" t="inlineStr">
        <is>
          <t>$mm</t>
        </is>
      </c>
      <c r="C102" s="6" t="inlineStr">
        <is>
          <t>Scheduled + Sweep</t>
        </is>
      </c>
      <c r="E102" s="18">
        <f>E98+E101</f>
        <v/>
      </c>
      <c r="F102" s="18">
        <f>F98+F101</f>
        <v/>
      </c>
      <c r="G102" s="18">
        <f>G98+G101</f>
        <v/>
      </c>
      <c r="H102" s="18">
        <f>H98+H101</f>
        <v/>
      </c>
      <c r="I102" s="18">
        <f>I98+I101</f>
        <v/>
      </c>
      <c r="J102" s="18">
        <f>J98+J101</f>
        <v/>
      </c>
      <c r="K102" s="18">
        <f>K98+K101</f>
        <v/>
      </c>
      <c r="L102" s="18">
        <f>L98+L101</f>
        <v/>
      </c>
      <c r="M102" s="18">
        <f>M98+M101</f>
        <v/>
      </c>
      <c r="N102" s="18">
        <f>N98+N101</f>
        <v/>
      </c>
    </row>
    <row r="103">
      <c r="A103" s="5" t="inlineStr">
        <is>
          <t>Ending Balance</t>
        </is>
      </c>
      <c r="B103" s="6" t="inlineStr">
        <is>
          <t>$mm</t>
        </is>
      </c>
      <c r="C103" s="6" t="inlineStr">
        <is>
          <t>MAX(0, Beg - Total Prin)</t>
        </is>
      </c>
      <c r="D103">
        <f>$D$68</f>
        <v/>
      </c>
      <c r="E103" s="18">
        <f>MAX(0,E96-E102)</f>
        <v/>
      </c>
      <c r="F103" s="18">
        <f>MAX(0,F96-F102)</f>
        <v/>
      </c>
      <c r="G103" s="18">
        <f>MAX(0,G96-G102)</f>
        <v/>
      </c>
      <c r="H103" s="18">
        <f>MAX(0,H96-H102)</f>
        <v/>
      </c>
      <c r="I103" s="18">
        <f>MAX(0,I96-I102)</f>
        <v/>
      </c>
      <c r="J103" s="18">
        <f>MAX(0,J96-J102)</f>
        <v/>
      </c>
      <c r="K103" s="18">
        <f>MAX(0,K96-K102)</f>
        <v/>
      </c>
      <c r="L103" s="18">
        <f>MAX(0,L96-L102)</f>
        <v/>
      </c>
      <c r="M103" s="18">
        <f>MAX(0,M96-M102)</f>
        <v/>
      </c>
      <c r="N103" s="18">
        <f>MAX(0,N96-N102)</f>
        <v/>
      </c>
    </row>
    <row r="104">
      <c r="A104" s="5" t="inlineStr">
        <is>
          <t>DSCR</t>
        </is>
      </c>
      <c r="B104" s="6" t="inlineStr">
        <is>
          <t>x</t>
        </is>
      </c>
      <c r="C104" s="6" t="inlineStr">
        <is>
          <t>CFADS / Debt Service</t>
        </is>
      </c>
      <c r="E104" s="24">
        <f>IF(E99&gt;0,E93/E99,0)</f>
        <v/>
      </c>
      <c r="F104" s="24">
        <f>IF(F99&gt;0,F93/F99,0)</f>
        <v/>
      </c>
      <c r="G104" s="24">
        <f>IF(G99&gt;0,G93/G99,0)</f>
        <v/>
      </c>
      <c r="H104" s="24">
        <f>IF(H99&gt;0,H93/H99,0)</f>
        <v/>
      </c>
      <c r="I104" s="24">
        <f>IF(I99&gt;0,I93/I99,0)</f>
        <v/>
      </c>
      <c r="J104" s="24">
        <f>IF(J99&gt;0,J93/J99,0)</f>
        <v/>
      </c>
      <c r="K104" s="24">
        <f>IF(K99&gt;0,K93/K99,0)</f>
        <v/>
      </c>
      <c r="L104" s="24">
        <f>IF(L99&gt;0,L93/L99,0)</f>
        <v/>
      </c>
      <c r="M104" s="24">
        <f>IF(M99&gt;0,M93/M99,0)</f>
        <v/>
      </c>
      <c r="N104" s="24">
        <f>IF(N99&gt;0,N93/N99,0)</f>
        <v/>
      </c>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inlineStr"/>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inlineStr"/>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$D$28</f>
        <v/>
      </c>
    </row>
    <row r="120">
      <c r="A120" s="5" t="inlineStr">
        <is>
          <t xml:space="preserve">  Transaction Fees</t>
        </is>
      </c>
      <c r="B120" s="6" t="inlineStr">
        <is>
          <t>$mm</t>
        </is>
      </c>
      <c r="C120" s="6" t="inlineStr"/>
      <c r="D120" s="18">
        <f>$D$28*$D$29</f>
        <v/>
      </c>
    </row>
    <row r="121">
      <c r="A121" s="5" t="inlineStr">
        <is>
          <t xml:space="preserve">  DSRA Funding</t>
        </is>
      </c>
      <c r="B121" s="6" t="inlineStr">
        <is>
          <t>$mm</t>
        </is>
      </c>
      <c r="C121" s="6" t="inlineStr"/>
      <c r="D121" s="18">
        <f>E107</f>
        <v/>
      </c>
    </row>
    <row r="122">
      <c r="A122" s="5" t="inlineStr">
        <is>
          <t>Total Uses</t>
        </is>
      </c>
      <c r="B122" s="6" t="inlineStr">
        <is>
          <t>$mm</t>
        </is>
      </c>
      <c r="C122" s="6" t="inlineStr"/>
      <c r="D122" s="7">
        <f>D119+D120+D121</f>
        <v/>
      </c>
    </row>
    <row r="124">
      <c r="A124" s="23" t="inlineStr">
        <is>
          <t>SOURCES</t>
        </is>
      </c>
      <c r="B124" s="6" t="inlineStr"/>
      <c r="C124" s="6" t="inlineStr"/>
    </row>
    <row r="125">
      <c r="A125" s="5" t="inlineStr">
        <is>
          <t xml:space="preserve">  Debt</t>
        </is>
      </c>
      <c r="B125" s="6" t="inlineStr">
        <is>
          <t>$mm</t>
        </is>
      </c>
      <c r="C125" s="6" t="inlineStr"/>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inlineStr"/>
      <c r="D127" s="7">
        <f>D125+D126</f>
        <v/>
      </c>
    </row>
    <row r="128">
      <c r="A128" s="5" t="inlineStr">
        <is>
          <t>Balance Check</t>
        </is>
      </c>
      <c r="B128" s="6" t="inlineStr"/>
      <c r="C128" s="6" t="inlineStr"/>
      <c r="D128" s="10">
        <f>IF(ABS(D122-D127)&lt;0.01,"PASS","FAIL")</f>
        <v/>
      </c>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f>K87*$D$30</f>
        <v/>
      </c>
      <c r="K131" s="18">
        <f>$D$19*K75</f>
        <v/>
      </c>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inlineStr"/>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25">
        <f>IRR(D137:N137)</f>
        <v/>
      </c>
    </row>
    <row r="139">
      <c r="A139" s="5" t="inlineStr">
        <is>
          <t>MOIC</t>
        </is>
      </c>
      <c r="B139" s="6" t="inlineStr">
        <is>
          <t>x</t>
        </is>
      </c>
      <c r="C139" s="6" t="inlineStr">
        <is>
          <t>Sum inflows / outflow</t>
        </is>
      </c>
      <c r="D139" s="24">
        <f>(SUM(E137:K137))/-D137</f>
        <v/>
      </c>
    </row>
    <row r="141">
      <c r="A141" s="23" t="inlineStr">
        <is>
          <t>Unlevered Returns (for reference)</t>
        </is>
      </c>
      <c r="B141" s="6" t="inlineStr"/>
      <c r="C141" s="6" t="inlineStr"/>
    </row>
    <row r="142">
      <c r="A142" s="5" t="inlineStr">
        <is>
          <t>Unlevered Cash Flow</t>
        </is>
      </c>
      <c r="B142" s="6" t="inlineStr">
        <is>
          <t>$mm</t>
        </is>
      </c>
      <c r="C142" s="6" t="inlineStr"/>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25">
        <f>IRR(D142:N142)</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5" t="inlineStr">
        <is>
          <t>─────────── PROJECT FINANCE COVERAGE ───────────</t>
        </is>
      </c>
    </row>
    <row r="123">
      <c r="A123" t="inlineStr">
        <is>
          <t>LLCR (Loan Life Coverage)</t>
        </is>
      </c>
      <c r="B123" t="inlineStr">
        <is>
          <t>x</t>
        </is>
      </c>
      <c r="C123" t="inlineStr">
        <is>
          <t>[WHAT] NPV(CFADS over loan life) / Debt; [WHY] Total debt capacity</t>
        </is>
      </c>
      <c r="D123" s="43">
        <f>NPV(D45,E82:K82)/D100</f>
        <v/>
      </c>
    </row>
    <row r="124">
      <c r="A124" t="inlineStr">
        <is>
          <t>PLCR (Project Life Coverage)</t>
        </is>
      </c>
      <c r="B124" t="inlineStr">
        <is>
          <t>x</t>
        </is>
      </c>
      <c r="C124" t="inlineStr">
        <is>
          <t>[WHAT] NPV(CFADS over project life) / Debt; [WHY] Full asset capacity</t>
        </is>
      </c>
      <c r="D124" s="43">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is>
          <t>IRR of Equity CFs</t>
        </is>
      </c>
      <c r="D144" s="25">
        <f>IRR(D125:K125)</f>
        <v/>
      </c>
    </row>
    <row r="145">
      <c r="A145" s="5" t="inlineStr">
        <is>
          <t>MOIC</t>
        </is>
      </c>
      <c r="B145" s="6" t="inlineStr">
        <is>
          <t>x</t>
        </is>
      </c>
      <c r="C145" s="6" t="inlineStr">
        <is>
          <t>Sum inflows / outflow</t>
        </is>
      </c>
      <c r="D145" s="24">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is>
          <t>IRR of Equity CFs</t>
        </is>
      </c>
      <c r="D149"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2026-01-21T02:00:16Z</dcterms:modified>
</cp:coreProperties>
</file>