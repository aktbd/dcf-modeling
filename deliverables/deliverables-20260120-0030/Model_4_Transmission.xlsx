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40" authorId="0" shapeId="0">
      <text>
        <t>Debt Service Coverage Ratio. Key lender metric. Target: 1.25-1.40x.</t>
      </text>
    </comment>
    <comment ref="C41" authorId="0" shapeId="0">
      <text>
        <t>Debt Service Coverage Ratio. Key lender metric. Target: 1.25-1.40x.</t>
      </text>
    </comment>
    <comment ref="C70" authorId="0" shapeId="0">
      <text>
        <t>Cash earnings before financing. What is available to service debt and pay equity.</t>
      </text>
    </comment>
    <comment ref="C76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88" authorId="0" shapeId="0">
      <text>
        <t>Reserve sized to cover NEXT years debt service. Uses SCHEDULED DS to avoid circular reference.</t>
      </text>
    </comment>
    <comment ref="C124" authorId="0" shapeId="0">
      <text>
        <t>Return to equity after debt service. Should exceed cost of equity (12-15% for infra).</t>
      </text>
    </comment>
    <comment ref="C125" authorId="0" shapeId="0">
      <text>
        <t>Multiple on Invested Capital. Cash-on-cash return. 2.0x = doubled money.</t>
      </text>
    </comment>
    <comment ref="C12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7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7" t="inlineStr">
        <is>
          <t>--- SITUATION ---</t>
        </is>
      </c>
    </row>
    <row r="16">
      <c r="A16" s="29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29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29" t="inlineStr">
        <is>
          <t>Upon COD, revenue comes from FERC-approved tariff based on rate base and
allowed ROE. The line has 40+ years expected useful life.</t>
        </is>
      </c>
    </row>
    <row r="22">
      <c r="A22" s="29" t="inlineStr">
        <is>
          <t>Lotus is offered $180mm equity during construction. Commitment needed by
March 15, 2026.</t>
        </is>
      </c>
    </row>
    <row r="24">
      <c r="A24" s="27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7" t="inlineStr">
        <is>
          <t>--- STEP-BY-STEP MODEL BUILDING GUIDE ---</t>
        </is>
      </c>
    </row>
    <row r="31">
      <c r="A31" s="29" t="inlineStr">
        <is>
          <t>STEP-BY-STEP MODEL BUILDING GUIDE FOR TRANSMISSION</t>
        </is>
      </c>
    </row>
    <row r="32">
      <c r="A32" s="29" t="inlineStr"/>
    </row>
    <row r="33">
      <c r="A33" s="29" t="inlineStr">
        <is>
          <t>KEY DIFFERENCES:</t>
        </is>
      </c>
    </row>
    <row r="34">
      <c r="A34" s="29" t="inlineStr">
        <is>
          <t>- CONSTRUCTION PERIOD before operations</t>
        </is>
      </c>
    </row>
    <row r="35">
      <c r="A35" s="29" t="inlineStr">
        <is>
          <t>- AFUDC (capitalized interest) accrues to rate base</t>
        </is>
      </c>
    </row>
    <row r="36">
      <c r="A36" s="29" t="inlineStr">
        <is>
          <t>- Revenue is REGULATED formula, not market prices</t>
        </is>
      </c>
    </row>
    <row r="37">
      <c r="A37" s="29" t="inlineStr">
        <is>
          <t>- Two financing events: Construction loan -&gt; Term debt takeout</t>
        </is>
      </c>
    </row>
    <row r="38">
      <c r="A38" s="29" t="inlineStr"/>
    </row>
    <row r="39">
      <c r="A39" s="29" t="inlineStr">
        <is>
          <t>1. CONSTRUCTION PERIOD (Years 0-2)</t>
        </is>
      </c>
    </row>
    <row r="40">
      <c r="A40" s="29" t="inlineStr">
        <is>
          <t xml:space="preserve">   Development Costs: $35mm</t>
        </is>
      </c>
    </row>
    <row r="41">
      <c r="A41" s="29" t="inlineStr">
        <is>
          <t xml:space="preserve">   Construction Costs: $550mm</t>
        </is>
      </c>
    </row>
    <row r="42">
      <c r="A42" s="29" t="inlineStr">
        <is>
          <t xml:space="preserve">   Construction Loan: 85% of construction</t>
        </is>
      </c>
    </row>
    <row r="43">
      <c r="A43" s="29" t="inlineStr">
        <is>
          <t xml:space="preserve">   AFUDC = Const Loan x Interest x Avg Period = ~$35mm</t>
        </is>
      </c>
    </row>
    <row r="44">
      <c r="A44" s="29" t="inlineStr">
        <is>
          <t xml:space="preserve">   AFUDC accrues to Rate Base (non-cash during construction)</t>
        </is>
      </c>
    </row>
    <row r="45">
      <c r="A45" s="29" t="inlineStr"/>
    </row>
    <row r="46">
      <c r="A46" s="29" t="inlineStr">
        <is>
          <t>2. RATE BASE AT COD (Year 3)</t>
        </is>
      </c>
    </row>
    <row r="47">
      <c r="A47" s="29" t="inlineStr">
        <is>
          <t xml:space="preserve">   Rate Base = Development + Construction + AFUDC</t>
        </is>
      </c>
    </row>
    <row r="48">
      <c r="A48" s="29" t="inlineStr">
        <is>
          <t xml:space="preserve">   = $35mm + $550mm + ~$35mm = ~$620mm</t>
        </is>
      </c>
    </row>
    <row r="49">
      <c r="A49" s="29" t="inlineStr"/>
    </row>
    <row r="50">
      <c r="A50" s="29" t="inlineStr">
        <is>
          <t>3. TERM DEBT TAKEOUT AT COD</t>
        </is>
      </c>
    </row>
    <row r="51">
      <c r="A51" s="29" t="inlineStr">
        <is>
          <t xml:space="preserve">   At COD, Construction Loan repaid by Term Debt</t>
        </is>
      </c>
    </row>
    <row r="52">
      <c r="A52" s="29" t="inlineStr">
        <is>
          <t xml:space="preserve">   Term Debt = Rate Base x Regulatory Debt % = $620mm x 50% = $310mm</t>
        </is>
      </c>
    </row>
    <row r="53">
      <c r="A53" s="29" t="inlineStr">
        <is>
          <t xml:space="preserve">   Use RATE BASE (not construction cost) for debt sizing</t>
        </is>
      </c>
    </row>
    <row r="54">
      <c r="A54" s="29" t="inlineStr"/>
    </row>
    <row r="55">
      <c r="A55" s="29" t="inlineStr">
        <is>
          <t>4. REVENUE CALCULATION (Years 3+)</t>
        </is>
      </c>
    </row>
    <row r="56">
      <c r="A56" s="29" t="inlineStr">
        <is>
          <t xml:space="preserve">   Revenue = Rate Base x (ROE + Depreciation/Life + O&amp;M/RB)</t>
        </is>
      </c>
    </row>
    <row r="57">
      <c r="A57" s="29" t="inlineStr"/>
    </row>
    <row r="58">
      <c r="A58" s="29" t="inlineStr">
        <is>
          <t>5. S&amp;U - TWO EVENTS</t>
        </is>
      </c>
    </row>
    <row r="59">
      <c r="A59" s="29" t="inlineStr">
        <is>
          <t xml:space="preserve">   At Close (Y0): Development costs, fees -&gt; Const loan, equity</t>
        </is>
      </c>
    </row>
    <row r="60">
      <c r="A60" s="29" t="inlineStr">
        <is>
          <t xml:space="preserve">   At COD (Y3): Const loan payoff -&gt; Term debt, permanent equity</t>
        </is>
      </c>
    </row>
    <row r="61">
      <c r="A61" s="29" t="inlineStr">
        <is>
          <t xml:space="preserve">   DSRA is a USE (funded by debt/equity), NOT a Source</t>
        </is>
      </c>
    </row>
    <row r="62">
      <c r="A62" s="29" t="inlineStr"/>
    </row>
    <row r="63">
      <c r="A63" s="29" t="inlineStr">
        <is>
          <t>6. SCULPTED DEBT</t>
        </is>
      </c>
    </row>
    <row r="64">
      <c r="A64" s="29" t="inlineStr">
        <is>
          <t xml:space="preserve">   Regulated cash flows support sculpted debt at 1.40x DSCR</t>
        </is>
      </c>
    </row>
    <row r="66">
      <c r="A66" s="27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8">
      <c r="A68" t="inlineStr"/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1">
      <c r="A71" t="inlineStr"/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7" t="inlineStr">
        <is>
          <t>--- ALTERNATIVE SCENARIOS ---</t>
        </is>
      </c>
    </row>
    <row r="78">
      <c r="A78" t="inlineStr">
        <is>
          <t>ALTERNATIVE SCENARIOS</t>
        </is>
      </c>
    </row>
    <row r="79">
      <c r="A79" t="inlineStr"/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3">
      <c r="A83" t="inlineStr"/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7">
      <c r="A87" t="inlineStr"/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7" t="inlineStr">
        <is>
          <t>--- QA CHECKS ---</t>
        </is>
      </c>
    </row>
    <row r="93">
      <c r="A93" t="inlineStr">
        <is>
          <t>QA CHECKS</t>
        </is>
      </c>
    </row>
    <row r="94">
      <c r="A94" t="inlineStr"/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7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7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>
        <is>
          <t>CFADS / Debt Service</t>
        </is>
      </c>
      <c r="D6" s="19">
        <f>IF(COUNTIF(G85:N85,"&gt;0")&gt;0,MINIFS(G85:N85,G85:N85,"&gt;0"),0)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0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19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0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>
        <is>
          <t>CFADS / Debt Service</t>
        </is>
      </c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1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1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1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1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1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1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2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2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2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1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>
        <is>
          <t>Revenue minus OpEx</t>
        </is>
      </c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19">
        <f>IF(E83&gt;0,E76/E83,0)</f>
        <v/>
      </c>
      <c r="F85" s="19">
        <f>IF(F83&gt;0,F76/F83,0)</f>
        <v/>
      </c>
      <c r="G85" s="19">
        <f>IF(G83&gt;0,G76/G83,0)</f>
        <v/>
      </c>
      <c r="H85" s="19">
        <f>IF(H83&gt;0,H76/H83,0)</f>
        <v/>
      </c>
      <c r="I85" s="19">
        <f>IF(I83&gt;0,I76/I83,0)</f>
        <v/>
      </c>
      <c r="J85" s="19">
        <f>IF(J83&gt;0,J76/J83,0)</f>
        <v/>
      </c>
      <c r="K85" s="19">
        <f>IF(K83&gt;0,K76/K83,0)</f>
        <v/>
      </c>
      <c r="L85" s="19">
        <f>IF(L83&gt;0,L76/L83,0)</f>
        <v/>
      </c>
      <c r="M85" s="19">
        <f>IF(M83&gt;0,M76/M83,0)</f>
        <v/>
      </c>
      <c r="N85" s="19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IF(ABS(D105-D111)&lt;0.01,"PASS","FAIL")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>
        <is>
          <t>IRR of Equity CFs</t>
        </is>
      </c>
      <c r="D124" s="20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19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>
        <is>
          <t>IRR of Equity CFs</t>
        </is>
      </c>
      <c r="D129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2026-01-20T05:38:18Z</dcterms:modified>
</cp:coreProperties>
</file>