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4" fontId="4" fillId="0" borderId="1" pivotButton="0" quotePrefix="0" xfId="0"/>
    <xf numFmtId="167" fontId="4" fillId="0" borderId="1" pivotButton="0" quotePrefix="0" xfId="0"/>
    <xf numFmtId="4" fontId="4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3"/>
  <sheetViews>
    <sheetView workbookViewId="0">
      <selection activeCell="A1" sqref="A1"/>
    </sheetView>
  </sheetViews>
  <sheetFormatPr baseColWidth="8" defaultRowHeight="15"/>
  <cols>
    <col width="25" customWidth="1" min="1" max="1"/>
    <col width="80" customWidth="1" min="2" max="2"/>
  </cols>
  <sheetData>
    <row r="1" ht="30" customHeight="1">
      <c r="A1" s="21" t="inlineStr">
        <is>
          <t>MIDSTREAM MODEL - INTUITION GUIDE</t>
        </is>
      </c>
      <c r="B1" s="22" t="inlineStr"/>
    </row>
    <row r="2" ht="30" customHeight="1">
      <c r="A2" s="21" t="inlineStr"/>
      <c r="B2" s="22" t="inlineStr"/>
    </row>
    <row r="3" ht="30" customHeight="1">
      <c r="A3" s="21" t="inlineStr">
        <is>
          <t>SECTION</t>
        </is>
      </c>
      <c r="B3" s="23" t="inlineStr">
        <is>
          <t>WHY IT MATTERS / KEY LOGIC</t>
        </is>
      </c>
    </row>
    <row r="4" ht="30" customHeight="1">
      <c r="A4" s="21" t="inlineStr"/>
      <c r="B4" s="22" t="inlineStr"/>
    </row>
    <row r="5" ht="30" customHeight="1">
      <c r="A5" s="24" t="inlineStr">
        <is>
          <t>═══ BUSINESS CONTEXT ═══</t>
        </is>
      </c>
      <c r="B5" s="25" t="n"/>
    </row>
    <row r="6" ht="30" customHeight="1">
      <c r="A6" s="21" t="inlineStr">
        <is>
          <t>What is Midstream?</t>
        </is>
      </c>
      <c r="B6" s="22" t="inlineStr">
        <is>
          <t>Gas gathering systems collect production from wellheads and deliver to processing plants/pipelines. Fee-for-service model.</t>
        </is>
      </c>
    </row>
    <row r="7" ht="30" customHeight="1">
      <c r="A7" s="21" t="inlineStr">
        <is>
          <t>Fee-for-Service</t>
        </is>
      </c>
      <c r="B7" s="22" t="inlineStr">
        <is>
          <t>Revenue = Volume × Fee ($/Mcf). No commodity exposure - you're paid to move gas, not sell it.</t>
        </is>
      </c>
    </row>
    <row r="8" ht="30" customHeight="1">
      <c r="A8" s="21" t="inlineStr">
        <is>
          <t>Volume Risk</t>
        </is>
      </c>
      <c r="B8" s="22" t="inlineStr">
        <is>
          <t>Key risk is producer activity. If drilling slows, volumes decline. Hence the growth-then-decline profile.</t>
        </is>
      </c>
    </row>
    <row r="9" ht="30" customHeight="1">
      <c r="A9" s="21" t="inlineStr"/>
      <c r="B9" s="22" t="inlineStr"/>
    </row>
    <row r="10" ht="30" customHeight="1">
      <c r="A10" s="24" t="inlineStr">
        <is>
          <t>═══ VOLUME PROFILE ═══</t>
        </is>
      </c>
      <c r="B10" s="25" t="n"/>
    </row>
    <row r="11" ht="30" customHeight="1">
      <c r="A11" s="21" t="inlineStr">
        <is>
          <t>Growth Phase (Y1-Y5)</t>
        </is>
      </c>
      <c r="B11" s="22" t="inlineStr">
        <is>
          <t>Active drilling - new wells connected. Volume grows 3%/year as producer develops acreage.</t>
        </is>
      </c>
    </row>
    <row r="12" ht="30" customHeight="1">
      <c r="A12" s="21" t="inlineStr">
        <is>
          <t>Decline Phase (Y6-Y10)</t>
        </is>
      </c>
      <c r="B12" s="22" t="inlineStr">
        <is>
          <t>Wells deplete naturally. 5%/year decline as production tails off. No new drilling assumed.</t>
        </is>
      </c>
    </row>
    <row r="13" ht="30" customHeight="1">
      <c r="A13" s="21" t="inlineStr">
        <is>
          <t>Y5 Peak Volume</t>
        </is>
      </c>
      <c r="B13" s="22" t="inlineStr">
        <is>
          <t>Y1 Volume × (1.03)^4 = peak. Then Y6 = Peak × (0.95), Y7 = Peak × (0.95)^2, etc.</t>
        </is>
      </c>
    </row>
    <row r="14" ht="30" customHeight="1">
      <c r="A14" s="21" t="inlineStr"/>
      <c r="B14" s="22" t="inlineStr"/>
    </row>
    <row r="15" ht="30" customHeight="1">
      <c r="A15" s="24" t="inlineStr">
        <is>
          <t>═══ FINANCING RATIONALE ═══</t>
        </is>
      </c>
      <c r="B15" s="25" t="n"/>
    </row>
    <row r="16" ht="30" customHeight="1">
      <c r="A16" s="21" t="inlineStr">
        <is>
          <t>Short Tenor (5 years)</t>
        </is>
      </c>
      <c r="B16" s="22" t="inlineStr">
        <is>
          <t>Must pay off debt BEFORE decline phase. Can't service debt with declining cash flows. De-risk early.</t>
        </is>
      </c>
    </row>
    <row r="17" ht="30" customHeight="1">
      <c r="A17" s="21" t="inlineStr">
        <is>
          <t>Aggressive Sweep (75%)</t>
        </is>
      </c>
      <c r="B17" s="22" t="inlineStr">
        <is>
          <t>Maximize paydown during growth phase. Every dollar of sweep reduces refinancing risk.</t>
        </is>
      </c>
    </row>
    <row r="18" ht="30" customHeight="1">
      <c r="A18" s="21" t="inlineStr">
        <is>
          <t>Lower Leverage (30%)</t>
        </is>
      </c>
      <c r="B18" s="22" t="inlineStr">
        <is>
          <t>Basin/producer risk. More conservative than contracted assets. Single counterparty exposure.</t>
        </is>
      </c>
    </row>
    <row r="19" ht="30" customHeight="1">
      <c r="A19" s="21" t="inlineStr">
        <is>
          <t>Higher Rate (7%)</t>
        </is>
      </c>
      <c r="B19" s="22" t="inlineStr">
        <is>
          <t>Basin-specific risk premium. Smaller asset, producer concentration, decline exposure.</t>
        </is>
      </c>
    </row>
    <row r="20" ht="30" customHeight="1">
      <c r="A20" s="21" t="inlineStr"/>
      <c r="B20" s="22" t="inlineStr"/>
    </row>
    <row r="21" ht="30" customHeight="1">
      <c r="A21" s="24" t="inlineStr">
        <is>
          <t>═══ GROWTH CAPEX ═══</t>
        </is>
      </c>
      <c r="B21" s="25" t="n"/>
    </row>
    <row r="22" ht="30" customHeight="1">
      <c r="A22" s="21" t="inlineStr">
        <is>
          <t>Y1-Y5 Only ($2mm/yr)</t>
        </is>
      </c>
      <c r="B22" s="22" t="inlineStr">
        <is>
          <t>Compression, looping to handle growing volumes. Stops in Y6 when growth ends.</t>
        </is>
      </c>
    </row>
    <row r="23" ht="30" customHeight="1">
      <c r="A23" s="21" t="inlineStr">
        <is>
          <t>Impact on CFADS</t>
        </is>
      </c>
      <c r="B23" s="22" t="inlineStr">
        <is>
          <t>Capex reduces CFADS and thus available cash for debt paydown. Factor into covenant analysis.</t>
        </is>
      </c>
    </row>
    <row r="24" ht="30" customHeight="1">
      <c r="A24" s="21" t="inlineStr"/>
      <c r="B24" s="22" t="inlineStr"/>
    </row>
    <row r="25" ht="30" customHeight="1">
      <c r="A25" s="24" t="inlineStr">
        <is>
          <t>═══ EXIT CONSIDERATIONS ═══</t>
        </is>
      </c>
      <c r="B25" s="25" t="n"/>
    </row>
    <row r="26" ht="30" customHeight="1">
      <c r="A26" s="21" t="inlineStr">
        <is>
          <t>Compressed Multiple (6.5x)</t>
        </is>
      </c>
      <c r="B26" s="22" t="inlineStr">
        <is>
          <t>Declining asset commands lower multiple than stable/growing assets. Reflects PDP-like value.</t>
        </is>
      </c>
    </row>
    <row r="27" ht="30" customHeight="1">
      <c r="A27" s="21" t="inlineStr">
        <is>
          <t>Exit at Y7 (Not Y10)</t>
        </is>
      </c>
      <c r="B27" s="22" t="inlineStr">
        <is>
          <t>Better exit in early decline (Y7) when volumes still meaningful, vs late decline (Y10) with lower EBITDA.</t>
        </is>
      </c>
    </row>
    <row r="28" ht="30" customHeight="1">
      <c r="A28" s="21" t="inlineStr">
        <is>
          <t>Buyer Universe</t>
        </is>
      </c>
      <c r="B28" s="22" t="inlineStr">
        <is>
          <t>Producer looking for vertical integration, larger midstream looking for bolt-on, PE doing roll-up.</t>
        </is>
      </c>
    </row>
    <row r="29" ht="30" customHeight="1">
      <c r="A29" s="21" t="inlineStr"/>
      <c r="B29" s="22" t="inlineStr"/>
    </row>
    <row r="30" ht="30" customHeight="1">
      <c r="A30" s="24" t="inlineStr">
        <is>
          <t>═══ COMMON IC QUESTIONS ═══</t>
        </is>
      </c>
      <c r="B30" s="25" t="n"/>
    </row>
    <row r="31" ht="30" customHeight="1">
      <c r="A31" s="26" t="inlineStr">
        <is>
          <t>Q: What if producer goes bankrupt?</t>
        </is>
      </c>
      <c r="B31" s="27" t="inlineStr">
        <is>
          <t>Volume risk - gatherer has no MVC protection typically. Counter: producer needs gatherer to monetize gas.</t>
        </is>
      </c>
    </row>
    <row r="32" ht="30" customHeight="1">
      <c r="A32" s="26" t="inlineStr">
        <is>
          <t>Q: Why not longer hold period?</t>
        </is>
      </c>
      <c r="B32" s="27" t="inlineStr">
        <is>
          <t>Exit before steep decline. Y7 EBITDA &gt; Y10 EBITDA. Don't ride declining asset down.</t>
        </is>
      </c>
    </row>
    <row r="33" ht="30" customHeight="1">
      <c r="A33" s="26" t="inlineStr">
        <is>
          <t>Q: Commodity exposure?</t>
        </is>
      </c>
      <c r="B33" s="27" t="inlineStr">
        <is>
          <t>Fee-for-service = no direct commodity risk. But indirectly: low gas prices = less drilling = lower volumes.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8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Midstream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E62</f>
        <v/>
      </c>
    </row>
    <row r="5">
      <c r="A5" s="5" t="inlineStr">
        <is>
          <t>Avg CFADS (Y1-Y5)</t>
        </is>
      </c>
      <c r="B5" s="6" t="inlineStr">
        <is>
          <t>$mm</t>
        </is>
      </c>
      <c r="C5" s="6" t="inlineStr"/>
      <c r="D5" s="7">
        <f>AVERAGE(E68:I68)</f>
        <v/>
      </c>
    </row>
    <row r="6">
      <c r="A6" s="5" t="inlineStr">
        <is>
          <t>Min DSCR (Y1-Y5)</t>
        </is>
      </c>
      <c r="B6" s="6" t="inlineStr">
        <is>
          <t>x</t>
        </is>
      </c>
      <c r="C6" s="6" t="inlineStr"/>
      <c r="D6" s="28">
        <f>MIN(E79:I79)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/>
      <c r="D7" s="29">
        <f>D113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/>
      <c r="D8" s="28">
        <f>D114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/>
      <c r="D9" s="29">
        <f>D118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D103</f>
        <v/>
      </c>
    </row>
    <row r="12">
      <c r="A12" s="5" t="inlineStr">
        <is>
          <t>Debt Payoff Y5</t>
        </is>
      </c>
      <c r="B12" s="6" t="inlineStr"/>
      <c r="C12" s="6" t="inlineStr"/>
      <c r="D12" s="10">
        <f>IF(I78&lt;1,"PASS","FAIL")</f>
        <v/>
      </c>
    </row>
    <row r="13">
      <c r="A13" s="5" t="inlineStr">
        <is>
          <t>Min DSCR ≥ 1.25x</t>
        </is>
      </c>
      <c r="B13" s="6" t="inlineStr"/>
      <c r="C13" s="6" t="inlineStr"/>
      <c r="D13" s="10">
        <f>IF(D6&gt;=1.25,"PASS","FAIL")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85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30" t="n">
        <v>0.015</v>
      </c>
    </row>
    <row r="19">
      <c r="A19" s="5" t="inlineStr">
        <is>
          <t>Exit Multiple</t>
        </is>
      </c>
      <c r="B19" s="6" t="inlineStr">
        <is>
          <t>x</t>
        </is>
      </c>
      <c r="C19" s="6" t="inlineStr">
        <is>
          <t>Compressed for decline</t>
        </is>
      </c>
      <c r="D19" s="31" t="n">
        <v>6.5</v>
      </c>
    </row>
    <row r="20">
      <c r="A20" s="5" t="inlineStr">
        <is>
          <t>Exit Year</t>
        </is>
      </c>
      <c r="B20" s="6" t="inlineStr">
        <is>
          <t>#</t>
        </is>
      </c>
      <c r="C20" s="6" t="inlineStr">
        <is>
          <t>Hold period</t>
        </is>
      </c>
      <c r="D20" s="14" t="n">
        <v>7</v>
      </c>
    </row>
    <row r="22">
      <c r="A22" s="3" t="inlineStr">
        <is>
          <t>VOLUME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Y1 Volume</t>
        </is>
      </c>
      <c r="B23" s="6" t="inlineStr">
        <is>
          <t>MMcf/d</t>
        </is>
      </c>
      <c r="C23" s="6" t="inlineStr">
        <is>
          <t>Daily throughput</t>
        </is>
      </c>
      <c r="D23" s="14" t="n">
        <v>80</v>
      </c>
    </row>
    <row r="24">
      <c r="A24" s="5" t="inlineStr">
        <is>
          <t>Growth Rate Y1-Y5</t>
        </is>
      </c>
      <c r="B24" s="6" t="inlineStr">
        <is>
          <t>%/yr</t>
        </is>
      </c>
      <c r="C24" s="6" t="inlineStr">
        <is>
          <t>Drilling phase</t>
        </is>
      </c>
      <c r="D24" s="30" t="n">
        <v>0.03</v>
      </c>
    </row>
    <row r="25">
      <c r="A25" s="5" t="inlineStr">
        <is>
          <t>Decline Rate Y6-Y10</t>
        </is>
      </c>
      <c r="B25" s="6" t="inlineStr">
        <is>
          <t>%/yr</t>
        </is>
      </c>
      <c r="C25" s="6" t="inlineStr">
        <is>
          <t>Depletion phase</t>
        </is>
      </c>
      <c r="D25" s="30" t="n">
        <v>0.05</v>
      </c>
    </row>
    <row r="27">
      <c r="A27" s="3" t="inlineStr">
        <is>
          <t>PRICING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Total Fee</t>
        </is>
      </c>
      <c r="B28" s="6" t="inlineStr">
        <is>
          <t>$/Mcf</t>
        </is>
      </c>
      <c r="C28" s="6" t="inlineStr">
        <is>
          <t>Gathering + compression</t>
        </is>
      </c>
      <c r="D28" s="15" t="n">
        <v>0.55</v>
      </c>
    </row>
    <row r="29">
      <c r="A29" s="5" t="inlineStr">
        <is>
          <t>Fee Escalation</t>
        </is>
      </c>
      <c r="B29" s="6" t="inlineStr">
        <is>
          <t>%/yr</t>
        </is>
      </c>
      <c r="C29" s="6" t="inlineStr">
        <is>
          <t>Contract escalation</t>
        </is>
      </c>
      <c r="D29" s="30" t="n">
        <v>0.02</v>
      </c>
    </row>
    <row r="31">
      <c r="A31" s="3" t="inlineStr">
        <is>
          <t>COST INPUTS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A32" s="5" t="inlineStr">
        <is>
          <t>O&amp;M Y1</t>
        </is>
      </c>
      <c r="B32" s="6" t="inlineStr">
        <is>
          <t>$mm</t>
        </is>
      </c>
      <c r="C32" s="6" t="inlineStr">
        <is>
          <t>Operating costs</t>
        </is>
      </c>
      <c r="D32" s="11" t="n">
        <v>3.5</v>
      </c>
    </row>
    <row r="33">
      <c r="A33" s="5" t="inlineStr">
        <is>
          <t>O&amp;M Escalation</t>
        </is>
      </c>
      <c r="B33" s="6" t="inlineStr">
        <is>
          <t>%/yr</t>
        </is>
      </c>
      <c r="C33" s="6" t="inlineStr">
        <is>
          <t>Cost escalation</t>
        </is>
      </c>
      <c r="D33" s="30" t="n">
        <v>0.025</v>
      </c>
    </row>
    <row r="34">
      <c r="A34" s="5" t="inlineStr">
        <is>
          <t>Growth Capex Y1-Y5</t>
        </is>
      </c>
      <c r="B34" s="6" t="inlineStr">
        <is>
          <t>$mm/yr</t>
        </is>
      </c>
      <c r="C34" s="6" t="inlineStr">
        <is>
          <t>Compression, looping</t>
        </is>
      </c>
      <c r="D34" s="11" t="n">
        <v>2</v>
      </c>
    </row>
    <row r="36">
      <c r="A36" s="3" t="inlineStr">
        <is>
          <t>FINANCING INPUTS</t>
        </is>
      </c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</row>
    <row r="37">
      <c r="A37" s="5" t="inlineStr">
        <is>
          <t>Leverage</t>
        </is>
      </c>
      <c r="B37" s="6" t="inlineStr">
        <is>
          <t>%</t>
        </is>
      </c>
      <c r="C37" s="6" t="inlineStr">
        <is>
          <t>Debt / Entry EV</t>
        </is>
      </c>
      <c r="D37" s="30" t="n">
        <v>0.3</v>
      </c>
    </row>
    <row r="38">
      <c r="A38" s="5" t="inlineStr">
        <is>
          <t>Interest Rate</t>
        </is>
      </c>
      <c r="B38" s="6" t="inlineStr">
        <is>
          <t>%</t>
        </is>
      </c>
      <c r="C38" s="6" t="inlineStr">
        <is>
          <t>Higher (basin risk)</t>
        </is>
      </c>
      <c r="D38" s="30" t="n">
        <v>0.07000000000000001</v>
      </c>
    </row>
    <row r="39">
      <c r="A39" s="5" t="inlineStr">
        <is>
          <t>Debt Tenor</t>
        </is>
      </c>
      <c r="B39" s="6" t="inlineStr">
        <is>
          <t>years</t>
        </is>
      </c>
      <c r="C39" s="6" t="inlineStr">
        <is>
          <t>Short - pre-decline</t>
        </is>
      </c>
      <c r="D39" s="14" t="n">
        <v>5</v>
      </c>
    </row>
    <row r="40">
      <c r="A40" s="5" t="inlineStr">
        <is>
          <t>DSRA Months</t>
        </is>
      </c>
      <c r="B40" s="6" t="inlineStr">
        <is>
          <t>months</t>
        </is>
      </c>
      <c r="C40" s="6" t="inlineStr">
        <is>
          <t>Debt service reserve</t>
        </is>
      </c>
      <c r="D40" s="14" t="n">
        <v>6</v>
      </c>
    </row>
    <row r="41">
      <c r="A41" s="5" t="inlineStr">
        <is>
          <t>Cash Sweep %</t>
        </is>
      </c>
      <c r="B41" s="6" t="inlineStr">
        <is>
          <t>%</t>
        </is>
      </c>
      <c r="C41" s="6" t="inlineStr">
        <is>
          <t>Aggressive paydown</t>
        </is>
      </c>
      <c r="D41" s="30" t="n">
        <v>0.75</v>
      </c>
    </row>
    <row r="42">
      <c r="A42" s="5" t="inlineStr">
        <is>
          <t>Lock-up DSCR</t>
        </is>
      </c>
      <c r="B42" s="6" t="inlineStr">
        <is>
          <t>x</t>
        </is>
      </c>
      <c r="C42" s="6" t="inlineStr">
        <is>
          <t>Distribution threshold</t>
        </is>
      </c>
      <c r="D42" s="31" t="n">
        <v>1.1</v>
      </c>
    </row>
    <row r="44">
      <c r="A44" s="3" t="inlineStr">
        <is>
          <t>TAX INPUTS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</row>
    <row r="45">
      <c r="A45" s="5" t="inlineStr">
        <is>
          <t>Tax Rate</t>
        </is>
      </c>
      <c r="B45" s="6" t="inlineStr">
        <is>
          <t>%</t>
        </is>
      </c>
      <c r="C45" s="6" t="inlineStr">
        <is>
          <t>Blended federal + state</t>
        </is>
      </c>
      <c r="D45" s="30" t="n">
        <v>0.25</v>
      </c>
    </row>
    <row r="46">
      <c r="A46" s="5" t="inlineStr">
        <is>
          <t>Depreciable Basis</t>
        </is>
      </c>
      <c r="B46" s="6" t="inlineStr">
        <is>
          <t>%</t>
        </is>
      </c>
      <c r="C46" s="6" t="inlineStr">
        <is>
          <t>% of EV for depreciation</t>
        </is>
      </c>
      <c r="D46" s="30" t="n">
        <v>0.8</v>
      </c>
    </row>
    <row r="47">
      <c r="A47" s="5" t="inlineStr">
        <is>
          <t>Depreciation Life</t>
        </is>
      </c>
      <c r="B47" s="6" t="inlineStr">
        <is>
          <t>years</t>
        </is>
      </c>
      <c r="C47" s="6" t="inlineStr">
        <is>
          <t>Straight-line</t>
        </is>
      </c>
      <c r="D47" s="14" t="n">
        <v>15</v>
      </c>
    </row>
    <row r="49">
      <c r="A49" s="3" t="inlineStr">
        <is>
          <t>CALCULATED ITEMS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5" t="inlineStr">
        <is>
          <t>Debt Amount</t>
        </is>
      </c>
      <c r="B50" s="6" t="inlineStr">
        <is>
          <t>$mm</t>
        </is>
      </c>
      <c r="C50" s="6" t="inlineStr">
        <is>
          <t>Entry EV × Leverage</t>
        </is>
      </c>
      <c r="D50" s="16">
        <f>$D$17*$D$37</f>
        <v/>
      </c>
    </row>
    <row r="51">
      <c r="A51" s="5" t="inlineStr">
        <is>
          <t>Annual Depreciation</t>
        </is>
      </c>
      <c r="B51" s="6" t="inlineStr">
        <is>
          <t>$mm</t>
        </is>
      </c>
      <c r="C51" s="6" t="inlineStr">
        <is>
          <t>EV × Basis / Life</t>
        </is>
      </c>
      <c r="D51" s="16">
        <f>$D$17*$D$46/$D$47</f>
        <v/>
      </c>
    </row>
    <row r="52">
      <c r="A52" s="5" t="inlineStr">
        <is>
          <t>Scheduled Principal</t>
        </is>
      </c>
      <c r="B52" s="6" t="inlineStr">
        <is>
          <t>$mm/yr</t>
        </is>
      </c>
      <c r="C52" s="6" t="inlineStr">
        <is>
          <t>Debt / Tenor</t>
        </is>
      </c>
      <c r="D52" s="16">
        <f>$D$50/$D$39</f>
        <v/>
      </c>
    </row>
    <row r="54">
      <c r="A54" s="3" t="inlineStr">
        <is>
          <t>OPERATING MODEL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Daily Volume</t>
        </is>
      </c>
      <c r="B55" s="6" t="inlineStr">
        <is>
          <t>MMcf/d</t>
        </is>
      </c>
      <c r="C55" s="6" t="inlineStr">
        <is>
          <t>Growth then decline</t>
        </is>
      </c>
      <c r="E55" s="17">
        <f>$D$23*(1+$D$24)^(1-1)</f>
        <v/>
      </c>
      <c r="F55" s="17">
        <f>$D$23*(1+$D$24)^(2-1)</f>
        <v/>
      </c>
      <c r="G55" s="17">
        <f>$D$23*(1+$D$24)^(3-1)</f>
        <v/>
      </c>
      <c r="H55" s="17">
        <f>$D$23*(1+$D$24)^(4-1)</f>
        <v/>
      </c>
      <c r="I55" s="17">
        <f>$D$23*(1+$D$24)^(5-1)</f>
        <v/>
      </c>
      <c r="J55" s="17">
        <f>$D$23*(1+$D$24)^4*(1-$D$25)^(6-5)</f>
        <v/>
      </c>
      <c r="K55" s="17">
        <f>$D$23*(1+$D$24)^4*(1-$D$25)^(7-5)</f>
        <v/>
      </c>
      <c r="L55" s="17">
        <f>$D$23*(1+$D$24)^4*(1-$D$25)^(8-5)</f>
        <v/>
      </c>
      <c r="M55" s="17">
        <f>$D$23*(1+$D$24)^4*(1-$D$25)^(9-5)</f>
        <v/>
      </c>
      <c r="N55" s="17">
        <f>$D$23*(1+$D$24)^4*(1-$D$25)^(10-5)</f>
        <v/>
      </c>
    </row>
    <row r="56">
      <c r="A56" s="5" t="inlineStr">
        <is>
          <t>Annual Volume</t>
        </is>
      </c>
      <c r="B56" s="6" t="inlineStr">
        <is>
          <t>Bcf</t>
        </is>
      </c>
      <c r="C56" s="6" t="inlineStr">
        <is>
          <t>Daily × 365 / 1000</t>
        </is>
      </c>
      <c r="E56" s="17">
        <f>E55*365/1000</f>
        <v/>
      </c>
      <c r="F56" s="17">
        <f>F55*365/1000</f>
        <v/>
      </c>
      <c r="G56" s="17">
        <f>G55*365/1000</f>
        <v/>
      </c>
      <c r="H56" s="17">
        <f>H55*365/1000</f>
        <v/>
      </c>
      <c r="I56" s="17">
        <f>I55*365/1000</f>
        <v/>
      </c>
      <c r="J56" s="17">
        <f>J55*365/1000</f>
        <v/>
      </c>
      <c r="K56" s="17">
        <f>K55*365/1000</f>
        <v/>
      </c>
      <c r="L56" s="17">
        <f>L55*365/1000</f>
        <v/>
      </c>
      <c r="M56" s="17">
        <f>M55*365/1000</f>
        <v/>
      </c>
      <c r="N56" s="17">
        <f>N55*365/1000</f>
        <v/>
      </c>
    </row>
    <row r="57">
      <c r="A57" s="5" t="inlineStr">
        <is>
          <t>Fee</t>
        </is>
      </c>
      <c r="B57" s="6" t="inlineStr">
        <is>
          <t>$/Mcf</t>
        </is>
      </c>
      <c r="C57" s="6" t="inlineStr">
        <is>
          <t>Escalated</t>
        </is>
      </c>
      <c r="E57" s="18">
        <f>$D$28*(1+$D$29)^(1-1)</f>
        <v/>
      </c>
      <c r="F57" s="18">
        <f>$D$28*(1+$D$29)^(2-1)</f>
        <v/>
      </c>
      <c r="G57" s="18">
        <f>$D$28*(1+$D$29)^(3-1)</f>
        <v/>
      </c>
      <c r="H57" s="18">
        <f>$D$28*(1+$D$29)^(4-1)</f>
        <v/>
      </c>
      <c r="I57" s="18">
        <f>$D$28*(1+$D$29)^(5-1)</f>
        <v/>
      </c>
      <c r="J57" s="18">
        <f>$D$28*(1+$D$29)^(6-1)</f>
        <v/>
      </c>
      <c r="K57" s="18">
        <f>$D$28*(1+$D$29)^(7-1)</f>
        <v/>
      </c>
      <c r="L57" s="18">
        <f>$D$28*(1+$D$29)^(8-1)</f>
        <v/>
      </c>
      <c r="M57" s="18">
        <f>$D$28*(1+$D$29)^(9-1)</f>
        <v/>
      </c>
      <c r="N57" s="18">
        <f>$D$28*(1+$D$29)^(10-1)</f>
        <v/>
      </c>
    </row>
    <row r="59">
      <c r="A59" s="5" t="inlineStr">
        <is>
          <t>Revenue</t>
        </is>
      </c>
      <c r="B59" s="6" t="inlineStr">
        <is>
          <t>$mm</t>
        </is>
      </c>
      <c r="C59" s="6" t="inlineStr">
        <is>
          <t>Volume(Bcf) × Fee × 1000</t>
        </is>
      </c>
      <c r="E59" s="16">
        <f>E56*E57*1000</f>
        <v/>
      </c>
      <c r="F59" s="16">
        <f>F56*F57*1000</f>
        <v/>
      </c>
      <c r="G59" s="16">
        <f>G56*G57*1000</f>
        <v/>
      </c>
      <c r="H59" s="16">
        <f>H56*H57*1000</f>
        <v/>
      </c>
      <c r="I59" s="16">
        <f>I56*I57*1000</f>
        <v/>
      </c>
      <c r="J59" s="16">
        <f>J56*J57*1000</f>
        <v/>
      </c>
      <c r="K59" s="16">
        <f>K56*K57*1000</f>
        <v/>
      </c>
      <c r="L59" s="16">
        <f>L56*L57*1000</f>
        <v/>
      </c>
      <c r="M59" s="16">
        <f>M56*M57*1000</f>
        <v/>
      </c>
      <c r="N59" s="16">
        <f>N56*N57*1000</f>
        <v/>
      </c>
    </row>
    <row r="60">
      <c r="A60" s="5" t="inlineStr">
        <is>
          <t>O&amp;M Cost</t>
        </is>
      </c>
      <c r="B60" s="6" t="inlineStr">
        <is>
          <t>$mm</t>
        </is>
      </c>
      <c r="C60" s="6" t="inlineStr">
        <is>
          <t>Escalated</t>
        </is>
      </c>
      <c r="E60" s="16">
        <f>$D$32*(1+$D$33)^(1-1)</f>
        <v/>
      </c>
      <c r="F60" s="16">
        <f>$D$32*(1+$D$33)^(2-1)</f>
        <v/>
      </c>
      <c r="G60" s="16">
        <f>$D$32*(1+$D$33)^(3-1)</f>
        <v/>
      </c>
      <c r="H60" s="16">
        <f>$D$32*(1+$D$33)^(4-1)</f>
        <v/>
      </c>
      <c r="I60" s="16">
        <f>$D$32*(1+$D$33)^(5-1)</f>
        <v/>
      </c>
      <c r="J60" s="16">
        <f>$D$32*(1+$D$33)^(6-1)</f>
        <v/>
      </c>
      <c r="K60" s="16">
        <f>$D$32*(1+$D$33)^(7-1)</f>
        <v/>
      </c>
      <c r="L60" s="16">
        <f>$D$32*(1+$D$33)^(8-1)</f>
        <v/>
      </c>
      <c r="M60" s="16">
        <f>$D$32*(1+$D$33)^(9-1)</f>
        <v/>
      </c>
      <c r="N60" s="16">
        <f>$D$32*(1+$D$33)^(10-1)</f>
        <v/>
      </c>
    </row>
    <row r="62">
      <c r="A62" s="5" t="inlineStr">
        <is>
          <t>EBITDA</t>
        </is>
      </c>
      <c r="B62" s="6" t="inlineStr">
        <is>
          <t>$mm</t>
        </is>
      </c>
      <c r="C62" s="6" t="inlineStr"/>
      <c r="E62" s="7">
        <f>E59-E60</f>
        <v/>
      </c>
      <c r="F62" s="7">
        <f>F59-F60</f>
        <v/>
      </c>
      <c r="G62" s="7">
        <f>G59-G60</f>
        <v/>
      </c>
      <c r="H62" s="7">
        <f>H59-H60</f>
        <v/>
      </c>
      <c r="I62" s="7">
        <f>I59-I60</f>
        <v/>
      </c>
      <c r="J62" s="7">
        <f>J59-J60</f>
        <v/>
      </c>
      <c r="K62" s="7">
        <f>K59-K60</f>
        <v/>
      </c>
      <c r="L62" s="7">
        <f>L59-L60</f>
        <v/>
      </c>
      <c r="M62" s="7">
        <f>M59-M60</f>
        <v/>
      </c>
      <c r="N62" s="7">
        <f>N59-N60</f>
        <v/>
      </c>
    </row>
    <row r="64">
      <c r="A64" s="3" t="inlineStr">
        <is>
          <t>CASH FLOW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EBIT</t>
        </is>
      </c>
      <c r="B65" s="6" t="inlineStr">
        <is>
          <t>$mm</t>
        </is>
      </c>
      <c r="C65" s="6" t="inlineStr">
        <is>
          <t>EBITDA - Depreciation</t>
        </is>
      </c>
      <c r="E65" s="16">
        <f>E62-$D$51</f>
        <v/>
      </c>
      <c r="F65" s="16">
        <f>F62-$D$51</f>
        <v/>
      </c>
      <c r="G65" s="16">
        <f>G62-$D$51</f>
        <v/>
      </c>
      <c r="H65" s="16">
        <f>H62-$D$51</f>
        <v/>
      </c>
      <c r="I65" s="16">
        <f>I62-$D$51</f>
        <v/>
      </c>
      <c r="J65" s="16">
        <f>J62-$D$51</f>
        <v/>
      </c>
      <c r="K65" s="16">
        <f>K62-$D$51</f>
        <v/>
      </c>
      <c r="L65" s="16">
        <f>L62-$D$51</f>
        <v/>
      </c>
      <c r="M65" s="16">
        <f>M62-$D$51</f>
        <v/>
      </c>
      <c r="N65" s="16">
        <f>N62-$D$51</f>
        <v/>
      </c>
    </row>
    <row r="66">
      <c r="A66" s="5" t="inlineStr">
        <is>
          <t>Taxes</t>
        </is>
      </c>
      <c r="B66" s="6" t="inlineStr">
        <is>
          <t>$mm</t>
        </is>
      </c>
      <c r="C66" s="6" t="inlineStr">
        <is>
          <t>MAX(0, EBIT) × Tax Rate</t>
        </is>
      </c>
      <c r="E66" s="16">
        <f>MAX(0,E65)*$D$45</f>
        <v/>
      </c>
      <c r="F66" s="16">
        <f>MAX(0,F65)*$D$45</f>
        <v/>
      </c>
      <c r="G66" s="16">
        <f>MAX(0,G65)*$D$45</f>
        <v/>
      </c>
      <c r="H66" s="16">
        <f>MAX(0,H65)*$D$45</f>
        <v/>
      </c>
      <c r="I66" s="16">
        <f>MAX(0,I65)*$D$45</f>
        <v/>
      </c>
      <c r="J66" s="16">
        <f>MAX(0,J65)*$D$45</f>
        <v/>
      </c>
      <c r="K66" s="16">
        <f>MAX(0,K65)*$D$45</f>
        <v/>
      </c>
      <c r="L66" s="16">
        <f>MAX(0,L65)*$D$45</f>
        <v/>
      </c>
      <c r="M66" s="16">
        <f>MAX(0,M65)*$D$45</f>
        <v/>
      </c>
      <c r="N66" s="16">
        <f>MAX(0,N65)*$D$45</f>
        <v/>
      </c>
    </row>
    <row r="67">
      <c r="A67" s="5" t="inlineStr">
        <is>
          <t>Growth Capex</t>
        </is>
      </c>
      <c r="B67" s="6" t="inlineStr">
        <is>
          <t>$mm</t>
        </is>
      </c>
      <c r="C67" s="6" t="inlineStr">
        <is>
          <t>Y1-Y5 only</t>
        </is>
      </c>
      <c r="E67" s="19">
        <f>IF(1&lt;=5,$D$34,0)</f>
        <v/>
      </c>
      <c r="F67" s="19">
        <f>IF(2&lt;=5,$D$34,0)</f>
        <v/>
      </c>
      <c r="G67" s="19">
        <f>IF(3&lt;=5,$D$34,0)</f>
        <v/>
      </c>
      <c r="H67" s="19">
        <f>IF(4&lt;=5,$D$34,0)</f>
        <v/>
      </c>
      <c r="I67" s="19">
        <f>IF(5&lt;=5,$D$34,0)</f>
        <v/>
      </c>
      <c r="J67" s="19">
        <f>IF(6&lt;=5,$D$34,0)</f>
        <v/>
      </c>
      <c r="K67" s="19">
        <f>IF(7&lt;=5,$D$34,0)</f>
        <v/>
      </c>
      <c r="L67" s="19">
        <f>IF(8&lt;=5,$D$34,0)</f>
        <v/>
      </c>
      <c r="M67" s="19">
        <f>IF(9&lt;=5,$D$34,0)</f>
        <v/>
      </c>
      <c r="N67" s="19">
        <f>IF(10&lt;=5,$D$34,0)</f>
        <v/>
      </c>
    </row>
    <row r="68">
      <c r="A68" s="5" t="inlineStr">
        <is>
          <t>CFADS</t>
        </is>
      </c>
      <c r="B68" s="6" t="inlineStr">
        <is>
          <t>$mm</t>
        </is>
      </c>
      <c r="C68" s="6" t="inlineStr">
        <is>
          <t>EBITDA - Taxes - Capex</t>
        </is>
      </c>
      <c r="E68" s="7">
        <f>E62-E66-E67</f>
        <v/>
      </c>
      <c r="F68" s="7">
        <f>F62-F66-F67</f>
        <v/>
      </c>
      <c r="G68" s="7">
        <f>G62-G66-G67</f>
        <v/>
      </c>
      <c r="H68" s="7">
        <f>H62-H66-H67</f>
        <v/>
      </c>
      <c r="I68" s="7">
        <f>I62-I66-I67</f>
        <v/>
      </c>
      <c r="J68" s="7">
        <f>J62-J66-J67</f>
        <v/>
      </c>
      <c r="K68" s="7">
        <f>K62-K66-K67</f>
        <v/>
      </c>
      <c r="L68" s="7">
        <f>L62-L66-L67</f>
        <v/>
      </c>
      <c r="M68" s="7">
        <f>M62-M66-M67</f>
        <v/>
      </c>
      <c r="N68" s="7">
        <f>N62-N66-N67</f>
        <v/>
      </c>
    </row>
    <row r="70">
      <c r="A70" s="3" t="inlineStr">
        <is>
          <t>DEBT SCHEDULE (75% Sweep, 5-Year Tenor)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</row>
    <row r="71">
      <c r="A71" s="5" t="inlineStr">
        <is>
          <t>Beginning Balance</t>
        </is>
      </c>
      <c r="B71" s="6" t="inlineStr">
        <is>
          <t>$mm</t>
        </is>
      </c>
      <c r="C71" s="6" t="inlineStr"/>
      <c r="E71" s="16">
        <f>$D$50</f>
        <v/>
      </c>
      <c r="F71" s="16">
        <f>E78</f>
        <v/>
      </c>
      <c r="G71" s="16">
        <f>F78</f>
        <v/>
      </c>
      <c r="H71" s="16">
        <f>G78</f>
        <v/>
      </c>
      <c r="I71" s="16">
        <f>H78</f>
        <v/>
      </c>
      <c r="J71" s="16">
        <f>I78</f>
        <v/>
      </c>
      <c r="K71" s="16">
        <f>J78</f>
        <v/>
      </c>
      <c r="L71" s="16">
        <f>K78</f>
        <v/>
      </c>
      <c r="M71" s="16">
        <f>L78</f>
        <v/>
      </c>
      <c r="N71" s="16">
        <f>M78</f>
        <v/>
      </c>
    </row>
    <row r="72">
      <c r="A72" s="5" t="inlineStr">
        <is>
          <t>Interest</t>
        </is>
      </c>
      <c r="B72" s="6" t="inlineStr">
        <is>
          <t>$mm</t>
        </is>
      </c>
      <c r="C72" s="6" t="inlineStr">
        <is>
          <t>Beg Bal × Int Rate</t>
        </is>
      </c>
      <c r="E72" s="16">
        <f>E71*$D$38</f>
        <v/>
      </c>
      <c r="F72" s="16">
        <f>F71*$D$38</f>
        <v/>
      </c>
      <c r="G72" s="16">
        <f>G71*$D$38</f>
        <v/>
      </c>
      <c r="H72" s="16">
        <f>H71*$D$38</f>
        <v/>
      </c>
      <c r="I72" s="16">
        <f>I71*$D$38</f>
        <v/>
      </c>
      <c r="J72" s="16">
        <f>J71*$D$38</f>
        <v/>
      </c>
      <c r="K72" s="16">
        <f>K71*$D$38</f>
        <v/>
      </c>
      <c r="L72" s="16">
        <f>L71*$D$38</f>
        <v/>
      </c>
      <c r="M72" s="16">
        <f>M71*$D$38</f>
        <v/>
      </c>
      <c r="N72" s="16">
        <f>N71*$D$38</f>
        <v/>
      </c>
    </row>
    <row r="73">
      <c r="A73" s="5" t="inlineStr">
        <is>
          <t>Scheduled Principal</t>
        </is>
      </c>
      <c r="B73" s="6" t="inlineStr">
        <is>
          <t>$mm</t>
        </is>
      </c>
      <c r="C73" s="6" t="inlineStr">
        <is>
          <t>MIN(Sched, Beg Bal)</t>
        </is>
      </c>
      <c r="E73" s="16">
        <f>MIN($D$52,E71)</f>
        <v/>
      </c>
      <c r="F73" s="16">
        <f>MIN($D$52,F71)</f>
        <v/>
      </c>
      <c r="G73" s="16">
        <f>MIN($D$52,G71)</f>
        <v/>
      </c>
      <c r="H73" s="16">
        <f>MIN($D$52,H71)</f>
        <v/>
      </c>
      <c r="I73" s="16">
        <f>MIN($D$52,I71)</f>
        <v/>
      </c>
      <c r="J73" s="16">
        <f>MIN($D$52,J71)</f>
        <v/>
      </c>
      <c r="K73" s="16">
        <f>MIN($D$52,K71)</f>
        <v/>
      </c>
      <c r="L73" s="16">
        <f>MIN($D$52,L71)</f>
        <v/>
      </c>
      <c r="M73" s="16">
        <f>MIN($D$52,M71)</f>
        <v/>
      </c>
      <c r="N73" s="16">
        <f>MIN($D$52,N71)</f>
        <v/>
      </c>
    </row>
    <row r="74">
      <c r="A74" s="5" t="inlineStr">
        <is>
          <t>Debt Service (Pre-Sweep)</t>
        </is>
      </c>
      <c r="B74" s="6" t="inlineStr">
        <is>
          <t>$mm</t>
        </is>
      </c>
      <c r="C74" s="6" t="inlineStr">
        <is>
          <t>Interest + Sched Prin</t>
        </is>
      </c>
      <c r="E74" s="16">
        <f>E72+E73</f>
        <v/>
      </c>
      <c r="F74" s="16">
        <f>F72+F73</f>
        <v/>
      </c>
      <c r="G74" s="16">
        <f>G72+G73</f>
        <v/>
      </c>
      <c r="H74" s="16">
        <f>H72+H73</f>
        <v/>
      </c>
      <c r="I74" s="16">
        <f>I72+I73</f>
        <v/>
      </c>
      <c r="J74" s="16">
        <f>J72+J73</f>
        <v/>
      </c>
      <c r="K74" s="16">
        <f>K72+K73</f>
        <v/>
      </c>
      <c r="L74" s="16">
        <f>L72+L73</f>
        <v/>
      </c>
      <c r="M74" s="16">
        <f>M72+M73</f>
        <v/>
      </c>
      <c r="N74" s="16">
        <f>N72+N73</f>
        <v/>
      </c>
    </row>
    <row r="75">
      <c r="A75" s="5" t="inlineStr">
        <is>
          <t>Excess Cash</t>
        </is>
      </c>
      <c r="B75" s="6" t="inlineStr">
        <is>
          <t>$mm</t>
        </is>
      </c>
      <c r="C75" s="6" t="inlineStr">
        <is>
          <t>CFADS - DS - DSRA Funding</t>
        </is>
      </c>
      <c r="E75" s="16">
        <f>MAX(0,E68-E74-E84)</f>
        <v/>
      </c>
      <c r="F75" s="16">
        <f>MAX(0,F68-F74-F84)</f>
        <v/>
      </c>
      <c r="G75" s="16">
        <f>MAX(0,G68-G74-G84)</f>
        <v/>
      </c>
      <c r="H75" s="16">
        <f>MAX(0,H68-H74-H84)</f>
        <v/>
      </c>
      <c r="I75" s="16">
        <f>MAX(0,I68-I74-I84)</f>
        <v/>
      </c>
      <c r="J75" s="16">
        <f>MAX(0,J68-J74-J84)</f>
        <v/>
      </c>
      <c r="K75" s="16">
        <f>MAX(0,K68-K74-K84)</f>
        <v/>
      </c>
      <c r="L75" s="16">
        <f>MAX(0,L68-L74-L84)</f>
        <v/>
      </c>
      <c r="M75" s="16">
        <f>MAX(0,M68-M74-M84)</f>
        <v/>
      </c>
      <c r="N75" s="16">
        <f>MAX(0,N68-N74-N84)</f>
        <v/>
      </c>
    </row>
    <row r="76">
      <c r="A76" s="5" t="inlineStr">
        <is>
          <t>Cash Sweep</t>
        </is>
      </c>
      <c r="B76" s="6" t="inlineStr">
        <is>
          <t>$mm</t>
        </is>
      </c>
      <c r="C76" s="6" t="inlineStr">
        <is>
          <t>MIN(Excess×75%, Beg-Sched)</t>
        </is>
      </c>
      <c r="E76" s="19">
        <f>MIN(MAX(0,E75)*$D$41,MAX(0,E71-E73))</f>
        <v/>
      </c>
      <c r="F76" s="19">
        <f>MIN(MAX(0,F75)*$D$41,MAX(0,F71-F73))</f>
        <v/>
      </c>
      <c r="G76" s="19">
        <f>MIN(MAX(0,G75)*$D$41,MAX(0,G71-G73))</f>
        <v/>
      </c>
      <c r="H76" s="19">
        <f>MIN(MAX(0,H75)*$D$41,MAX(0,H71-H73))</f>
        <v/>
      </c>
      <c r="I76" s="19">
        <f>MIN(MAX(0,I75)*$D$41,MAX(0,I71-I73))</f>
        <v/>
      </c>
      <c r="J76" s="19">
        <f>MIN(MAX(0,J75)*$D$41,MAX(0,J71-J73))</f>
        <v/>
      </c>
      <c r="K76" s="19">
        <f>MIN(MAX(0,K75)*$D$41,MAX(0,K71-K73))</f>
        <v/>
      </c>
      <c r="L76" s="19">
        <f>MIN(MAX(0,L75)*$D$41,MAX(0,L71-L73))</f>
        <v/>
      </c>
      <c r="M76" s="19">
        <f>MIN(MAX(0,M75)*$D$41,MAX(0,M71-M73))</f>
        <v/>
      </c>
      <c r="N76" s="19">
        <f>MIN(MAX(0,N75)*$D$41,MAX(0,N71-N73))</f>
        <v/>
      </c>
    </row>
    <row r="77">
      <c r="A77" s="5" t="inlineStr">
        <is>
          <t>Total Principal</t>
        </is>
      </c>
      <c r="B77" s="6" t="inlineStr">
        <is>
          <t>$mm</t>
        </is>
      </c>
      <c r="C77" s="6" t="inlineStr">
        <is>
          <t>Scheduled + Sweep</t>
        </is>
      </c>
      <c r="E77" s="16">
        <f>E73+E76</f>
        <v/>
      </c>
      <c r="F77" s="16">
        <f>F73+F76</f>
        <v/>
      </c>
      <c r="G77" s="16">
        <f>G73+G76</f>
        <v/>
      </c>
      <c r="H77" s="16">
        <f>H73+H76</f>
        <v/>
      </c>
      <c r="I77" s="16">
        <f>I73+I76</f>
        <v/>
      </c>
      <c r="J77" s="16">
        <f>J73+J76</f>
        <v/>
      </c>
      <c r="K77" s="16">
        <f>K73+K76</f>
        <v/>
      </c>
      <c r="L77" s="16">
        <f>L73+L76</f>
        <v/>
      </c>
      <c r="M77" s="16">
        <f>M73+M76</f>
        <v/>
      </c>
      <c r="N77" s="16">
        <f>N73+N76</f>
        <v/>
      </c>
    </row>
    <row r="78">
      <c r="A78" s="5" t="inlineStr">
        <is>
          <t>Ending Balance</t>
        </is>
      </c>
      <c r="B78" s="6" t="inlineStr">
        <is>
          <t>$mm</t>
        </is>
      </c>
      <c r="C78" s="6" t="inlineStr">
        <is>
          <t>MAX(0, Beg - Total Prin)</t>
        </is>
      </c>
      <c r="E78" s="16">
        <f>MAX(0,E71-E77)</f>
        <v/>
      </c>
      <c r="F78" s="16">
        <f>MAX(0,F71-F77)</f>
        <v/>
      </c>
      <c r="G78" s="16">
        <f>MAX(0,G71-G77)</f>
        <v/>
      </c>
      <c r="H78" s="16">
        <f>MAX(0,H71-H77)</f>
        <v/>
      </c>
      <c r="I78" s="16">
        <f>MAX(0,I71-I77)</f>
        <v/>
      </c>
      <c r="J78" s="16">
        <f>MAX(0,J71-J77)</f>
        <v/>
      </c>
      <c r="K78" s="16">
        <f>MAX(0,K71-K77)</f>
        <v/>
      </c>
      <c r="L78" s="16">
        <f>MAX(0,L71-L77)</f>
        <v/>
      </c>
      <c r="M78" s="16">
        <f>MAX(0,M71-M77)</f>
        <v/>
      </c>
      <c r="N78" s="16">
        <f>MAX(0,N71-N77)</f>
        <v/>
      </c>
    </row>
    <row r="79">
      <c r="A79" s="5" t="inlineStr">
        <is>
          <t>DSCR</t>
        </is>
      </c>
      <c r="B79" s="6" t="inlineStr">
        <is>
          <t>x</t>
        </is>
      </c>
      <c r="C79" s="6" t="inlineStr">
        <is>
          <t>CFADS / Debt Service</t>
        </is>
      </c>
      <c r="E79" s="28">
        <f>IF(E74&gt;0,E68/E74,0)</f>
        <v/>
      </c>
      <c r="F79" s="28">
        <f>IF(F74&gt;0,F68/F74,0)</f>
        <v/>
      </c>
      <c r="G79" s="28">
        <f>IF(G74&gt;0,G68/G74,0)</f>
        <v/>
      </c>
      <c r="H79" s="28">
        <f>IF(H74&gt;0,H68/H74,0)</f>
        <v/>
      </c>
      <c r="I79" s="28">
        <f>IF(I74&gt;0,I68/I74,0)</f>
        <v/>
      </c>
      <c r="J79" s="28">
        <f>IF(J74&gt;0,J68/J74,0)</f>
        <v/>
      </c>
      <c r="K79" s="28">
        <f>IF(K74&gt;0,K68/K74,0)</f>
        <v/>
      </c>
      <c r="L79" s="28">
        <f>IF(L74&gt;0,L68/L74,0)</f>
        <v/>
      </c>
      <c r="M79" s="28">
        <f>IF(M74&gt;0,M68/M74,0)</f>
        <v/>
      </c>
      <c r="N79" s="28">
        <f>IF(N74&gt;0,N68/N74,0)</f>
        <v/>
      </c>
    </row>
    <row r="81">
      <c r="A81" s="3" t="inlineStr">
        <is>
          <t>DSRA (Debt Service Reserve Account)</t>
        </is>
      </c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</row>
    <row r="82">
      <c r="A82" s="5" t="inlineStr">
        <is>
          <t>DSRA Target</t>
        </is>
      </c>
      <c r="B82" s="6" t="inlineStr">
        <is>
          <t>$mm</t>
        </is>
      </c>
      <c r="C82" s="6" t="inlineStr">
        <is>
          <t>Next Yr DS × DSRA Months / 12</t>
        </is>
      </c>
      <c r="D82" s="16">
        <f>E74*$D$40/12</f>
        <v/>
      </c>
      <c r="E82" s="16">
        <f>F74*$D$40/12</f>
        <v/>
      </c>
      <c r="F82" s="16">
        <f>G74*$D$40/12</f>
        <v/>
      </c>
      <c r="G82" s="16">
        <f>H74*$D$40/12</f>
        <v/>
      </c>
      <c r="H82" s="16">
        <f>I74*$D$40/12</f>
        <v/>
      </c>
      <c r="I82" s="16">
        <f>J74*$D$40/12</f>
        <v/>
      </c>
      <c r="J82" s="16">
        <f>K74*$D$40/12</f>
        <v/>
      </c>
      <c r="K82" s="16">
        <f>L74*$D$40/12</f>
        <v/>
      </c>
      <c r="L82" s="16">
        <f>M74*$D$40/12</f>
        <v/>
      </c>
      <c r="M82" s="16">
        <f>N74*$D$40/12</f>
        <v/>
      </c>
      <c r="N82" s="16">
        <f>0</f>
        <v/>
      </c>
    </row>
    <row r="83">
      <c r="A83" s="5" t="inlineStr">
        <is>
          <t>DSRA Beginning</t>
        </is>
      </c>
      <c r="B83" s="6" t="inlineStr">
        <is>
          <t>$mm</t>
        </is>
      </c>
      <c r="C83" s="6" t="inlineStr"/>
      <c r="D83" s="16">
        <f>0</f>
        <v/>
      </c>
      <c r="E83" s="16">
        <f>D85</f>
        <v/>
      </c>
      <c r="F83" s="16">
        <f>E85</f>
        <v/>
      </c>
      <c r="G83" s="16">
        <f>F85</f>
        <v/>
      </c>
      <c r="H83" s="16">
        <f>G85</f>
        <v/>
      </c>
      <c r="I83" s="16">
        <f>H85</f>
        <v/>
      </c>
      <c r="J83" s="16">
        <f>I85</f>
        <v/>
      </c>
      <c r="K83" s="16">
        <f>J85</f>
        <v/>
      </c>
      <c r="L83" s="16">
        <f>K85</f>
        <v/>
      </c>
      <c r="M83" s="16">
        <f>L85</f>
        <v/>
      </c>
      <c r="N83" s="16">
        <f>M85</f>
        <v/>
      </c>
    </row>
    <row r="84">
      <c r="A84" s="5" t="inlineStr">
        <is>
          <t>DSRA Funding/(Release)</t>
        </is>
      </c>
      <c r="B84" s="6" t="inlineStr">
        <is>
          <t>$mm</t>
        </is>
      </c>
      <c r="C84" s="6" t="inlineStr">
        <is>
          <t>Target - Beginning</t>
        </is>
      </c>
      <c r="D84" s="16">
        <f>D82-D83</f>
        <v/>
      </c>
      <c r="E84" s="16">
        <f>E82-E83</f>
        <v/>
      </c>
      <c r="F84" s="16">
        <f>F82-F83</f>
        <v/>
      </c>
      <c r="G84" s="16">
        <f>G82-G83</f>
        <v/>
      </c>
      <c r="H84" s="16">
        <f>H82-H83</f>
        <v/>
      </c>
      <c r="I84" s="16">
        <f>I82-I83</f>
        <v/>
      </c>
      <c r="J84" s="16">
        <f>J82-J83</f>
        <v/>
      </c>
      <c r="K84" s="16">
        <f>K82-K83</f>
        <v/>
      </c>
      <c r="L84" s="16">
        <f>L82-L83</f>
        <v/>
      </c>
      <c r="M84" s="16">
        <f>M82-M83</f>
        <v/>
      </c>
      <c r="N84" s="16">
        <f>N82-N83</f>
        <v/>
      </c>
    </row>
    <row r="85">
      <c r="A85" s="5" t="inlineStr">
        <is>
          <t>DSRA Ending</t>
        </is>
      </c>
      <c r="B85" s="6" t="inlineStr">
        <is>
          <t>$mm</t>
        </is>
      </c>
      <c r="C85" s="6" t="inlineStr">
        <is>
          <t>Beginning + Funding</t>
        </is>
      </c>
      <c r="D85" s="16">
        <f>D83+D84</f>
        <v/>
      </c>
      <c r="E85" s="16">
        <f>E83+E84</f>
        <v/>
      </c>
      <c r="F85" s="16">
        <f>F83+F84</f>
        <v/>
      </c>
      <c r="G85" s="16">
        <f>G83+G84</f>
        <v/>
      </c>
      <c r="H85" s="16">
        <f>H83+H84</f>
        <v/>
      </c>
      <c r="I85" s="16">
        <f>I83+I84</f>
        <v/>
      </c>
      <c r="J85" s="16">
        <f>J83+J84</f>
        <v/>
      </c>
      <c r="K85" s="16">
        <f>K83+K84</f>
        <v/>
      </c>
      <c r="L85" s="16">
        <f>L83+L84</f>
        <v/>
      </c>
      <c r="M85" s="16">
        <f>M83+M84</f>
        <v/>
      </c>
      <c r="N85" s="16">
        <f>N83+N84</f>
        <v/>
      </c>
    </row>
    <row r="87">
      <c r="A87" s="3" t="inlineStr">
        <is>
          <t>DISTRIBUTION WATERFALL</t>
        </is>
      </c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</row>
    <row r="88">
      <c r="A88" s="5" t="inlineStr">
        <is>
          <t>Cash Available for Distribution</t>
        </is>
      </c>
      <c r="B88" s="6" t="inlineStr">
        <is>
          <t>$mm</t>
        </is>
      </c>
      <c r="C88" s="6" t="inlineStr">
        <is>
          <t>CFADS - Total DS - DSRA Fund</t>
        </is>
      </c>
      <c r="E88" s="16">
        <f>E68-(E72+E77)-E84</f>
        <v/>
      </c>
      <c r="F88" s="16">
        <f>F68-(F72+F77)-F84</f>
        <v/>
      </c>
      <c r="G88" s="16">
        <f>G68-(G72+G77)-G84</f>
        <v/>
      </c>
      <c r="H88" s="16">
        <f>H68-(H72+H77)-H84</f>
        <v/>
      </c>
      <c r="I88" s="16">
        <f>I68-(I72+I77)-I84</f>
        <v/>
      </c>
      <c r="J88" s="16">
        <f>J68-(J72+J77)-J84</f>
        <v/>
      </c>
      <c r="K88" s="16">
        <f>K68-(K72+K77)-K84</f>
        <v/>
      </c>
      <c r="L88" s="16">
        <f>L68-(L72+L77)-L84</f>
        <v/>
      </c>
      <c r="M88" s="16">
        <f>M68-(M72+M77)-M84</f>
        <v/>
      </c>
      <c r="N88" s="16">
        <f>N68-(N72+N77)-N84</f>
        <v/>
      </c>
    </row>
    <row r="89">
      <c r="A89" s="5" t="inlineStr">
        <is>
          <t>Lock-up Test</t>
        </is>
      </c>
      <c r="B89" s="6" t="inlineStr"/>
      <c r="C89" s="6" t="inlineStr">
        <is>
          <t>PASS if DSCR ≥ Lock-up</t>
        </is>
      </c>
      <c r="E89" s="20">
        <f>IF(E79&gt;=$D$42,"PASS","LOCKED")</f>
        <v/>
      </c>
      <c r="F89" s="20">
        <f>IF(F79&gt;=$D$42,"PASS","LOCKED")</f>
        <v/>
      </c>
      <c r="G89" s="20">
        <f>IF(G79&gt;=$D$42,"PASS","LOCKED")</f>
        <v/>
      </c>
      <c r="H89" s="20">
        <f>IF(H79&gt;=$D$42,"PASS","LOCKED")</f>
        <v/>
      </c>
      <c r="I89" s="20">
        <f>IF(I79&gt;=$D$42,"PASS","LOCKED")</f>
        <v/>
      </c>
      <c r="J89" s="20">
        <f>IF(J79&gt;=$D$42,"PASS","LOCKED")</f>
        <v/>
      </c>
      <c r="K89" s="20">
        <f>IF(K79&gt;=$D$42,"PASS","LOCKED")</f>
        <v/>
      </c>
      <c r="L89" s="20">
        <f>IF(L79&gt;=$D$42,"PASS","LOCKED")</f>
        <v/>
      </c>
      <c r="M89" s="20">
        <f>IF(M79&gt;=$D$42,"PASS","LOCKED")</f>
        <v/>
      </c>
      <c r="N89" s="20">
        <f>IF(N79&gt;=$D$42,"PASS","LOCKED")</f>
        <v/>
      </c>
    </row>
    <row r="90">
      <c r="A90" s="5" t="inlineStr">
        <is>
          <t>Distributable Cash</t>
        </is>
      </c>
      <c r="B90" s="6" t="inlineStr">
        <is>
          <t>$mm</t>
        </is>
      </c>
      <c r="C90" s="6" t="inlineStr">
        <is>
          <t>If PASS, MAX(0, Cash Avail)</t>
        </is>
      </c>
      <c r="E90" s="7">
        <f>IF(E89="PASS",MAX(0,E88),0)</f>
        <v/>
      </c>
      <c r="F90" s="7">
        <f>IF(F89="PASS",MAX(0,F88),0)</f>
        <v/>
      </c>
      <c r="G90" s="7">
        <f>IF(G89="PASS",MAX(0,G88),0)</f>
        <v/>
      </c>
      <c r="H90" s="7">
        <f>IF(H89="PASS",MAX(0,H88),0)</f>
        <v/>
      </c>
      <c r="I90" s="7">
        <f>IF(I89="PASS",MAX(0,I88),0)</f>
        <v/>
      </c>
      <c r="J90" s="7">
        <f>IF(J89="PASS",MAX(0,J88),0)</f>
        <v/>
      </c>
      <c r="K90" s="7">
        <f>IF(K89="PASS",MAX(0,K88),0)</f>
        <v/>
      </c>
      <c r="L90" s="7">
        <f>IF(L89="PASS",MAX(0,L88),0)</f>
        <v/>
      </c>
      <c r="M90" s="7">
        <f>IF(M89="PASS",MAX(0,M88),0)</f>
        <v/>
      </c>
      <c r="N90" s="7">
        <f>IF(N89="PASS",MAX(0,N88),0)</f>
        <v/>
      </c>
    </row>
    <row r="92">
      <c r="A92" s="3" t="inlineStr">
        <is>
          <t>SOURCES &amp; USES (Year 0)</t>
        </is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A93" s="21" t="inlineStr">
        <is>
          <t>USES</t>
        </is>
      </c>
      <c r="B93" s="6" t="inlineStr"/>
      <c r="C93" s="6" t="inlineStr"/>
    </row>
    <row r="94">
      <c r="A94" s="5" t="inlineStr">
        <is>
          <t xml:space="preserve">  Purchase Price</t>
        </is>
      </c>
      <c r="B94" s="6" t="inlineStr">
        <is>
          <t>$mm</t>
        </is>
      </c>
      <c r="C94" s="6" t="inlineStr"/>
      <c r="D94" s="16">
        <f>$D$17</f>
        <v/>
      </c>
    </row>
    <row r="95">
      <c r="A95" s="5" t="inlineStr">
        <is>
          <t xml:space="preserve">  Transaction Fees</t>
        </is>
      </c>
      <c r="B95" s="6" t="inlineStr">
        <is>
          <t>$mm</t>
        </is>
      </c>
      <c r="C95" s="6" t="inlineStr"/>
      <c r="D95" s="16">
        <f>$D$17*$D$18</f>
        <v/>
      </c>
    </row>
    <row r="96">
      <c r="A96" s="5" t="inlineStr">
        <is>
          <t xml:space="preserve">  DSRA Funding</t>
        </is>
      </c>
      <c r="B96" s="6" t="inlineStr">
        <is>
          <t>$mm</t>
        </is>
      </c>
      <c r="C96" s="6" t="inlineStr"/>
      <c r="D96" s="16">
        <f>D82</f>
        <v/>
      </c>
    </row>
    <row r="97">
      <c r="A97" s="5" t="inlineStr">
        <is>
          <t>Total Uses</t>
        </is>
      </c>
      <c r="B97" s="6" t="inlineStr">
        <is>
          <t>$mm</t>
        </is>
      </c>
      <c r="C97" s="6" t="inlineStr"/>
      <c r="D97" s="7">
        <f>D94+D95+D96</f>
        <v/>
      </c>
    </row>
    <row r="99">
      <c r="A99" s="21" t="inlineStr">
        <is>
          <t>SOURCES</t>
        </is>
      </c>
      <c r="B99" s="6" t="inlineStr"/>
      <c r="C99" s="6" t="inlineStr"/>
    </row>
    <row r="100">
      <c r="A100" s="5" t="inlineStr">
        <is>
          <t xml:space="preserve">  Debt</t>
        </is>
      </c>
      <c r="B100" s="6" t="inlineStr">
        <is>
          <t>$mm</t>
        </is>
      </c>
      <c r="C100" s="6" t="inlineStr"/>
      <c r="D100" s="16">
        <f>$D$50</f>
        <v/>
      </c>
    </row>
    <row r="101">
      <c r="A101" s="5" t="inlineStr">
        <is>
          <t xml:space="preserve">  Equity</t>
        </is>
      </c>
      <c r="B101" s="6" t="inlineStr">
        <is>
          <t>$mm</t>
        </is>
      </c>
      <c r="C101" s="6" t="inlineStr">
        <is>
          <t>Plug to balance</t>
        </is>
      </c>
      <c r="D101" s="16">
        <f>D97-D100</f>
        <v/>
      </c>
    </row>
    <row r="102">
      <c r="A102" s="5" t="inlineStr">
        <is>
          <t>Total Sources</t>
        </is>
      </c>
      <c r="B102" s="6" t="inlineStr">
        <is>
          <t>$mm</t>
        </is>
      </c>
      <c r="C102" s="6" t="inlineStr"/>
      <c r="D102" s="7">
        <f>D100+D101</f>
        <v/>
      </c>
    </row>
    <row r="103">
      <c r="A103" s="5" t="inlineStr">
        <is>
          <t>Balance Check</t>
        </is>
      </c>
      <c r="B103" s="6" t="inlineStr"/>
      <c r="C103" s="6" t="inlineStr"/>
      <c r="D103" s="10">
        <f>IF(ABS(D97-D102)&lt;0.01,"PASS","FAIL")</f>
        <v/>
      </c>
    </row>
    <row r="105">
      <c r="A105" s="3" t="inlineStr">
        <is>
          <t>EXIT CALCULATIONS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5" t="inlineStr">
        <is>
          <t>Exit EV</t>
        </is>
      </c>
      <c r="B106" s="6" t="inlineStr">
        <is>
          <t>$mm</t>
        </is>
      </c>
      <c r="C106" s="6" t="inlineStr">
        <is>
          <t>Exit Multiple × Exit Yr EBITDA</t>
        </is>
      </c>
      <c r="K106" s="16">
        <f>$D$19*K62</f>
        <v/>
      </c>
    </row>
    <row r="107">
      <c r="A107" s="5" t="inlineStr">
        <is>
          <t>Exit Debt Payoff</t>
        </is>
      </c>
      <c r="B107" s="6" t="inlineStr">
        <is>
          <t>$mm</t>
        </is>
      </c>
      <c r="C107" s="6" t="inlineStr">
        <is>
          <t>Ending Bal at Exit</t>
        </is>
      </c>
      <c r="K107" s="16">
        <f>K78</f>
        <v/>
      </c>
    </row>
    <row r="108">
      <c r="A108" s="5" t="inlineStr">
        <is>
          <t>DSRA Release</t>
        </is>
      </c>
      <c r="B108" s="6" t="inlineStr">
        <is>
          <t>$mm</t>
        </is>
      </c>
      <c r="C108" s="6" t="inlineStr">
        <is>
          <t>DSRA Ending at Exit</t>
        </is>
      </c>
      <c r="K108" s="16">
        <f>K85</f>
        <v/>
      </c>
    </row>
    <row r="109">
      <c r="A109" s="5" t="inlineStr">
        <is>
          <t>Exit Equity Proceeds</t>
        </is>
      </c>
      <c r="B109" s="6" t="inlineStr">
        <is>
          <t>$mm</t>
        </is>
      </c>
      <c r="C109" s="6" t="inlineStr">
        <is>
          <t>Exit EV - Debt + DSRA</t>
        </is>
      </c>
      <c r="K109" s="7">
        <f>K106-K107+K108</f>
        <v/>
      </c>
    </row>
    <row r="111">
      <c r="A111" s="3" t="inlineStr">
        <is>
          <t>EQUITY RETURNS</t>
        </is>
      </c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</row>
    <row r="112">
      <c r="A112" s="5" t="inlineStr">
        <is>
          <t>Equity Cash Flow</t>
        </is>
      </c>
      <c r="B112" s="6" t="inlineStr">
        <is>
          <t>$mm</t>
        </is>
      </c>
      <c r="C112" s="6" t="inlineStr"/>
      <c r="D112" s="16">
        <f>-D101</f>
        <v/>
      </c>
      <c r="E112" s="16">
        <f>E90</f>
        <v/>
      </c>
      <c r="F112" s="16">
        <f>F90</f>
        <v/>
      </c>
      <c r="G112" s="16">
        <f>G90</f>
        <v/>
      </c>
      <c r="H112" s="16">
        <f>H90</f>
        <v/>
      </c>
      <c r="I112" s="16">
        <f>I90</f>
        <v/>
      </c>
      <c r="J112" s="16">
        <f>J90</f>
        <v/>
      </c>
      <c r="K112" s="16">
        <f>K90+K109</f>
        <v/>
      </c>
      <c r="L112" s="16">
        <f>0</f>
        <v/>
      </c>
      <c r="M112" s="16">
        <f>0</f>
        <v/>
      </c>
      <c r="N112" s="16">
        <f>0</f>
        <v/>
      </c>
    </row>
    <row r="113">
      <c r="A113" s="5" t="inlineStr">
        <is>
          <t>Levered IRR</t>
        </is>
      </c>
      <c r="B113" s="6" t="inlineStr">
        <is>
          <t>%</t>
        </is>
      </c>
      <c r="C113" s="6" t="inlineStr"/>
      <c r="D113" s="29">
        <f>IRR(D112:K112)</f>
        <v/>
      </c>
    </row>
    <row r="114">
      <c r="A114" s="5" t="inlineStr">
        <is>
          <t>MOIC</t>
        </is>
      </c>
      <c r="B114" s="6" t="inlineStr">
        <is>
          <t>x</t>
        </is>
      </c>
      <c r="C114" s="6" t="inlineStr">
        <is>
          <t>Sum inflows / outflow</t>
        </is>
      </c>
      <c r="D114" s="28">
        <f>SUMIF(D112:K112,"&gt;0")/ABS(D112)</f>
        <v/>
      </c>
    </row>
    <row r="116">
      <c r="A116" s="21" t="inlineStr">
        <is>
          <t>Unlevered Returns (for reference)</t>
        </is>
      </c>
      <c r="B116" s="6" t="inlineStr"/>
      <c r="C116" s="6" t="inlineStr"/>
    </row>
    <row r="117">
      <c r="A117" s="5" t="inlineStr">
        <is>
          <t>Unlevered Cash Flow</t>
        </is>
      </c>
      <c r="B117" s="6" t="inlineStr">
        <is>
          <t>$mm</t>
        </is>
      </c>
      <c r="C117" s="6" t="inlineStr"/>
      <c r="D117" s="16">
        <f>-$D$17-D95</f>
        <v/>
      </c>
      <c r="E117" s="16">
        <f>E68</f>
        <v/>
      </c>
      <c r="F117" s="16">
        <f>F68</f>
        <v/>
      </c>
      <c r="G117" s="16">
        <f>G68</f>
        <v/>
      </c>
      <c r="H117" s="16">
        <f>H68</f>
        <v/>
      </c>
      <c r="I117" s="16">
        <f>I68</f>
        <v/>
      </c>
      <c r="J117" s="16">
        <f>J68</f>
        <v/>
      </c>
      <c r="K117" s="16">
        <f>K68+K106</f>
        <v/>
      </c>
      <c r="L117" s="16">
        <f>0</f>
        <v/>
      </c>
      <c r="M117" s="16">
        <f>0</f>
        <v/>
      </c>
      <c r="N117" s="16">
        <f>0</f>
        <v/>
      </c>
    </row>
    <row r="118">
      <c r="A118" s="5" t="inlineStr">
        <is>
          <t>Unlevered IRR</t>
        </is>
      </c>
      <c r="B118" s="6" t="inlineStr">
        <is>
          <t>%</t>
        </is>
      </c>
      <c r="C118" s="6" t="inlineStr"/>
      <c r="D118" s="29">
        <f>IRR(D117:K117)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2026-01-19T23:23:30Z</dcterms:created>
  <dcterms:modified xmlns:dcterms="http://purl.org/dc/terms/" xmlns:xsi="http://www.w3.org/2001/XMLSchema-instance" xsi:type="dcterms:W3CDTF">2026-01-19T23:25:52Z</dcterms:modified>
</cp:coreProperties>
</file>