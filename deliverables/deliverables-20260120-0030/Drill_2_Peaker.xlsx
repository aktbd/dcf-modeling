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7">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
    <font>
      <b val="1"/>
      <i val="1"/>
      <color rgb="00666666"/>
    </font>
    <font>
      <b val="1"/>
      <color rgb="00C00000"/>
      <sz val="11"/>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4" fillId="0" borderId="0" pivotButton="0" quotePrefix="0" xfId="0"/>
    <xf numFmtId="0" fontId="15" fillId="0" borderId="0" pivotButton="0" quotePrefix="0" xfId="0"/>
    <xf numFmtId="164" fontId="14" fillId="0" borderId="1" pivotButton="0" quotePrefix="0" xfId="0"/>
    <xf numFmtId="165" fontId="14" fillId="0" borderId="1" pivotButton="0" quotePrefix="0" xfId="0"/>
    <xf numFmtId="166" fontId="14" fillId="0" borderId="1" pivotButton="0" quotePrefix="0" xfId="0"/>
    <xf numFmtId="0" fontId="7"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A83" authorId="0" shapeId="0">
      <text>
        <t xml:space="preserve">SPARK SPREAD
Profit per MWh after fuel cost.
= Power Price - (HR × Gas / 1000)
Traders call this "heat rate spread":
If Market HR &gt; Plant HR → Profitable
Think: "Call option on scarcity"
</t>
      </text>
    </comment>
  </commentList>
</comments>
</file>

<file path=xl/comments/comment2.xml><?xml version="1.0" encoding="utf-8"?>
<comments xmlns="http://schemas.openxmlformats.org/spreadsheetml/2006/main">
  <authors>
    <author>Claude</author>
  </authors>
  <commentList>
    <comment ref="A82" authorId="0" shapeId="0">
      <text>
        <t xml:space="preserve">SPARK SPREAD
Profit per MWh after fuel cost.
= Power Price - (HR × Gas / 1000)
Traders call this "heat rate spread":
If Market HR &gt; Plant HR → Profitable
Think: "Call option on scarcity"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57" t="inlineStr">
        <is>
          <t>═══ DRILL MODE: Key formulas blanked. Rebuild using Formula Logic hints in Column C. ═══</t>
        </is>
      </c>
    </row>
    <row r="3">
      <c r="A3" s="3" t="inlineStr">
        <is>
          <t>═══ AUDIT STRIP ═══</t>
        </is>
      </c>
      <c r="B3" s="4" t="n"/>
      <c r="C3" s="4" t="n"/>
      <c r="D3" s="4" t="n"/>
      <c r="E3" s="4" t="n"/>
      <c r="F3" s="4" t="n"/>
      <c r="G3" s="4" t="n"/>
      <c r="H3" s="4" t="n"/>
      <c r="I3" s="4" t="n"/>
      <c r="J3" s="4" t="n"/>
      <c r="K3" s="4" t="n"/>
      <c r="L3" s="4" t="n"/>
      <c r="M3" s="4" t="n"/>
      <c r="N3" s="4" t="n"/>
    </row>
    <row r="4">
      <c r="A4" s="5" t="inlineStr">
        <is>
          <t>Entry EV</t>
        </is>
      </c>
      <c r="B4" s="6" t="inlineStr">
        <is>
          <t>$mm</t>
        </is>
      </c>
      <c r="C4" s="6" t="inlineStr"/>
      <c r="D4" s="7">
        <f>$D$17</f>
        <v/>
      </c>
    </row>
    <row r="5">
      <c r="A5" s="5" t="inlineStr">
        <is>
          <t>Y1 EBITDA</t>
        </is>
      </c>
      <c r="B5" s="6" t="inlineStr">
        <is>
          <t>$mm</t>
        </is>
      </c>
      <c r="C5" s="6" t="inlineStr"/>
      <c r="D5" s="7" t="inlineStr"/>
    </row>
    <row r="6">
      <c r="A6" s="38" t="inlineStr">
        <is>
          <t>═══════════ CONTROL PANEL ═══════════</t>
        </is>
      </c>
      <c r="B6" s="49" t="n"/>
      <c r="C6" s="49" t="n"/>
      <c r="D6" s="49" t="n"/>
    </row>
    <row r="7">
      <c r="A7" s="49" t="n"/>
      <c r="B7" s="49" t="n"/>
      <c r="C7" s="49" t="n"/>
      <c r="D7" s="49" t="n"/>
    </row>
    <row r="8">
      <c r="A8" s="50" t="inlineStr">
        <is>
          <t>REVENUE</t>
        </is>
      </c>
      <c r="B8" s="49" t="n"/>
      <c r="C8" s="49" t="n"/>
      <c r="D8" s="49" t="n"/>
    </row>
    <row r="9">
      <c r="A9" s="34" t="inlineStr">
        <is>
          <t>Revenue Mode</t>
        </is>
      </c>
      <c r="B9" s="49" t="n"/>
      <c r="C9" s="6" t="inlineStr">
        <is>
          <t>Merchant / Contracted / Hybrid</t>
        </is>
      </c>
      <c r="D9" s="47" t="inlineStr">
        <is>
          <t>Merchant</t>
        </is>
      </c>
    </row>
    <row r="10">
      <c r="A10" s="34" t="inlineStr">
        <is>
          <t>Contract End Year</t>
        </is>
      </c>
      <c r="B10" s="49" t="n"/>
      <c r="C10" s="6" t="inlineStr">
        <is>
          <t>0 = pure merchant; else year PPA ends</t>
        </is>
      </c>
      <c r="D10" s="47" t="n">
        <v>0</v>
      </c>
    </row>
    <row r="11">
      <c r="A11" s="49" t="n"/>
      <c r="B11" s="49" t="n"/>
      <c r="C11" s="49" t="n"/>
      <c r="D11" s="49" t="n"/>
    </row>
    <row r="12">
      <c r="A12" s="50" t="inlineStr">
        <is>
          <t>TIMING</t>
        </is>
      </c>
      <c r="B12" s="49" t="n"/>
      <c r="C12" s="49" t="n"/>
      <c r="D12" s="49" t="n"/>
    </row>
    <row r="13">
      <c r="A13" s="34" t="inlineStr">
        <is>
          <t>Exit Year</t>
        </is>
      </c>
      <c r="B13" s="49" t="n"/>
      <c r="C13" s="6" t="inlineStr">
        <is>
          <t>5 / 7 / 10</t>
        </is>
      </c>
      <c r="D13" s="47" t="n">
        <v>7</v>
      </c>
    </row>
    <row r="14">
      <c r="A14" s="34" t="inlineStr">
        <is>
          <t>Tax Credit End Year</t>
        </is>
      </c>
      <c r="B14" s="49" t="n"/>
      <c r="C14" s="6" t="inlineStr">
        <is>
          <t>0 = N/A; else last year of PTC/ITC</t>
        </is>
      </c>
      <c r="D14" s="47" t="n">
        <v>0</v>
      </c>
    </row>
    <row r="15">
      <c r="A15" s="49" t="n"/>
      <c r="B15" s="49" t="n"/>
      <c r="C15" s="49" t="n"/>
      <c r="D15" s="49" t="n"/>
    </row>
    <row r="16">
      <c r="A16" s="50" t="inlineStr">
        <is>
          <t>DEBT</t>
        </is>
      </c>
      <c r="B16" s="49" t="n"/>
      <c r="C16" s="49" t="n"/>
      <c r="D16" s="51" t="n"/>
    </row>
    <row r="17">
      <c r="A17" s="34" t="inlineStr">
        <is>
          <t>Debt Sweep</t>
        </is>
      </c>
      <c r="B17" s="49" t="n"/>
      <c r="C17" s="6" t="inlineStr">
        <is>
          <t>ON / OFF (for sweep assets)</t>
        </is>
      </c>
      <c r="D17" s="33" t="inlineStr">
        <is>
          <t>ON</t>
        </is>
      </c>
    </row>
    <row r="18">
      <c r="A18" s="34" t="inlineStr">
        <is>
          <t>Sweep %</t>
        </is>
      </c>
      <c r="B18" s="49" t="n"/>
      <c r="C18" s="6" t="inlineStr">
        <is>
          <t>Active when Sweep = ON</t>
        </is>
      </c>
      <c r="D18" s="32" t="inlineStr">
        <is>
          <t>75%</t>
        </is>
      </c>
    </row>
    <row r="19">
      <c r="A19" s="49" t="n"/>
      <c r="B19" s="49" t="n"/>
      <c r="C19" s="49" t="n"/>
      <c r="D19" s="52" t="n"/>
    </row>
    <row r="20">
      <c r="A20" s="50" t="inlineStr">
        <is>
          <t>OTHER</t>
        </is>
      </c>
      <c r="B20" s="49" t="n"/>
      <c r="C20" s="49" t="n"/>
      <c r="D20" s="53" t="n"/>
    </row>
    <row r="21">
      <c r="A21" s="34" t="inlineStr">
        <is>
          <t>Carbon Region</t>
        </is>
      </c>
      <c r="C21" s="6" t="inlineStr">
        <is>
          <t>None / CARB / RGGI (thermal only)</t>
        </is>
      </c>
      <c r="D21" s="47" t="inlineStr">
        <is>
          <t>None</t>
        </is>
      </c>
    </row>
    <row r="22">
      <c r="A22" s="54" t="inlineStr">
        <is>
          <t>Exit Method</t>
        </is>
      </c>
      <c r="B22" s="49" t="n"/>
      <c r="C22" s="6" t="inlineStr">
        <is>
          <t>Multiple / DCF</t>
        </is>
      </c>
      <c r="D22" s="47" t="inlineStr">
        <is>
          <t>Multiple</t>
        </is>
      </c>
      <c r="E22" s="4" t="n"/>
      <c r="F22" s="4" t="n"/>
      <c r="G22" s="4" t="n"/>
      <c r="H22" s="4" t="n"/>
      <c r="I22" s="4" t="n"/>
      <c r="J22" s="4" t="n"/>
      <c r="K22" s="4" t="n"/>
      <c r="L22" s="4" t="n"/>
      <c r="M22" s="4" t="n"/>
      <c r="N22" s="4" t="n"/>
    </row>
    <row r="23">
      <c r="A23" s="38" t="inlineStr">
        <is>
          <t>════════════════════════════════════</t>
        </is>
      </c>
      <c r="B23" s="6" t="inlineStr"/>
      <c r="C23" s="6" t="inlineStr"/>
      <c r="D23" s="10">
        <f>D116</f>
        <v/>
      </c>
    </row>
    <row r="24">
      <c r="A24" s="5" t="inlineStr">
        <is>
          <t>Debt Payoff Y7</t>
        </is>
      </c>
      <c r="B24" s="6" t="inlineStr"/>
      <c r="C24" s="6" t="inlineStr"/>
      <c r="D24" s="10">
        <f>IF(K91&lt;1,"PASS","FAIL")</f>
        <v/>
      </c>
    </row>
    <row r="25">
      <c r="A25" s="5" t="inlineStr">
        <is>
          <t>Min DSCR ≥ 1.25x</t>
        </is>
      </c>
      <c r="B25" s="6" t="inlineStr"/>
      <c r="C25" s="6" t="inlineStr"/>
      <c r="D25" s="10" t="inlineStr"/>
    </row>
    <row r="26"/>
    <row r="27"/>
    <row r="28">
      <c r="A28" s="3" t="inlineStr">
        <is>
          <t>TRANSACTION INPUTS</t>
        </is>
      </c>
      <c r="B28" s="4" t="n"/>
      <c r="C28" s="4" t="n"/>
      <c r="D28" s="4" t="n"/>
      <c r="E28" s="4" t="n"/>
      <c r="F28" s="4" t="n"/>
      <c r="G28" s="4" t="n"/>
      <c r="H28" s="4" t="n"/>
      <c r="I28" s="4" t="n"/>
      <c r="J28" s="4" t="n"/>
      <c r="K28" s="4" t="n"/>
      <c r="L28" s="4" t="n"/>
      <c r="M28" s="4" t="n"/>
      <c r="N28" s="4" t="n"/>
    </row>
    <row r="29">
      <c r="A29" s="5" t="inlineStr">
        <is>
          <t>Entry EV</t>
        </is>
      </c>
      <c r="B29" s="6" t="inlineStr">
        <is>
          <t>$mm</t>
        </is>
      </c>
      <c r="C29" s="6" t="inlineStr">
        <is>
          <t>Purchase price</t>
        </is>
      </c>
      <c r="D29" s="11" t="n">
        <v>110</v>
      </c>
    </row>
    <row r="30">
      <c r="A30" s="5" t="inlineStr">
        <is>
          <t>Transaction Fees</t>
        </is>
      </c>
      <c r="B30" s="6" t="inlineStr">
        <is>
          <t>%</t>
        </is>
      </c>
      <c r="C30" s="6" t="inlineStr">
        <is>
          <t>Legal, advisory, financing</t>
        </is>
      </c>
      <c r="D30" s="32" t="n">
        <v>0.015</v>
      </c>
    </row>
    <row r="31">
      <c r="A31" s="5" t="inlineStr">
        <is>
          <t>Exit Multiple</t>
        </is>
      </c>
      <c r="B31" s="6" t="inlineStr">
        <is>
          <t>x</t>
        </is>
      </c>
      <c r="C31" s="6" t="inlineStr">
        <is>
          <t>On exit year EBITDA</t>
        </is>
      </c>
      <c r="D31" s="33" t="n">
        <v>7</v>
      </c>
    </row>
    <row r="32">
      <c r="A32" s="5" t="inlineStr">
        <is>
          <t>Exit Year</t>
        </is>
      </c>
      <c r="B32" s="6" t="inlineStr">
        <is>
          <t>#</t>
        </is>
      </c>
      <c r="C32" s="6" t="inlineStr">
        <is>
          <t>Hold period</t>
        </is>
      </c>
      <c r="D32" s="14" t="n">
        <v>7</v>
      </c>
    </row>
    <row r="33"/>
    <row r="34">
      <c r="A34" s="3" t="inlineStr">
        <is>
          <t>ASSET INPUTS</t>
        </is>
      </c>
      <c r="B34" s="4" t="n"/>
      <c r="C34" s="4" t="n"/>
      <c r="D34" s="4" t="n"/>
      <c r="E34" s="4" t="n"/>
      <c r="F34" s="4" t="n"/>
      <c r="G34" s="4" t="n"/>
      <c r="H34" s="4" t="n"/>
      <c r="I34" s="4" t="n"/>
      <c r="J34" s="4" t="n"/>
      <c r="K34" s="4" t="n"/>
      <c r="L34" s="4" t="n"/>
      <c r="M34" s="4" t="n"/>
      <c r="N34" s="4" t="n"/>
    </row>
    <row r="35">
      <c r="A35" s="5" t="inlineStr">
        <is>
          <t>Capacity</t>
        </is>
      </c>
      <c r="B35" s="6" t="inlineStr">
        <is>
          <t>MW</t>
        </is>
      </c>
      <c r="C35" s="6" t="inlineStr">
        <is>
          <t>Nameplate rating</t>
        </is>
      </c>
      <c r="D35" s="14" t="n">
        <v>200</v>
      </c>
    </row>
    <row r="36">
      <c r="A36" s="5" t="inlineStr">
        <is>
          <t>Heat Rate</t>
        </is>
      </c>
      <c r="B36" s="6" t="inlineStr">
        <is>
          <t>Btu/kWh</t>
        </is>
      </c>
      <c r="C36" s="6" t="inlineStr">
        <is>
          <t>Less efficient than CCGT</t>
        </is>
      </c>
      <c r="D36" s="14" t="n">
        <v>10500</v>
      </c>
    </row>
    <row r="37">
      <c r="A37" s="5" t="inlineStr">
        <is>
          <t>Availability</t>
        </is>
      </c>
      <c r="B37" s="6" t="inlineStr">
        <is>
          <t>%</t>
        </is>
      </c>
      <c r="C37" s="6" t="inlineStr">
        <is>
          <t>For UCAP accreditation</t>
        </is>
      </c>
      <c r="D37" s="32" t="n">
        <v>0.9399999999999999</v>
      </c>
    </row>
    <row r="38">
      <c r="A38" s="5" t="inlineStr">
        <is>
          <t>Forced Outage Rate</t>
        </is>
      </c>
      <c r="B38" s="6" t="inlineStr">
        <is>
          <t>%</t>
        </is>
      </c>
      <c r="C38" s="6" t="inlineStr">
        <is>
          <t>Unplanned downtime</t>
        </is>
      </c>
      <c r="D38" s="32" t="n">
        <v>0.05</v>
      </c>
    </row>
    <row r="39">
      <c r="A39" s="5" t="inlineStr">
        <is>
          <t>Dispatch Hours</t>
        </is>
      </c>
      <c r="B39" s="6" t="inlineStr">
        <is>
          <t>hours/yr</t>
        </is>
      </c>
      <c r="C39" s="6" t="inlineStr">
        <is>
          <t>Peak hours only (~400)</t>
        </is>
      </c>
      <c r="D39" s="14" t="n">
        <v>400</v>
      </c>
    </row>
    <row r="40"/>
    <row r="41">
      <c r="A41" s="3" t="inlineStr">
        <is>
          <t>PRICING INPUTS</t>
        </is>
      </c>
      <c r="B41" s="4" t="n"/>
      <c r="C41" s="4" t="n"/>
      <c r="D41" s="4" t="n"/>
      <c r="E41" s="4" t="n"/>
      <c r="F41" s="4" t="n"/>
      <c r="G41" s="4" t="n"/>
      <c r="H41" s="4" t="n"/>
      <c r="I41" s="4" t="n"/>
      <c r="J41" s="4" t="n"/>
      <c r="K41" s="4" t="n"/>
      <c r="L41" s="4" t="n"/>
      <c r="M41" s="4" t="n"/>
      <c r="N41" s="4" t="n"/>
    </row>
    <row r="42">
      <c r="A42" s="5" t="inlineStr">
        <is>
          <t>Power Price Y1</t>
        </is>
      </c>
      <c r="B42" s="6" t="inlineStr">
        <is>
          <t>$/MWh</t>
        </is>
      </c>
      <c r="C42" s="6" t="inlineStr">
        <is>
          <t>Higher (dispatch-weighted)</t>
        </is>
      </c>
      <c r="D42" s="11" t="n">
        <v>95</v>
      </c>
    </row>
    <row r="43">
      <c r="A43" s="5" t="inlineStr">
        <is>
          <t>Capacity Price Y1</t>
        </is>
      </c>
      <c r="B43" s="6" t="inlineStr">
        <is>
          <t>$/kW-yr</t>
        </is>
      </c>
      <c r="C43" s="6" t="inlineStr">
        <is>
          <t>ICAP/RPM result</t>
        </is>
      </c>
      <c r="D43" s="11" t="n">
        <v>60</v>
      </c>
    </row>
    <row r="44">
      <c r="A44" s="5" t="inlineStr">
        <is>
          <t>Gas Price Y1</t>
        </is>
      </c>
      <c r="B44" s="6" t="inlineStr">
        <is>
          <t>$/mmBtu</t>
        </is>
      </c>
      <c r="C44" s="6" t="inlineStr">
        <is>
          <t>Henry Hub + basis</t>
        </is>
      </c>
      <c r="D44" s="15" t="n">
        <v>3.25</v>
      </c>
    </row>
    <row r="45">
      <c r="A45" s="5" t="inlineStr">
        <is>
          <t>Escalation</t>
        </is>
      </c>
      <c r="B45" s="6" t="inlineStr">
        <is>
          <t>%/yr</t>
        </is>
      </c>
      <c r="C45" s="6" t="inlineStr">
        <is>
          <t>Applied to all prices/costs</t>
        </is>
      </c>
      <c r="D45" s="32" t="n">
        <v>0.025</v>
      </c>
    </row>
    <row r="46"/>
    <row r="47">
      <c r="A47" s="3" t="inlineStr">
        <is>
          <t>COST INPUTS</t>
        </is>
      </c>
      <c r="B47" s="4" t="n"/>
      <c r="C47" s="4" t="n"/>
      <c r="D47" s="4" t="n"/>
      <c r="E47" s="4" t="n"/>
      <c r="F47" s="4" t="n"/>
      <c r="G47" s="4" t="n"/>
      <c r="H47" s="4" t="n"/>
      <c r="I47" s="4" t="n"/>
      <c r="J47" s="4" t="n"/>
      <c r="K47" s="4" t="n"/>
      <c r="L47" s="4" t="n"/>
      <c r="M47" s="4" t="n"/>
      <c r="N47" s="4" t="n"/>
    </row>
    <row r="48">
      <c r="A48" s="5" t="inlineStr">
        <is>
          <t>VOM</t>
        </is>
      </c>
      <c r="B48" s="6" t="inlineStr">
        <is>
          <t>$/MWh</t>
        </is>
      </c>
      <c r="C48" s="6" t="inlineStr">
        <is>
          <t>Variable O&amp;M</t>
        </is>
      </c>
      <c r="D48" s="15" t="n">
        <v>4</v>
      </c>
    </row>
    <row r="49">
      <c r="A49" s="5" t="inlineStr">
        <is>
          <t>FOM</t>
        </is>
      </c>
      <c r="B49" s="6" t="inlineStr">
        <is>
          <t>$/kW-yr</t>
        </is>
      </c>
      <c r="C49" s="6" t="inlineStr">
        <is>
          <t>Fixed O&amp;M</t>
        </is>
      </c>
      <c r="D49" s="15" t="n">
        <v>12</v>
      </c>
    </row>
    <row r="50">
      <c r="A50" s="5" t="inlineStr">
        <is>
          <t>Major Maintenance Year</t>
        </is>
      </c>
      <c r="B50" s="6" t="inlineStr">
        <is>
          <t>#</t>
        </is>
      </c>
      <c r="C50" s="6" t="inlineStr">
        <is>
          <t>Hot gas path inspection</t>
        </is>
      </c>
      <c r="D50" s="14" t="n">
        <v>5</v>
      </c>
    </row>
    <row r="51">
      <c r="A51" s="5" t="inlineStr">
        <is>
          <t>Major Maintenance Cost</t>
        </is>
      </c>
      <c r="B51" s="6" t="inlineStr">
        <is>
          <t>$mm</t>
        </is>
      </c>
      <c r="C51" s="6" t="inlineStr">
        <is>
          <t>HGP inspection cost</t>
        </is>
      </c>
      <c r="D51" s="11" t="n">
        <v>4</v>
      </c>
    </row>
    <row r="52"/>
    <row r="53">
      <c r="A53" s="3" t="inlineStr">
        <is>
          <t>FINANCING INPUTS</t>
        </is>
      </c>
      <c r="B53" s="4" t="n"/>
      <c r="C53" s="4" t="n"/>
      <c r="D53" s="4" t="n"/>
      <c r="E53" s="4" t="n"/>
      <c r="F53" s="4" t="n"/>
      <c r="G53" s="4" t="n"/>
      <c r="H53" s="4" t="n"/>
      <c r="I53" s="4" t="n"/>
      <c r="J53" s="4" t="n"/>
      <c r="K53" s="4" t="n"/>
      <c r="L53" s="4" t="n"/>
      <c r="M53" s="4" t="n"/>
      <c r="N53" s="4" t="n"/>
    </row>
    <row r="54">
      <c r="A54" s="5" t="inlineStr">
        <is>
          <t>Leverage</t>
        </is>
      </c>
      <c r="B54" s="6" t="inlineStr">
        <is>
          <t>%</t>
        </is>
      </c>
      <c r="C54" s="6" t="inlineStr">
        <is>
          <t>Debt / Entry EV (lower)</t>
        </is>
      </c>
      <c r="D54" s="32" t="n">
        <v>0.3</v>
      </c>
    </row>
    <row r="55">
      <c r="A55" s="5" t="inlineStr">
        <is>
          <t>Interest Rate</t>
        </is>
      </c>
      <c r="B55" s="6" t="inlineStr">
        <is>
          <t>%</t>
        </is>
      </c>
      <c r="C55" s="6" t="inlineStr">
        <is>
          <t>All-in borrowing cost</t>
        </is>
      </c>
      <c r="D55" s="32" t="n">
        <v>0.07000000000000001</v>
      </c>
    </row>
    <row r="56">
      <c r="A56" s="5" t="inlineStr">
        <is>
          <t>Debt Tenor</t>
        </is>
      </c>
      <c r="B56" s="6" t="inlineStr">
        <is>
          <t>years</t>
        </is>
      </c>
      <c r="C56" s="6" t="inlineStr">
        <is>
          <t>Amortization period</t>
        </is>
      </c>
      <c r="D56" s="14" t="n">
        <v>7</v>
      </c>
    </row>
    <row r="57">
      <c r="A57" s="5" t="inlineStr">
        <is>
          <t>DSRA Months</t>
        </is>
      </c>
      <c r="B57" s="6" t="inlineStr">
        <is>
          <t>months</t>
        </is>
      </c>
      <c r="C57" s="6" t="inlineStr">
        <is>
          <t>Debt service reserve</t>
        </is>
      </c>
      <c r="D57" s="14" t="n">
        <v>6</v>
      </c>
    </row>
    <row r="58">
      <c r="A58" s="5" t="inlineStr">
        <is>
          <t>Cash Sweep %</t>
        </is>
      </c>
      <c r="B58" s="6" t="inlineStr">
        <is>
          <t>%</t>
        </is>
      </c>
      <c r="C58" s="6" t="inlineStr">
        <is>
          <t>Lower for maint reserves</t>
        </is>
      </c>
      <c r="D58" s="32" t="n">
        <v>0.5</v>
      </c>
    </row>
    <row r="59">
      <c r="A59" s="5" t="inlineStr">
        <is>
          <t>Lock-up DSCR</t>
        </is>
      </c>
      <c r="B59" s="6" t="inlineStr">
        <is>
          <t>x</t>
        </is>
      </c>
      <c r="C59" s="6" t="inlineStr">
        <is>
          <t>Distribution threshold</t>
        </is>
      </c>
      <c r="D59" s="33" t="n">
        <v>1.1</v>
      </c>
    </row>
    <row r="60"/>
    <row r="61">
      <c r="A61" s="3" t="inlineStr">
        <is>
          <t>TAX INPUTS</t>
        </is>
      </c>
      <c r="B61" s="4" t="n"/>
      <c r="C61" s="4" t="n"/>
      <c r="D61" s="4" t="n"/>
      <c r="E61" s="4" t="n"/>
      <c r="F61" s="4" t="n"/>
      <c r="G61" s="4" t="n"/>
      <c r="H61" s="4" t="n"/>
      <c r="I61" s="4" t="n"/>
      <c r="J61" s="4" t="n"/>
      <c r="K61" s="4" t="n"/>
      <c r="L61" s="4" t="n"/>
      <c r="M61" s="4" t="n"/>
      <c r="N61" s="4" t="n"/>
    </row>
    <row r="62">
      <c r="A62" s="5" t="inlineStr">
        <is>
          <t>Tax Rate</t>
        </is>
      </c>
      <c r="B62" s="6" t="inlineStr">
        <is>
          <t>%</t>
        </is>
      </c>
      <c r="C62" s="6" t="inlineStr">
        <is>
          <t>Blended federal + state</t>
        </is>
      </c>
      <c r="D62" s="32" t="n">
        <v>0.25</v>
      </c>
    </row>
    <row r="63">
      <c r="A63" s="5" t="inlineStr">
        <is>
          <t>Depreciable Basis</t>
        </is>
      </c>
      <c r="B63" s="6" t="inlineStr">
        <is>
          <t>%</t>
        </is>
      </c>
      <c r="C63" s="6" t="inlineStr">
        <is>
          <t>% of EV for depreciation</t>
        </is>
      </c>
      <c r="D63" s="32" t="n">
        <v>0.85</v>
      </c>
    </row>
    <row r="64">
      <c r="A64" s="5" t="inlineStr">
        <is>
          <t>Depreciation Life</t>
        </is>
      </c>
      <c r="B64" s="6" t="inlineStr">
        <is>
          <t>years</t>
        </is>
      </c>
      <c r="C64" s="6" t="inlineStr">
        <is>
          <t>Straight-line</t>
        </is>
      </c>
      <c r="D64" s="14" t="n">
        <v>15</v>
      </c>
    </row>
    <row r="65"/>
    <row r="66">
      <c r="A66" s="3" t="inlineStr">
        <is>
          <t>CALCULATED ITEMS</t>
        </is>
      </c>
      <c r="B66" s="4" t="n"/>
      <c r="C66" s="4" t="n"/>
      <c r="D66" s="4" t="n"/>
      <c r="E66" s="4" t="n"/>
      <c r="F66" s="4" t="n"/>
      <c r="G66" s="4" t="n"/>
      <c r="H66" s="4" t="n"/>
      <c r="I66" s="4" t="n"/>
      <c r="J66" s="4" t="n"/>
      <c r="K66" s="4" t="n"/>
      <c r="L66" s="4" t="n"/>
      <c r="M66" s="4" t="n"/>
      <c r="N66" s="4" t="n"/>
    </row>
    <row r="67">
      <c r="A67" s="5" t="inlineStr">
        <is>
          <t>UCAP (Unforced Capacity)</t>
        </is>
      </c>
      <c r="B67" s="6" t="inlineStr">
        <is>
          <t>MW</t>
        </is>
      </c>
      <c r="C67" s="6" t="inlineStr">
        <is>
          <t>Capacity × (1 - FOR)</t>
        </is>
      </c>
      <c r="D67" s="16">
        <f>$D$23*(1-$D$26)</f>
        <v/>
      </c>
    </row>
    <row r="68">
      <c r="A68" s="5" t="inlineStr">
        <is>
          <t>Annual Generation</t>
        </is>
      </c>
      <c r="B68" s="6" t="inlineStr">
        <is>
          <t>MWh</t>
        </is>
      </c>
      <c r="C68" s="6" t="inlineStr">
        <is>
          <t>Capacity × Hours × Avail</t>
        </is>
      </c>
      <c r="D68" s="17">
        <f>$D$23*$D$27*$D$25</f>
        <v/>
      </c>
    </row>
    <row r="69">
      <c r="A69" s="5" t="inlineStr">
        <is>
          <t>Debt Amount</t>
        </is>
      </c>
      <c r="B69" s="6" t="inlineStr">
        <is>
          <t>$mm</t>
        </is>
      </c>
      <c r="C69" s="6" t="inlineStr">
        <is>
          <t>Entry EV × Leverage</t>
        </is>
      </c>
      <c r="D69" s="18">
        <f>$D$17*$D$42</f>
        <v/>
      </c>
    </row>
    <row r="70">
      <c r="A70" s="5" t="inlineStr">
        <is>
          <t>Annual Depreciation</t>
        </is>
      </c>
      <c r="B70" s="6" t="inlineStr">
        <is>
          <t>$mm</t>
        </is>
      </c>
      <c r="C70" s="6" t="inlineStr">
        <is>
          <t>EV × Basis / Life</t>
        </is>
      </c>
      <c r="D70" s="18">
        <f>$D$17*$D$51/$D$52</f>
        <v/>
      </c>
    </row>
    <row r="71">
      <c r="A71" s="5" t="inlineStr">
        <is>
          <t>Scheduled Principal</t>
        </is>
      </c>
      <c r="B71" s="6" t="inlineStr">
        <is>
          <t>$mm/yr</t>
        </is>
      </c>
      <c r="C71" s="6" t="inlineStr">
        <is>
          <t>Debt / Tenor</t>
        </is>
      </c>
      <c r="D71" s="18" t="inlineStr"/>
    </row>
    <row r="72"/>
    <row r="73">
      <c r="A73" s="3" t="inlineStr">
        <is>
          <t>OPERATING MODEL</t>
        </is>
      </c>
      <c r="B73" s="4" t="n"/>
      <c r="C73" s="4" t="n"/>
      <c r="D73" s="4" t="n"/>
      <c r="E73" s="4" t="n"/>
      <c r="F73" s="4" t="n"/>
      <c r="G73" s="4" t="n"/>
      <c r="H73" s="4" t="n"/>
      <c r="I73" s="4" t="n"/>
      <c r="J73" s="4" t="n"/>
      <c r="K73" s="4" t="n"/>
      <c r="L73" s="4" t="n"/>
      <c r="M73" s="4" t="n"/>
      <c r="N73" s="4" t="n"/>
    </row>
    <row r="74">
      <c r="A74" s="5" t="inlineStr">
        <is>
          <t>Power Price</t>
        </is>
      </c>
      <c r="B74" s="6" t="inlineStr">
        <is>
          <t>$/MWh</t>
        </is>
      </c>
      <c r="C74" s="6" t="inlineStr">
        <is>
          <t>Escalated</t>
        </is>
      </c>
      <c r="E74" s="18">
        <f>$D$30*(1+$D$33)^(1-1)</f>
        <v/>
      </c>
      <c r="F74" s="18">
        <f>$D$30*(1+$D$33)^(2-1)</f>
        <v/>
      </c>
      <c r="G74" s="18">
        <f>$D$30*(1+$D$33)^(3-1)</f>
        <v/>
      </c>
      <c r="H74" s="18">
        <f>$D$30*(1+$D$33)^(4-1)</f>
        <v/>
      </c>
      <c r="I74" s="18">
        <f>$D$30*(1+$D$33)^(5-1)</f>
        <v/>
      </c>
      <c r="J74" s="18">
        <f>$D$30*(1+$D$33)^(6-1)</f>
        <v/>
      </c>
      <c r="K74" s="18">
        <f>$D$30*(1+$D$33)^(7-1)</f>
        <v/>
      </c>
      <c r="L74" s="18">
        <f>$D$30*(1+$D$33)^(8-1)</f>
        <v/>
      </c>
      <c r="M74" s="18">
        <f>$D$30*(1+$D$33)^(9-1)</f>
        <v/>
      </c>
      <c r="N74" s="18">
        <f>$D$30*(1+$D$33)^(10-1)</f>
        <v/>
      </c>
    </row>
    <row r="75">
      <c r="A75" s="5" t="inlineStr">
        <is>
          <t>Capacity Price</t>
        </is>
      </c>
      <c r="B75" s="6" t="inlineStr">
        <is>
          <t>$/kW-yr</t>
        </is>
      </c>
      <c r="C75" s="6" t="inlineStr">
        <is>
          <t>Escalated</t>
        </is>
      </c>
      <c r="E75" s="18">
        <f>$D$31*(1+$D$33)^(1-1)</f>
        <v/>
      </c>
      <c r="F75" s="18">
        <f>$D$31*(1+$D$33)^(2-1)</f>
        <v/>
      </c>
      <c r="G75" s="18">
        <f>$D$31*(1+$D$33)^(3-1)</f>
        <v/>
      </c>
      <c r="H75" s="18">
        <f>$D$31*(1+$D$33)^(4-1)</f>
        <v/>
      </c>
      <c r="I75" s="18">
        <f>$D$31*(1+$D$33)^(5-1)</f>
        <v/>
      </c>
      <c r="J75" s="18">
        <f>$D$31*(1+$D$33)^(6-1)</f>
        <v/>
      </c>
      <c r="K75" s="18">
        <f>$D$31*(1+$D$33)^(7-1)</f>
        <v/>
      </c>
      <c r="L75" s="18">
        <f>$D$31*(1+$D$33)^(8-1)</f>
        <v/>
      </c>
      <c r="M75" s="18">
        <f>$D$31*(1+$D$33)^(9-1)</f>
        <v/>
      </c>
      <c r="N75" s="18">
        <f>$D$31*(1+$D$33)^(10-1)</f>
        <v/>
      </c>
    </row>
    <row r="76">
      <c r="A76" s="5" t="inlineStr">
        <is>
          <t>Gas Price</t>
        </is>
      </c>
      <c r="B76" s="6" t="inlineStr">
        <is>
          <t>$/mmBtu</t>
        </is>
      </c>
      <c r="C76" s="6" t="inlineStr">
        <is>
          <t>Escalated</t>
        </is>
      </c>
      <c r="E76" s="19">
        <f>$D$32*(1+$D$33)^(1-1)</f>
        <v/>
      </c>
      <c r="F76" s="19">
        <f>$D$32*(1+$D$33)^(2-1)</f>
        <v/>
      </c>
      <c r="G76" s="19">
        <f>$D$32*(1+$D$33)^(3-1)</f>
        <v/>
      </c>
      <c r="H76" s="19">
        <f>$D$32*(1+$D$33)^(4-1)</f>
        <v/>
      </c>
      <c r="I76" s="19">
        <f>$D$32*(1+$D$33)^(5-1)</f>
        <v/>
      </c>
      <c r="J76" s="19">
        <f>$D$32*(1+$D$33)^(6-1)</f>
        <v/>
      </c>
      <c r="K76" s="19">
        <f>$D$32*(1+$D$33)^(7-1)</f>
        <v/>
      </c>
      <c r="L76" s="19">
        <f>$D$32*(1+$D$33)^(8-1)</f>
        <v/>
      </c>
      <c r="M76" s="19">
        <f>$D$32*(1+$D$33)^(9-1)</f>
        <v/>
      </c>
      <c r="N76" s="19">
        <f>$D$32*(1+$D$33)^(10-1)</f>
        <v/>
      </c>
    </row>
    <row r="77"/>
    <row r="78">
      <c r="A78" s="5" t="inlineStr">
        <is>
          <t>Energy Revenue</t>
        </is>
      </c>
      <c r="B78" s="6" t="inlineStr">
        <is>
          <t>$mm</t>
        </is>
      </c>
      <c r="C78" s="6" t="inlineStr">
        <is>
          <t>Generation × Power Price / 1M</t>
        </is>
      </c>
      <c r="E78" s="18" t="inlineStr"/>
      <c r="F78" s="18" t="inlineStr"/>
      <c r="G78" s="18" t="inlineStr"/>
      <c r="H78" s="18" t="inlineStr"/>
      <c r="I78" s="18" t="inlineStr"/>
      <c r="J78" s="18" t="inlineStr"/>
      <c r="K78" s="18" t="inlineStr"/>
      <c r="L78" s="18" t="inlineStr"/>
      <c r="M78" s="18" t="inlineStr"/>
      <c r="N78" s="18" t="inlineStr"/>
    </row>
    <row r="79">
      <c r="A79" s="5" t="inlineStr">
        <is>
          <t>Capacity Revenue</t>
        </is>
      </c>
      <c r="B79" s="6" t="inlineStr">
        <is>
          <t>$mm</t>
        </is>
      </c>
      <c r="C79" s="6" t="inlineStr">
        <is>
          <t>UCAP × Cap Price × 1000 / 1M</t>
        </is>
      </c>
      <c r="E79" s="18" t="inlineStr"/>
      <c r="F79" s="18" t="inlineStr"/>
      <c r="G79" s="18" t="inlineStr"/>
      <c r="H79" s="18" t="inlineStr"/>
      <c r="I79" s="18" t="inlineStr"/>
      <c r="J79" s="18" t="inlineStr"/>
      <c r="K79" s="18" t="inlineStr"/>
      <c r="L79" s="18" t="inlineStr"/>
      <c r="M79" s="18" t="inlineStr"/>
      <c r="N79" s="18" t="inlineStr"/>
    </row>
    <row r="80">
      <c r="A80" s="5" t="inlineStr">
        <is>
          <t>Total Revenue</t>
        </is>
      </c>
      <c r="B80" s="6" t="inlineStr">
        <is>
          <t>$mm</t>
        </is>
      </c>
      <c r="C80" s="6" t="inlineStr"/>
      <c r="E80" s="20" t="inlineStr"/>
      <c r="F80" s="20" t="inlineStr"/>
      <c r="G80" s="20" t="inlineStr"/>
      <c r="H80" s="20" t="inlineStr"/>
      <c r="I80" s="20" t="inlineStr"/>
      <c r="J80" s="20" t="inlineStr"/>
      <c r="K80" s="20" t="inlineStr"/>
      <c r="L80" s="20" t="inlineStr"/>
      <c r="M80" s="20" t="inlineStr"/>
      <c r="N80" s="20" t="inlineStr"/>
    </row>
    <row r="81"/>
    <row r="82">
      <c r="A82" s="5" t="inlineStr">
        <is>
          <t>Fuel Cost</t>
        </is>
      </c>
      <c r="B82" s="6" t="inlineStr">
        <is>
          <t>$mm</t>
        </is>
      </c>
      <c r="C82" s="6" t="inlineStr">
        <is>
          <t>Gen × HR × Gas / 1B</t>
        </is>
      </c>
      <c r="E82" s="18" t="inlineStr"/>
      <c r="F82" s="18" t="inlineStr"/>
      <c r="G82" s="18" t="inlineStr"/>
      <c r="H82" s="18" t="inlineStr"/>
      <c r="I82" s="18" t="inlineStr"/>
      <c r="J82" s="18" t="inlineStr"/>
      <c r="K82" s="18" t="inlineStr"/>
      <c r="L82" s="18" t="inlineStr"/>
      <c r="M82" s="18" t="inlineStr"/>
      <c r="N82" s="18" t="inlineStr"/>
    </row>
    <row r="83">
      <c r="A83" s="34" t="inlineStr">
        <is>
          <t>Spark Spread</t>
        </is>
      </c>
      <c r="B83" t="inlineStr">
        <is>
          <t>$/MWh</t>
        </is>
      </c>
      <c r="C83"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3" s="56">
        <f>E72-($D$34/1000)*E74</f>
        <v/>
      </c>
      <c r="F83" s="56">
        <f>F72-($D$34/1000)*F74</f>
        <v/>
      </c>
      <c r="G83" s="56">
        <f>G72-($D$34/1000)*G74</f>
        <v/>
      </c>
      <c r="H83" s="56">
        <f>H72-($D$34/1000)*H74</f>
        <v/>
      </c>
      <c r="I83" s="56">
        <f>I72-($D$34/1000)*I74</f>
        <v/>
      </c>
      <c r="J83" s="56">
        <f>J72-($D$34/1000)*J74</f>
        <v/>
      </c>
      <c r="K83" s="56">
        <f>K72-($D$34/1000)*K74</f>
        <v/>
      </c>
      <c r="L83" s="56">
        <f>L72-($D$34/1000)*L74</f>
        <v/>
      </c>
      <c r="M83" s="56">
        <f>M72-($D$34/1000)*M74</f>
        <v/>
      </c>
      <c r="N83" s="56">
        <f>N72-($D$34/1000)*N74</f>
        <v/>
      </c>
    </row>
    <row r="84">
      <c r="A84" s="5" t="inlineStr">
        <is>
          <t>VOM</t>
        </is>
      </c>
      <c r="B84" s="6" t="inlineStr">
        <is>
          <t>$mm</t>
        </is>
      </c>
      <c r="C84" s="6" t="inlineStr">
        <is>
          <t>Generation × VOM rate / 1M</t>
        </is>
      </c>
      <c r="E84" s="18">
        <f>$D$56*$D$36/1000000</f>
        <v/>
      </c>
      <c r="F84" s="18">
        <f>$D$56*$D$36/1000000</f>
        <v/>
      </c>
      <c r="G84" s="18">
        <f>$D$56*$D$36/1000000</f>
        <v/>
      </c>
      <c r="H84" s="18">
        <f>$D$56*$D$36/1000000</f>
        <v/>
      </c>
      <c r="I84" s="18">
        <f>$D$56*$D$36/1000000</f>
        <v/>
      </c>
      <c r="J84" s="18">
        <f>$D$56*$D$36/1000000</f>
        <v/>
      </c>
      <c r="K84" s="18">
        <f>$D$56*$D$36/1000000</f>
        <v/>
      </c>
      <c r="L84" s="18">
        <f>$D$56*$D$36/1000000</f>
        <v/>
      </c>
      <c r="M84" s="18">
        <f>$D$56*$D$36/1000000</f>
        <v/>
      </c>
      <c r="N84" s="18">
        <f>$D$56*$D$36/1000000</f>
        <v/>
      </c>
    </row>
    <row r="85">
      <c r="A85" s="5" t="inlineStr">
        <is>
          <t>FOM</t>
        </is>
      </c>
      <c r="B85" s="6" t="inlineStr">
        <is>
          <t>$mm</t>
        </is>
      </c>
      <c r="C85" s="6" t="inlineStr">
        <is>
          <t>Capacity × FOM × esc × 1000 / 1M</t>
        </is>
      </c>
      <c r="E85" s="18">
        <f>$D$23*$D$37*(1+$D$33)^(1-1)*1000/1000000</f>
        <v/>
      </c>
      <c r="F85" s="18">
        <f>$D$23*$D$37*(1+$D$33)^(2-1)*1000/1000000</f>
        <v/>
      </c>
      <c r="G85" s="18">
        <f>$D$23*$D$37*(1+$D$33)^(3-1)*1000/1000000</f>
        <v/>
      </c>
      <c r="H85" s="18">
        <f>$D$23*$D$37*(1+$D$33)^(4-1)*1000/1000000</f>
        <v/>
      </c>
      <c r="I85" s="18">
        <f>$D$23*$D$37*(1+$D$33)^(5-1)*1000/1000000</f>
        <v/>
      </c>
      <c r="J85" s="18">
        <f>$D$23*$D$37*(1+$D$33)^(6-1)*1000/1000000</f>
        <v/>
      </c>
      <c r="K85" s="18">
        <f>$D$23*$D$37*(1+$D$33)^(7-1)*1000/1000000</f>
        <v/>
      </c>
      <c r="L85" s="18">
        <f>$D$23*$D$37*(1+$D$33)^(8-1)*1000/1000000</f>
        <v/>
      </c>
      <c r="M85" s="18">
        <f>$D$23*$D$37*(1+$D$33)^(9-1)*1000/1000000</f>
        <v/>
      </c>
      <c r="N85" s="18">
        <f>$D$23*$D$37*(1+$D$33)^(10-1)*1000/1000000</f>
        <v/>
      </c>
    </row>
    <row r="86">
      <c r="A86" s="5" t="inlineStr">
        <is>
          <t>Total Operating Costs</t>
        </is>
      </c>
      <c r="B86" s="6" t="inlineStr">
        <is>
          <t>$mm</t>
        </is>
      </c>
      <c r="C86" s="6" t="inlineStr"/>
      <c r="E86" s="18">
        <f>E70+E71+E72</f>
        <v/>
      </c>
      <c r="F86" s="18">
        <f>F70+F71+F72</f>
        <v/>
      </c>
      <c r="G86" s="18">
        <f>G70+G71+G72</f>
        <v/>
      </c>
      <c r="H86" s="18">
        <f>H70+H71+H72</f>
        <v/>
      </c>
      <c r="I86" s="18">
        <f>I70+I71+I72</f>
        <v/>
      </c>
      <c r="J86" s="18">
        <f>J70+J71+J72</f>
        <v/>
      </c>
      <c r="K86" s="18">
        <f>K70+K71+K72</f>
        <v/>
      </c>
      <c r="L86" s="18">
        <f>L70+L71+L72</f>
        <v/>
      </c>
      <c r="M86" s="18">
        <f>M70+M71+M72</f>
        <v/>
      </c>
      <c r="N86" s="18">
        <f>N70+N71+N72</f>
        <v/>
      </c>
    </row>
    <row r="87"/>
    <row r="88">
      <c r="A88" s="5" t="inlineStr">
        <is>
          <t>EBITDA</t>
        </is>
      </c>
      <c r="B88" s="6" t="inlineStr">
        <is>
          <t>$mm</t>
        </is>
      </c>
      <c r="C88" s="6" t="inlineStr"/>
      <c r="E88" s="7" t="inlineStr"/>
      <c r="F88" s="7" t="inlineStr"/>
      <c r="G88" s="7" t="inlineStr"/>
      <c r="H88" s="7" t="inlineStr"/>
      <c r="I88" s="7" t="inlineStr"/>
      <c r="J88" s="7" t="inlineStr"/>
      <c r="K88" s="7" t="inlineStr"/>
      <c r="L88" s="7" t="inlineStr"/>
      <c r="M88" s="7" t="inlineStr"/>
      <c r="N88" s="7" t="inlineStr"/>
    </row>
    <row r="89"/>
    <row r="90">
      <c r="A90" s="3" t="inlineStr">
        <is>
          <t>CASH FLOW</t>
        </is>
      </c>
      <c r="B90" s="4" t="n"/>
      <c r="C90" s="4" t="n"/>
      <c r="D90" s="4" t="n"/>
      <c r="E90" s="4" t="n"/>
      <c r="F90" s="4" t="n"/>
      <c r="G90" s="4" t="n"/>
      <c r="H90" s="4" t="n"/>
      <c r="I90" s="4" t="n"/>
      <c r="J90" s="4" t="n"/>
      <c r="K90" s="4" t="n"/>
      <c r="L90" s="4" t="n"/>
      <c r="M90" s="4" t="n"/>
      <c r="N90" s="4" t="n"/>
    </row>
    <row r="91">
      <c r="A91" s="5" t="inlineStr">
        <is>
          <t>EBIT</t>
        </is>
      </c>
      <c r="B91" s="6" t="inlineStr">
        <is>
          <t>$mm</t>
        </is>
      </c>
      <c r="C91" s="6" t="inlineStr">
        <is>
          <t>EBITDA - Depreciation</t>
        </is>
      </c>
      <c r="E91" s="18" t="inlineStr"/>
      <c r="F91" s="18" t="inlineStr"/>
      <c r="G91" s="18" t="inlineStr"/>
      <c r="H91" s="18" t="inlineStr"/>
      <c r="I91" s="18" t="inlineStr"/>
      <c r="J91" s="18" t="inlineStr"/>
      <c r="K91" s="18" t="inlineStr"/>
      <c r="L91" s="18" t="inlineStr"/>
      <c r="M91" s="18" t="inlineStr"/>
      <c r="N91" s="18" t="inlineStr"/>
    </row>
    <row r="92">
      <c r="A92" s="5" t="inlineStr">
        <is>
          <t>Taxes</t>
        </is>
      </c>
      <c r="B92" s="6" t="inlineStr">
        <is>
          <t>$mm</t>
        </is>
      </c>
      <c r="C92" s="6" t="inlineStr">
        <is>
          <t>MAX(0, EBIT) × Tax Rate</t>
        </is>
      </c>
      <c r="E92" s="18" t="inlineStr"/>
      <c r="F92" s="18" t="inlineStr"/>
      <c r="G92" s="18" t="inlineStr"/>
      <c r="H92" s="18" t="inlineStr"/>
      <c r="I92" s="18" t="inlineStr"/>
      <c r="J92" s="18" t="inlineStr"/>
      <c r="K92" s="18" t="inlineStr"/>
      <c r="L92" s="18" t="inlineStr"/>
      <c r="M92" s="18" t="inlineStr"/>
      <c r="N92" s="18" t="inlineStr"/>
    </row>
    <row r="93">
      <c r="A93" s="5" t="inlineStr">
        <is>
          <t>Major Maintenance</t>
        </is>
      </c>
      <c r="B93" s="6" t="inlineStr">
        <is>
          <t>$mm</t>
        </is>
      </c>
      <c r="C93" s="6" t="inlineStr">
        <is>
          <t>HGP in specified year</t>
        </is>
      </c>
      <c r="E93" s="21">
        <f>IF(1=$D$38,$D$39,0)</f>
        <v/>
      </c>
      <c r="F93" s="21">
        <f>IF(2=$D$38,$D$39,0)</f>
        <v/>
      </c>
      <c r="G93" s="21">
        <f>IF(3=$D$38,$D$39,0)</f>
        <v/>
      </c>
      <c r="H93" s="21">
        <f>IF(4=$D$38,$D$39,0)</f>
        <v/>
      </c>
      <c r="I93" s="21">
        <f>IF(5=$D$38,$D$39,0)</f>
        <v/>
      </c>
      <c r="J93" s="21">
        <f>IF(6=$D$38,$D$39,0)</f>
        <v/>
      </c>
      <c r="K93" s="21">
        <f>IF(7=$D$38,$D$39,0)</f>
        <v/>
      </c>
      <c r="L93" s="21">
        <f>IF(8=$D$38,$D$39,0)</f>
        <v/>
      </c>
      <c r="M93" s="21">
        <f>IF(9=$D$38,$D$39,0)</f>
        <v/>
      </c>
      <c r="N93" s="21">
        <f>IF(10=$D$38,$D$39,0)</f>
        <v/>
      </c>
    </row>
    <row r="94">
      <c r="A94" s="5" t="inlineStr">
        <is>
          <t>CFADS</t>
        </is>
      </c>
      <c r="B94" s="6" t="inlineStr">
        <is>
          <t>$mm</t>
        </is>
      </c>
      <c r="C94" s="6" t="inlineStr">
        <is>
          <t>EBITDA - Taxes - Maint</t>
        </is>
      </c>
      <c r="E94" s="7" t="inlineStr"/>
      <c r="F94" s="7" t="inlineStr"/>
      <c r="G94" s="7" t="inlineStr"/>
      <c r="H94" s="7" t="inlineStr"/>
      <c r="I94" s="7" t="inlineStr"/>
      <c r="J94" s="7" t="inlineStr"/>
      <c r="K94" s="7" t="inlineStr"/>
      <c r="L94" s="7" t="inlineStr"/>
      <c r="M94" s="7" t="inlineStr"/>
      <c r="N94" s="7" t="inlineStr"/>
    </row>
    <row r="95"/>
    <row r="96">
      <c r="A96" s="3" t="inlineStr">
        <is>
          <t>DEBT SCHEDULE (50% Cash Sweep)</t>
        </is>
      </c>
      <c r="B96" s="4" t="n"/>
      <c r="C96" s="4" t="n"/>
      <c r="D96" s="4" t="n"/>
      <c r="E96" s="4" t="n"/>
      <c r="F96" s="4" t="n"/>
      <c r="G96" s="4" t="n"/>
      <c r="H96" s="4" t="n"/>
      <c r="I96" s="4" t="n"/>
      <c r="J96" s="4" t="n"/>
      <c r="K96" s="4" t="n"/>
      <c r="L96" s="4" t="n"/>
      <c r="M96" s="4" t="n"/>
      <c r="N96" s="4" t="n"/>
    </row>
    <row r="97">
      <c r="A97" s="5" t="inlineStr">
        <is>
          <t>Beginning Balance</t>
        </is>
      </c>
      <c r="B97" s="6" t="inlineStr">
        <is>
          <t>$mm</t>
        </is>
      </c>
      <c r="C97" s="6" t="inlineStr"/>
      <c r="E97" s="18">
        <f>$D$57</f>
        <v/>
      </c>
      <c r="F97" s="18">
        <f>E91</f>
        <v/>
      </c>
      <c r="G97" s="18">
        <f>F91</f>
        <v/>
      </c>
      <c r="H97" s="18">
        <f>G91</f>
        <v/>
      </c>
      <c r="I97" s="18">
        <f>H91</f>
        <v/>
      </c>
      <c r="J97" s="18">
        <f>I91</f>
        <v/>
      </c>
      <c r="K97" s="18">
        <f>J91</f>
        <v/>
      </c>
      <c r="L97" s="18">
        <f>K91</f>
        <v/>
      </c>
      <c r="M97" s="18">
        <f>L91</f>
        <v/>
      </c>
      <c r="N97" s="18">
        <f>M91</f>
        <v/>
      </c>
    </row>
    <row r="98">
      <c r="A98" s="5" t="inlineStr">
        <is>
          <t>Interest</t>
        </is>
      </c>
      <c r="B98" s="6" t="inlineStr">
        <is>
          <t>$mm</t>
        </is>
      </c>
      <c r="C98" s="6" t="inlineStr">
        <is>
          <t>Beg Bal × Int Rate</t>
        </is>
      </c>
      <c r="E98" s="18" t="inlineStr"/>
      <c r="F98" s="18" t="inlineStr"/>
      <c r="G98" s="18" t="inlineStr"/>
      <c r="H98" s="18" t="inlineStr"/>
      <c r="I98" s="18" t="inlineStr"/>
      <c r="J98" s="18" t="inlineStr"/>
      <c r="K98" s="18" t="inlineStr"/>
      <c r="L98" s="18" t="inlineStr"/>
      <c r="M98" s="18" t="inlineStr"/>
      <c r="N98" s="18" t="inlineStr"/>
    </row>
    <row r="99">
      <c r="A99" s="5" t="inlineStr">
        <is>
          <t>Scheduled Principal</t>
        </is>
      </c>
      <c r="B99" s="6" t="inlineStr">
        <is>
          <t>$mm</t>
        </is>
      </c>
      <c r="C99" s="6" t="inlineStr">
        <is>
          <t>MIN(Sched, Beg Bal)</t>
        </is>
      </c>
      <c r="E99" s="18" t="inlineStr"/>
      <c r="F99" s="18" t="inlineStr"/>
      <c r="G99" s="18" t="inlineStr"/>
      <c r="H99" s="18" t="inlineStr"/>
      <c r="I99" s="18" t="inlineStr"/>
      <c r="J99" s="18" t="inlineStr"/>
      <c r="K99" s="18" t="inlineStr"/>
      <c r="L99" s="18" t="inlineStr"/>
      <c r="M99" s="18" t="inlineStr"/>
      <c r="N99" s="18" t="inlineStr"/>
    </row>
    <row r="100">
      <c r="A100" s="5" t="inlineStr">
        <is>
          <t>Debt Service (Pre-Sweep)</t>
        </is>
      </c>
      <c r="B100" s="6" t="inlineStr">
        <is>
          <t>$mm</t>
        </is>
      </c>
      <c r="C100" s="6" t="inlineStr">
        <is>
          <t>Interest + Sched Prin</t>
        </is>
      </c>
      <c r="E100" s="18">
        <f>E85+E86</f>
        <v/>
      </c>
      <c r="F100" s="18">
        <f>F85+F86</f>
        <v/>
      </c>
      <c r="G100" s="18">
        <f>G85+G86</f>
        <v/>
      </c>
      <c r="H100" s="18">
        <f>H85+H86</f>
        <v/>
      </c>
      <c r="I100" s="18">
        <f>I85+I86</f>
        <v/>
      </c>
      <c r="J100" s="18">
        <f>J85+J86</f>
        <v/>
      </c>
      <c r="K100" s="18">
        <f>K85+K86</f>
        <v/>
      </c>
      <c r="L100" s="18">
        <f>L85+L86</f>
        <v/>
      </c>
      <c r="M100" s="18">
        <f>M85+M86</f>
        <v/>
      </c>
      <c r="N100" s="18">
        <f>N85+N86</f>
        <v/>
      </c>
    </row>
    <row r="101">
      <c r="A101" s="5" t="inlineStr">
        <is>
          <t>Excess Cash</t>
        </is>
      </c>
      <c r="B101" s="6" t="inlineStr">
        <is>
          <t>$mm</t>
        </is>
      </c>
      <c r="C101" s="6" t="inlineStr">
        <is>
          <t>CFADS - DS - DSRA Funding</t>
        </is>
      </c>
      <c r="E101" s="18">
        <f>MAX(0,E81-E87-E97)</f>
        <v/>
      </c>
      <c r="F101" s="18">
        <f>MAX(0,F81-F87-F97)</f>
        <v/>
      </c>
      <c r="G101" s="18">
        <f>MAX(0,G81-G87-G97)</f>
        <v/>
      </c>
      <c r="H101" s="18">
        <f>MAX(0,H81-H87-H97)</f>
        <v/>
      </c>
      <c r="I101" s="18">
        <f>MAX(0,I81-I87-I97)</f>
        <v/>
      </c>
      <c r="J101" s="18">
        <f>MAX(0,J81-J87-J97)</f>
        <v/>
      </c>
      <c r="K101" s="18">
        <f>MAX(0,K81-K87-K97)</f>
        <v/>
      </c>
      <c r="L101" s="18">
        <f>MAX(0,L81-L87-L97)</f>
        <v/>
      </c>
      <c r="M101" s="18">
        <f>MAX(0,M81-M87-M97)</f>
        <v/>
      </c>
      <c r="N101" s="18">
        <f>MAX(0,N81-N87-N97)</f>
        <v/>
      </c>
    </row>
    <row r="102">
      <c r="A102" s="5" t="inlineStr">
        <is>
          <t>Cash Sweep</t>
        </is>
      </c>
      <c r="B102" s="6" t="inlineStr">
        <is>
          <t>$mm</t>
        </is>
      </c>
      <c r="C102" s="6" t="inlineStr">
        <is>
          <t>MIN(Excess×50%, Beg-Sched)</t>
        </is>
      </c>
      <c r="E102" s="21" t="inlineStr"/>
      <c r="F102" s="21" t="inlineStr"/>
      <c r="G102" s="21" t="inlineStr"/>
      <c r="H102" s="21" t="inlineStr"/>
      <c r="I102" s="21" t="inlineStr"/>
      <c r="J102" s="21" t="inlineStr"/>
      <c r="K102" s="21" t="inlineStr"/>
      <c r="L102" s="21" t="inlineStr"/>
      <c r="M102" s="21" t="inlineStr"/>
      <c r="N102" s="21" t="inlineStr"/>
    </row>
    <row r="103">
      <c r="A103" s="5" t="inlineStr">
        <is>
          <t>Total Principal</t>
        </is>
      </c>
      <c r="B103" s="6" t="inlineStr">
        <is>
          <t>$mm</t>
        </is>
      </c>
      <c r="C103" s="6" t="inlineStr">
        <is>
          <t>Scheduled + Sweep</t>
        </is>
      </c>
      <c r="E103" s="18" t="inlineStr"/>
      <c r="F103" s="18" t="inlineStr"/>
      <c r="G103" s="18" t="inlineStr"/>
      <c r="H103" s="18" t="inlineStr"/>
      <c r="I103" s="18" t="inlineStr"/>
      <c r="J103" s="18" t="inlineStr"/>
      <c r="K103" s="18" t="inlineStr"/>
      <c r="L103" s="18" t="inlineStr"/>
      <c r="M103" s="18" t="inlineStr"/>
      <c r="N103" s="18" t="inlineStr"/>
    </row>
    <row r="104">
      <c r="A104" s="5" t="inlineStr">
        <is>
          <t>Ending Balance</t>
        </is>
      </c>
      <c r="B104" s="6" t="inlineStr">
        <is>
          <t>$mm</t>
        </is>
      </c>
      <c r="C104" s="6" t="inlineStr">
        <is>
          <t>MAX(0, Beg - Total Prin)</t>
        </is>
      </c>
      <c r="E104" s="18" t="inlineStr"/>
      <c r="F104" s="18" t="inlineStr"/>
      <c r="G104" s="18" t="inlineStr"/>
      <c r="H104" s="18" t="inlineStr"/>
      <c r="I104" s="18" t="inlineStr"/>
      <c r="J104" s="18" t="inlineStr"/>
      <c r="K104" s="18" t="inlineStr"/>
      <c r="L104" s="18" t="inlineStr"/>
      <c r="M104" s="18" t="inlineStr"/>
      <c r="N104" s="18" t="inlineStr"/>
    </row>
    <row r="105">
      <c r="A105" s="5" t="inlineStr">
        <is>
          <t>DSCR</t>
        </is>
      </c>
      <c r="B105" s="6" t="inlineStr">
        <is>
          <t>x</t>
        </is>
      </c>
      <c r="C105" s="6" t="inlineStr">
        <is>
          <t>CFADS / Debt Service</t>
        </is>
      </c>
      <c r="E105" s="30" t="inlineStr"/>
      <c r="F105" s="30" t="inlineStr"/>
      <c r="G105" s="30" t="inlineStr"/>
      <c r="H105" s="30" t="inlineStr"/>
      <c r="I105" s="30" t="inlineStr"/>
      <c r="J105" s="30" t="inlineStr"/>
      <c r="K105" s="30" t="inlineStr"/>
      <c r="L105" s="30" t="inlineStr"/>
      <c r="M105" s="30" t="inlineStr"/>
      <c r="N105" s="30" t="inlineStr"/>
    </row>
    <row r="106">
      <c r="A106" s="5" t="inlineStr">
        <is>
          <t>Scheduled DS (for DSRA)</t>
        </is>
      </c>
      <c r="B106" s="6" t="inlineStr">
        <is>
          <t>$mm</t>
        </is>
      </c>
      <c r="C106" s="6" t="inlineStr">
        <is>
          <t>Based on straight-line amort</t>
        </is>
      </c>
      <c r="E106" s="18">
        <f>MAX(0,$D$57-(1-1)*$D$59)*$D$43+$D$59</f>
        <v/>
      </c>
      <c r="F106" s="18">
        <f>MAX(0,$D$57-(2-1)*$D$59)*$D$43+$D$59</f>
        <v/>
      </c>
      <c r="G106" s="18">
        <f>MAX(0,$D$57-(3-1)*$D$59)*$D$43+$D$59</f>
        <v/>
      </c>
      <c r="H106" s="18">
        <f>MAX(0,$D$57-(4-1)*$D$59)*$D$43+$D$59</f>
        <v/>
      </c>
      <c r="I106" s="18">
        <f>MAX(0,$D$57-(5-1)*$D$59)*$D$43+$D$59</f>
        <v/>
      </c>
      <c r="J106" s="18">
        <f>MAX(0,$D$57-(6-1)*$D$59)*$D$43+$D$59</f>
        <v/>
      </c>
      <c r="K106" s="18">
        <f>MAX(0,$D$57-(7-1)*$D$59)*$D$43+$D$59</f>
        <v/>
      </c>
      <c r="L106" s="18">
        <f>MAX(0,$D$57-(8-1)*$D$59)*$D$43+$D$59</f>
        <v/>
      </c>
      <c r="M106" s="18">
        <f>MAX(0,$D$57-(9-1)*$D$59)*$D$43+$D$59</f>
        <v/>
      </c>
      <c r="N106" s="18">
        <f>MAX(0,$D$57-(10-1)*$D$59)*$D$43+$D$59</f>
        <v/>
      </c>
    </row>
    <row r="107">
      <c r="A107" s="3" t="inlineStr">
        <is>
          <t>DSRA (Debt Service Reserve Account)</t>
        </is>
      </c>
      <c r="B107" s="4" t="n"/>
      <c r="C107" s="4" t="n"/>
      <c r="D107" s="4" t="n"/>
      <c r="E107" s="4" t="n"/>
      <c r="F107" s="4" t="n"/>
      <c r="G107" s="4" t="n"/>
      <c r="H107" s="4" t="n"/>
      <c r="I107" s="4" t="n"/>
      <c r="J107" s="4" t="n"/>
      <c r="K107" s="4" t="n"/>
      <c r="L107" s="4" t="n"/>
      <c r="M107" s="4" t="n"/>
      <c r="N107" s="4" t="n"/>
    </row>
    <row r="108">
      <c r="A108" s="5" t="inlineStr">
        <is>
          <t>DSRA Target</t>
        </is>
      </c>
      <c r="B108" s="6" t="inlineStr">
        <is>
          <t>$mm</t>
        </is>
      </c>
      <c r="C108" s="6" t="inlineStr">
        <is>
          <t>Next Yr Scheduled DS × DSRA Months / 12</t>
        </is>
      </c>
      <c r="D108" s="18">
        <f>E93*$D$45/12</f>
        <v/>
      </c>
      <c r="E108" s="18">
        <f>F93*$D$45/12</f>
        <v/>
      </c>
      <c r="F108" s="18">
        <f>G93*$D$45/12</f>
        <v/>
      </c>
      <c r="G108" s="18">
        <f>H93*$D$45/12</f>
        <v/>
      </c>
      <c r="H108" s="18">
        <f>I93*$D$45/12</f>
        <v/>
      </c>
      <c r="I108" s="18">
        <f>J93*$D$45/12</f>
        <v/>
      </c>
      <c r="J108" s="18">
        <f>K93*$D$45/12</f>
        <v/>
      </c>
      <c r="K108" s="18">
        <f>L93*$D$45/12</f>
        <v/>
      </c>
      <c r="L108" s="18">
        <f>M93*$D$45/12</f>
        <v/>
      </c>
      <c r="M108" s="18">
        <f>N93*$D$45/12</f>
        <v/>
      </c>
      <c r="N108" s="18">
        <f>0</f>
        <v/>
      </c>
    </row>
    <row r="109">
      <c r="A109" s="5" t="inlineStr">
        <is>
          <t>DSRA Beginning</t>
        </is>
      </c>
      <c r="B109" s="6" t="inlineStr">
        <is>
          <t>$mm</t>
        </is>
      </c>
      <c r="C109" s="6" t="inlineStr"/>
      <c r="D109" s="18">
        <f>0</f>
        <v/>
      </c>
      <c r="E109" s="18">
        <f>D98</f>
        <v/>
      </c>
      <c r="F109" s="18">
        <f>E98</f>
        <v/>
      </c>
      <c r="G109" s="18">
        <f>F98</f>
        <v/>
      </c>
      <c r="H109" s="18">
        <f>G98</f>
        <v/>
      </c>
      <c r="I109" s="18">
        <f>H98</f>
        <v/>
      </c>
      <c r="J109" s="18">
        <f>I98</f>
        <v/>
      </c>
      <c r="K109" s="18">
        <f>J98</f>
        <v/>
      </c>
      <c r="L109" s="18">
        <f>K98</f>
        <v/>
      </c>
      <c r="M109" s="18">
        <f>L98</f>
        <v/>
      </c>
      <c r="N109" s="18">
        <f>M98</f>
        <v/>
      </c>
    </row>
    <row r="110">
      <c r="A110" s="5" t="inlineStr">
        <is>
          <t>DSRA Funding/(Release)</t>
        </is>
      </c>
      <c r="B110" s="6" t="inlineStr">
        <is>
          <t>$mm</t>
        </is>
      </c>
      <c r="C110" s="6" t="inlineStr">
        <is>
          <t>Target - Beginning</t>
        </is>
      </c>
      <c r="D110" s="18">
        <f>D95-D96</f>
        <v/>
      </c>
      <c r="E110" s="18">
        <f>E95-E96</f>
        <v/>
      </c>
      <c r="F110" s="18">
        <f>F95-F96</f>
        <v/>
      </c>
      <c r="G110" s="18">
        <f>G95-G96</f>
        <v/>
      </c>
      <c r="H110" s="18">
        <f>H95-H96</f>
        <v/>
      </c>
      <c r="I110" s="18">
        <f>I95-I96</f>
        <v/>
      </c>
      <c r="J110" s="18">
        <f>J95-J96</f>
        <v/>
      </c>
      <c r="K110" s="18">
        <f>K95-K96</f>
        <v/>
      </c>
      <c r="L110" s="18">
        <f>L95-L96</f>
        <v/>
      </c>
      <c r="M110" s="18">
        <f>M95-M96</f>
        <v/>
      </c>
      <c r="N110" s="18">
        <f>N95-N96</f>
        <v/>
      </c>
    </row>
    <row r="111">
      <c r="A111" s="5" t="inlineStr">
        <is>
          <t>DSRA Ending</t>
        </is>
      </c>
      <c r="B111" s="6" t="inlineStr">
        <is>
          <t>$mm</t>
        </is>
      </c>
      <c r="C111" s="6" t="inlineStr">
        <is>
          <t>Beginning + Funding</t>
        </is>
      </c>
      <c r="D111" s="18">
        <f>D96+D97</f>
        <v/>
      </c>
      <c r="E111" s="18">
        <f>E96+E97</f>
        <v/>
      </c>
      <c r="F111" s="18">
        <f>F96+F97</f>
        <v/>
      </c>
      <c r="G111" s="18">
        <f>G96+G97</f>
        <v/>
      </c>
      <c r="H111" s="18">
        <f>H96+H97</f>
        <v/>
      </c>
      <c r="I111" s="18">
        <f>I96+I97</f>
        <v/>
      </c>
      <c r="J111" s="18">
        <f>J96+J97</f>
        <v/>
      </c>
      <c r="K111" s="18">
        <f>K96+K97</f>
        <v/>
      </c>
      <c r="L111" s="18">
        <f>L96+L97</f>
        <v/>
      </c>
      <c r="M111" s="18">
        <f>M96+M97</f>
        <v/>
      </c>
      <c r="N111" s="18">
        <f>N96+N97</f>
        <v/>
      </c>
    </row>
    <row r="112"/>
    <row r="113">
      <c r="A113" s="3" t="inlineStr">
        <is>
          <t>DISTRIBUTION WATERFALL</t>
        </is>
      </c>
      <c r="B113" s="4" t="n"/>
      <c r="C113" s="4" t="n"/>
      <c r="D113" s="4" t="n"/>
      <c r="E113" s="4" t="n"/>
      <c r="F113" s="4" t="n"/>
      <c r="G113" s="4" t="n"/>
      <c r="H113" s="4" t="n"/>
      <c r="I113" s="4" t="n"/>
      <c r="J113" s="4" t="n"/>
      <c r="K113" s="4" t="n"/>
      <c r="L113" s="4" t="n"/>
      <c r="M113" s="4" t="n"/>
      <c r="N113" s="4" t="n"/>
    </row>
    <row r="114">
      <c r="A114" s="5" t="inlineStr">
        <is>
          <t>Cash Available for Distribution</t>
        </is>
      </c>
      <c r="B114" s="6" t="inlineStr">
        <is>
          <t>$mm</t>
        </is>
      </c>
      <c r="C114" s="6" t="inlineStr">
        <is>
          <t>CFADS - Total DS - DSRA Fund</t>
        </is>
      </c>
      <c r="E114" s="18">
        <f>E81-(E85+E90)-E97</f>
        <v/>
      </c>
      <c r="F114" s="18">
        <f>F81-(F85+F90)-F97</f>
        <v/>
      </c>
      <c r="G114" s="18">
        <f>G81-(G85+G90)-G97</f>
        <v/>
      </c>
      <c r="H114" s="18">
        <f>H81-(H85+H90)-H97</f>
        <v/>
      </c>
      <c r="I114" s="18">
        <f>I81-(I85+I90)-I97</f>
        <v/>
      </c>
      <c r="J114" s="18">
        <f>J81-(J85+J90)-J97</f>
        <v/>
      </c>
      <c r="K114" s="18">
        <f>K81-(K85+K90)-K97</f>
        <v/>
      </c>
      <c r="L114" s="18">
        <f>L81-(L85+L90)-L97</f>
        <v/>
      </c>
      <c r="M114" s="18">
        <f>M81-(M85+M90)-M97</f>
        <v/>
      </c>
      <c r="N114" s="18">
        <f>N81-(N85+N90)-N97</f>
        <v/>
      </c>
    </row>
    <row r="115">
      <c r="A115" s="5" t="inlineStr">
        <is>
          <t>Lock-up Test</t>
        </is>
      </c>
      <c r="B115" s="6" t="inlineStr"/>
      <c r="C115" s="6" t="inlineStr">
        <is>
          <t>PASS if DSCR ≥ Lock-up</t>
        </is>
      </c>
      <c r="E115" s="22">
        <f>IF(E92&gt;=$D$47,"PASS","LOCKED")</f>
        <v/>
      </c>
      <c r="F115" s="22">
        <f>IF(F92&gt;=$D$47,"PASS","LOCKED")</f>
        <v/>
      </c>
      <c r="G115" s="22">
        <f>IF(G92&gt;=$D$47,"PASS","LOCKED")</f>
        <v/>
      </c>
      <c r="H115" s="22">
        <f>IF(H92&gt;=$D$47,"PASS","LOCKED")</f>
        <v/>
      </c>
      <c r="I115" s="22">
        <f>IF(I92&gt;=$D$47,"PASS","LOCKED")</f>
        <v/>
      </c>
      <c r="J115" s="22">
        <f>IF(J92&gt;=$D$47,"PASS","LOCKED")</f>
        <v/>
      </c>
      <c r="K115" s="22">
        <f>IF(K92&gt;=$D$47,"PASS","LOCKED")</f>
        <v/>
      </c>
      <c r="L115" s="22">
        <f>IF(L92&gt;=$D$47,"PASS","LOCKED")</f>
        <v/>
      </c>
      <c r="M115" s="22">
        <f>IF(M92&gt;=$D$47,"PASS","LOCKED")</f>
        <v/>
      </c>
      <c r="N115" s="22">
        <f>IF(N92&gt;=$D$47,"PASS","LOCKED")</f>
        <v/>
      </c>
    </row>
    <row r="116">
      <c r="A116" s="5" t="inlineStr">
        <is>
          <t>Distributable Cash</t>
        </is>
      </c>
      <c r="B116" s="6" t="inlineStr">
        <is>
          <t>$mm</t>
        </is>
      </c>
      <c r="C116" s="6" t="inlineStr">
        <is>
          <t>If PASS, MAX(0, Cash Avail)</t>
        </is>
      </c>
      <c r="E116" s="7" t="inlineStr"/>
      <c r="F116" s="7" t="inlineStr"/>
      <c r="G116" s="7" t="inlineStr"/>
      <c r="H116" s="7" t="inlineStr"/>
      <c r="I116" s="7" t="inlineStr"/>
      <c r="J116" s="7" t="inlineStr"/>
      <c r="K116" s="7" t="inlineStr"/>
      <c r="L116" s="7" t="inlineStr"/>
      <c r="M116" s="7" t="inlineStr"/>
      <c r="N116" s="7" t="inlineStr"/>
    </row>
    <row r="117"/>
    <row r="118">
      <c r="A118" s="3" t="inlineStr">
        <is>
          <t>SOURCES &amp; USES (Year 0)</t>
        </is>
      </c>
      <c r="B118" s="4" t="n"/>
      <c r="C118" s="4" t="n"/>
      <c r="D118" s="4" t="n"/>
      <c r="E118" s="4" t="n"/>
      <c r="F118" s="4" t="n"/>
      <c r="G118" s="4" t="n"/>
      <c r="H118" s="4" t="n"/>
      <c r="I118" s="4" t="n"/>
      <c r="J118" s="4" t="n"/>
      <c r="K118" s="4" t="n"/>
      <c r="L118" s="4" t="n"/>
      <c r="M118" s="4" t="n"/>
      <c r="N118" s="4" t="n"/>
    </row>
    <row r="119">
      <c r="A119" s="23" t="inlineStr">
        <is>
          <t>USES</t>
        </is>
      </c>
      <c r="B119" s="6" t="inlineStr"/>
      <c r="C119" s="6" t="inlineStr"/>
    </row>
    <row r="120">
      <c r="A120" s="5" t="inlineStr">
        <is>
          <t xml:space="preserve">  Purchase Price</t>
        </is>
      </c>
      <c r="B120" s="6" t="inlineStr">
        <is>
          <t>$mm</t>
        </is>
      </c>
      <c r="C120" s="6" t="inlineStr"/>
      <c r="D120" s="18">
        <f>$D$17</f>
        <v/>
      </c>
    </row>
    <row r="121">
      <c r="A121" s="5" t="inlineStr">
        <is>
          <t xml:space="preserve">  Transaction Fees</t>
        </is>
      </c>
      <c r="B121" s="6" t="inlineStr">
        <is>
          <t>$mm</t>
        </is>
      </c>
      <c r="C121" s="6" t="inlineStr"/>
      <c r="D121" s="18">
        <f>$D$17*$D$18</f>
        <v/>
      </c>
    </row>
    <row r="122">
      <c r="A122" s="5" t="inlineStr">
        <is>
          <t xml:space="preserve">  DSRA Funding</t>
        </is>
      </c>
      <c r="B122" s="6" t="inlineStr">
        <is>
          <t>$mm</t>
        </is>
      </c>
      <c r="C122" s="6" t="inlineStr"/>
      <c r="D122" s="18">
        <f>D95</f>
        <v/>
      </c>
    </row>
    <row r="123">
      <c r="A123" s="5" t="inlineStr">
        <is>
          <t>Total Uses</t>
        </is>
      </c>
      <c r="B123" s="6" t="inlineStr">
        <is>
          <t>$mm</t>
        </is>
      </c>
      <c r="C123" s="6" t="inlineStr"/>
      <c r="D123" s="7">
        <f>D107+D108+D109</f>
        <v/>
      </c>
    </row>
    <row r="124"/>
    <row r="125">
      <c r="A125" s="23" t="inlineStr">
        <is>
          <t>SOURCES</t>
        </is>
      </c>
      <c r="B125" s="6" t="inlineStr"/>
      <c r="C125" s="6" t="inlineStr"/>
    </row>
    <row r="126">
      <c r="A126" s="5" t="inlineStr">
        <is>
          <t xml:space="preserve">  Debt</t>
        </is>
      </c>
      <c r="B126" s="6" t="inlineStr">
        <is>
          <t>$mm</t>
        </is>
      </c>
      <c r="C126" s="6" t="inlineStr"/>
      <c r="D126" s="18">
        <f>$D$57</f>
        <v/>
      </c>
    </row>
    <row r="127">
      <c r="A127" s="5" t="inlineStr">
        <is>
          <t xml:space="preserve">  Equity</t>
        </is>
      </c>
      <c r="B127" s="6" t="inlineStr">
        <is>
          <t>$mm</t>
        </is>
      </c>
      <c r="C127" s="6" t="inlineStr">
        <is>
          <t>Plug to balance</t>
        </is>
      </c>
      <c r="D127" s="18">
        <f>D110-D113</f>
        <v/>
      </c>
    </row>
    <row r="128">
      <c r="A128" s="5" t="inlineStr">
        <is>
          <t>Total Sources</t>
        </is>
      </c>
      <c r="B128" s="6" t="inlineStr">
        <is>
          <t>$mm</t>
        </is>
      </c>
      <c r="C128" s="6" t="inlineStr"/>
      <c r="D128" s="7">
        <f>D113+D114</f>
        <v/>
      </c>
    </row>
    <row r="129">
      <c r="A129" s="5" t="inlineStr">
        <is>
          <t>Balance Check</t>
        </is>
      </c>
      <c r="B129" s="6" t="inlineStr"/>
      <c r="C129" s="6" t="inlineStr"/>
      <c r="D129" s="10">
        <f>IF(ABS(D110-D115)&lt;0.01,"PASS","FAIL")</f>
        <v/>
      </c>
    </row>
    <row r="130"/>
    <row r="131">
      <c r="A131" s="3" t="inlineStr">
        <is>
          <t>EXIT CALCULATIONS</t>
        </is>
      </c>
      <c r="B131" s="4" t="n"/>
      <c r="C131" s="4" t="n"/>
      <c r="D131" s="4" t="n"/>
      <c r="E131" s="4" t="n"/>
      <c r="F131" s="4" t="n"/>
      <c r="G131" s="4" t="n"/>
      <c r="H131" s="4" t="n"/>
      <c r="I131" s="4" t="n"/>
      <c r="J131" s="4" t="n"/>
      <c r="K131" s="4" t="n"/>
      <c r="L131" s="4" t="n"/>
      <c r="M131" s="4" t="n"/>
      <c r="N131" s="4" t="n"/>
    </row>
    <row r="132">
      <c r="A132" s="5" t="inlineStr">
        <is>
          <t>Exit EV</t>
        </is>
      </c>
      <c r="B132" s="6" t="inlineStr">
        <is>
          <t>$mm</t>
        </is>
      </c>
      <c r="C132" s="6" t="inlineStr">
        <is>
          <t>Exit Multiple × Exit Yr EBITDA</t>
        </is>
      </c>
      <c r="K132" s="18" t="inlineStr"/>
    </row>
    <row r="133">
      <c r="A133" s="5" t="inlineStr">
        <is>
          <t>Exit Debt Payoff</t>
        </is>
      </c>
      <c r="B133" s="6" t="inlineStr">
        <is>
          <t>$mm</t>
        </is>
      </c>
      <c r="C133" s="6" t="inlineStr">
        <is>
          <t>Ending Bal at Exit</t>
        </is>
      </c>
      <c r="K133" s="18">
        <f>K91</f>
        <v/>
      </c>
    </row>
    <row r="134">
      <c r="A134" s="5" t="inlineStr">
        <is>
          <t>DSRA Release</t>
        </is>
      </c>
      <c r="B134" s="6" t="inlineStr">
        <is>
          <t>$mm</t>
        </is>
      </c>
      <c r="C134" s="6" t="inlineStr">
        <is>
          <t>DSRA Ending at Exit</t>
        </is>
      </c>
      <c r="K134" s="18">
        <f>K98</f>
        <v/>
      </c>
    </row>
    <row r="135">
      <c r="A135" s="5" t="inlineStr">
        <is>
          <t>Exit Equity Proceeds</t>
        </is>
      </c>
      <c r="B135" s="6" t="inlineStr">
        <is>
          <t>$mm</t>
        </is>
      </c>
      <c r="C135" s="6" t="inlineStr">
        <is>
          <t>Exit EV - Debt + DSRA</t>
        </is>
      </c>
      <c r="K135" s="7" t="inlineStr"/>
    </row>
    <row r="136"/>
    <row r="137">
      <c r="A137" s="3" t="inlineStr">
        <is>
          <t>EQUITY RETURNS</t>
        </is>
      </c>
      <c r="B137" s="4" t="n"/>
      <c r="C137" s="4" t="n"/>
      <c r="D137" s="4" t="n"/>
      <c r="E137" s="4" t="n"/>
      <c r="F137" s="4" t="n"/>
      <c r="G137" s="4" t="n"/>
      <c r="H137" s="4" t="n"/>
      <c r="I137" s="4" t="n"/>
      <c r="J137" s="4" t="n"/>
      <c r="K137" s="4" t="n"/>
      <c r="L137" s="4" t="n"/>
      <c r="M137" s="4" t="n"/>
      <c r="N137" s="4" t="n"/>
    </row>
    <row r="138">
      <c r="A138" s="5" t="inlineStr">
        <is>
          <t>Equity Cash Flow</t>
        </is>
      </c>
      <c r="B138" s="6" t="inlineStr">
        <is>
          <t>$mm</t>
        </is>
      </c>
      <c r="C138" s="6" t="inlineStr"/>
      <c r="D138" s="18" t="inlineStr"/>
      <c r="E138" s="18" t="inlineStr"/>
      <c r="F138" s="18" t="inlineStr"/>
      <c r="G138" s="18" t="inlineStr"/>
      <c r="H138" s="18" t="inlineStr"/>
      <c r="I138" s="18" t="inlineStr"/>
      <c r="J138" s="18" t="inlineStr"/>
      <c r="K138" s="18" t="inlineStr"/>
      <c r="L138" s="18" t="inlineStr"/>
      <c r="M138" s="18" t="inlineStr"/>
      <c r="N138" s="18" t="inlineStr"/>
    </row>
    <row r="139">
      <c r="A139" s="5" t="inlineStr">
        <is>
          <t>Levered IRR</t>
        </is>
      </c>
      <c r="B139" s="6" t="inlineStr">
        <is>
          <t>%</t>
        </is>
      </c>
      <c r="C139" s="6" t="inlineStr"/>
      <c r="D139" s="31" t="inlineStr"/>
    </row>
    <row r="140">
      <c r="A140" s="5" t="inlineStr">
        <is>
          <t>MOIC</t>
        </is>
      </c>
      <c r="B140" s="6" t="inlineStr">
        <is>
          <t>x</t>
        </is>
      </c>
      <c r="C140" s="6" t="inlineStr">
        <is>
          <t>Sum inflows / outflow</t>
        </is>
      </c>
      <c r="D140" s="30" t="inlineStr"/>
    </row>
    <row r="141"/>
    <row r="142">
      <c r="A142" s="23" t="inlineStr">
        <is>
          <t>Unlevered Returns (for reference)</t>
        </is>
      </c>
      <c r="B142" s="6" t="inlineStr"/>
      <c r="C142" s="6" t="inlineStr"/>
    </row>
    <row r="143">
      <c r="A143" s="5" t="inlineStr">
        <is>
          <t>Unlevered Cash Flow</t>
        </is>
      </c>
      <c r="B143" s="6" t="inlineStr">
        <is>
          <t>$mm</t>
        </is>
      </c>
      <c r="C143" s="6" t="inlineStr"/>
      <c r="D143" s="18">
        <f>-$D$17-D108</f>
        <v/>
      </c>
      <c r="E143" s="18">
        <f>E81</f>
        <v/>
      </c>
      <c r="F143" s="18">
        <f>F81</f>
        <v/>
      </c>
      <c r="G143" s="18">
        <f>G81</f>
        <v/>
      </c>
      <c r="H143" s="18">
        <f>H81</f>
        <v/>
      </c>
      <c r="I143" s="18">
        <f>I81</f>
        <v/>
      </c>
      <c r="J143" s="18">
        <f>J81</f>
        <v/>
      </c>
      <c r="K143" s="18">
        <f>K81+K119</f>
        <v/>
      </c>
      <c r="L143" s="18">
        <f>0</f>
        <v/>
      </c>
      <c r="M143" s="18">
        <f>0</f>
        <v/>
      </c>
      <c r="N143" s="18">
        <f>0</f>
        <v/>
      </c>
    </row>
    <row r="144">
      <c r="A144" s="5" t="inlineStr">
        <is>
          <t>Unlevered IRR</t>
        </is>
      </c>
      <c r="B144" s="6" t="inlineStr">
        <is>
          <t>%</t>
        </is>
      </c>
      <c r="C144" s="6" t="inlineStr"/>
      <c r="D144" s="31" t="inlineStr"/>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c r="B5" s="49" t="n"/>
      <c r="C5" s="49" t="n"/>
      <c r="D5" s="49" t="n"/>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4" t="inlineStr">
        <is>
          <t>Spark Spread</t>
        </is>
      </c>
      <c r="B82" t="inlineStr">
        <is>
          <t>$/MWh</t>
        </is>
      </c>
      <c r="C82"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6">
        <f>E72-($D$34/1000)*E74</f>
        <v/>
      </c>
      <c r="F82" s="56">
        <f>F72-($D$34/1000)*F74</f>
        <v/>
      </c>
      <c r="G82" s="56">
        <f>G72-($D$34/1000)*G74</f>
        <v/>
      </c>
      <c r="H82" s="56">
        <f>H72-($D$34/1000)*H74</f>
        <v/>
      </c>
      <c r="I82" s="56">
        <f>I72-($D$34/1000)*I74</f>
        <v/>
      </c>
      <c r="J82" s="56">
        <f>J72-($D$34/1000)*J74</f>
        <v/>
      </c>
      <c r="K82" s="56">
        <f>K72-($D$34/1000)*K74</f>
        <v/>
      </c>
      <c r="L82" s="56">
        <f>L72-($D$34/1000)*L74</f>
        <v/>
      </c>
      <c r="M82" s="56">
        <f>M72-($D$34/1000)*M74</f>
        <v/>
      </c>
      <c r="N82" s="56">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n"/>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30">
        <f>IF(E87&gt;0,E81/E87,0)</f>
        <v/>
      </c>
      <c r="F104" s="30">
        <f>IF(F87&gt;0,F81/F87,0)</f>
        <v/>
      </c>
      <c r="G104" s="30">
        <f>IF(G87&gt;0,G81/G87,0)</f>
        <v/>
      </c>
      <c r="H104" s="30">
        <f>IF(H87&gt;0,H81/H87,0)</f>
        <v/>
      </c>
      <c r="I104" s="30">
        <f>IF(I87&gt;0,I81/I87,0)</f>
        <v/>
      </c>
      <c r="J104" s="30">
        <f>IF(J87&gt;0,J81/J87,0)</f>
        <v/>
      </c>
      <c r="K104" s="30">
        <f>IF(K87&gt;0,K81/K87,0)</f>
        <v/>
      </c>
      <c r="L104" s="30">
        <f>IF(L87&gt;0,L81/L87,0)</f>
        <v/>
      </c>
      <c r="M104" s="30">
        <f>IF(M87&gt;0,M81/M87,0)</f>
        <v/>
      </c>
      <c r="N104" s="30">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8" t="inlineStr">
        <is>
          <t>─────────── PROJECT FINANCE COVERAGE ───────────</t>
        </is>
      </c>
    </row>
    <row r="123">
      <c r="A123" t="inlineStr">
        <is>
          <t>LLCR (Loan Life Coverage)</t>
        </is>
      </c>
      <c r="B123" t="inlineStr">
        <is>
          <t>x</t>
        </is>
      </c>
      <c r="C123" t="inlineStr">
        <is>
          <t>[WHAT] NPV(CFADS over loan life) / Debt; [WHY] Total debt capacity</t>
        </is>
      </c>
      <c r="D123" s="46">
        <f>NPV(D45,E82:K82)/D100</f>
        <v/>
      </c>
    </row>
    <row r="124">
      <c r="A124" t="inlineStr">
        <is>
          <t>PLCR (Project Life Coverage)</t>
        </is>
      </c>
      <c r="B124" t="inlineStr">
        <is>
          <t>x</t>
        </is>
      </c>
      <c r="C124" t="inlineStr">
        <is>
          <t>[WHAT] NPV(CFADS over project life) / Debt; [WHY] Full asset capacity</t>
        </is>
      </c>
      <c r="D124" s="46">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c r="D144" s="31">
        <f>IRR(D125:K125)</f>
        <v/>
      </c>
    </row>
    <row r="145">
      <c r="A145" s="5" t="inlineStr">
        <is>
          <t>MOIC</t>
        </is>
      </c>
      <c r="B145" s="6" t="inlineStr">
        <is>
          <t>x</t>
        </is>
      </c>
      <c r="C145" s="6" t="inlineStr">
        <is>
          <t>Sum inflows / outflow</t>
        </is>
      </c>
      <c r="D145" s="30">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c r="D149" s="31">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2026-01-20T23:35:37Z</dcterms:modified>
</cp:coreProperties>
</file>