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$D$63</f>
        <v/>
      </c>
      <c r="M3" s="48" t="inlineStr">
        <is>
          <t>IRR Sensitivity:</t>
        </is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49" t="inlineStr">
        <is>
          <t>+/- 5% Entry → ~+/- 1% IRR</t>
        </is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  <c r="M5" s="49" t="inlineStr">
        <is>
          <t>+/- 0.5x Exit → ~+/- 1.5% IRR</t>
        </is>
      </c>
    </row>
    <row r="6">
      <c r="A6" s="42" t="inlineStr">
        <is>
          <t>Min DSCR</t>
        </is>
      </c>
      <c r="B6" s="42" t="inlineStr">
        <is>
          <t>x</t>
        </is>
      </c>
      <c r="C6" s="42" t="inlineStr">
        <is>
          <t>Minimum debt service coverage ratio</t>
        </is>
      </c>
      <c r="D6" s="53">
        <f>IF(COUNTIF(G95:N95,"&gt;0")&gt;0,MINIFS(G95:N95,G95:N95,"&gt;0"),0)</f>
        <v/>
      </c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Y10</t>
        </is>
      </c>
      <c r="B22" s="6" t="inlineStr"/>
      <c r="C22" s="6" t="inlineStr"/>
      <c r="D22" s="10">
        <f>IF(N94&lt;1,"PASS","FAIL")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$D$27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D68+E69+F70+G71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E76" t="n">
        <v>0</v>
      </c>
      <c r="F76" t="n">
        <v>0</v>
      </c>
      <c r="G76">
        <f>$D$33*$D$34*G75/1000</f>
        <v/>
      </c>
      <c r="H76">
        <f>$D$33*$D$34*H75/1000</f>
        <v/>
      </c>
      <c r="I76">
        <f>$D$33*$D$34*I75/1000</f>
        <v/>
      </c>
      <c r="J76">
        <f>$D$33*$D$34*J75/1000</f>
        <v/>
      </c>
      <c r="K76">
        <f>$D$33*$D$34*K75/1000</f>
        <v/>
      </c>
      <c r="L76">
        <f>$D$33*$D$34*L75/1000</f>
        <v/>
      </c>
      <c r="M76">
        <f>$D$33*$D$34*M75/1000</f>
        <v/>
      </c>
      <c r="N76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>
        <v>0</v>
      </c>
      <c r="F77" s="15" t="n">
        <v>0</v>
      </c>
      <c r="G77" s="15">
        <f>$D$33*$D$34*G75/1000</f>
        <v/>
      </c>
      <c r="H77" s="15">
        <f>$D$33*$D$34*H75/1000</f>
        <v/>
      </c>
      <c r="I77" s="15">
        <f>$D$33*$D$34*I75/1000</f>
        <v/>
      </c>
      <c r="J77" s="15">
        <f>$D$33*$D$34*J75/1000</f>
        <v/>
      </c>
      <c r="K77" s="15">
        <f>$D$33*$D$34*K75/1000</f>
        <v/>
      </c>
      <c r="L77" s="15">
        <f>$D$33*$D$34*L75/1000</f>
        <v/>
      </c>
      <c r="M77" s="15">
        <f>$D$33*$D$34*M75/1000</f>
        <v/>
      </c>
      <c r="N77" s="15">
        <f>$D$33*$D$34*N75/1000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>
        <v>0</v>
      </c>
      <c r="F78" s="15" t="n">
        <v>0</v>
      </c>
      <c r="G78" s="15">
        <f>$D$42*(1+$D$43)^(1-1)</f>
        <v/>
      </c>
      <c r="H78" s="15">
        <f>$D$42*(1+$D$43)^(2-1)</f>
        <v/>
      </c>
      <c r="I78" s="15">
        <f>$D$42*(1+$D$43)^(3-1)</f>
        <v/>
      </c>
      <c r="J78" s="15">
        <f>$D$42*(1+$D$43)^(4-1)</f>
        <v/>
      </c>
      <c r="K78" s="15">
        <f>$D$42*(1+$D$43)^(5-1)</f>
        <v/>
      </c>
      <c r="L78" s="15">
        <f>$D$42*(1+$D$43)^(6-1)</f>
        <v/>
      </c>
      <c r="M78" s="15">
        <f>$D$42*(1+$D$43)^(7-1)</f>
        <v/>
      </c>
      <c r="N78" s="15">
        <f>$D$42*(1+$D$43)^(8-1)</f>
        <v/>
      </c>
    </row>
    <row r="79">
      <c r="E79" t="n">
        <v>0</v>
      </c>
      <c r="F79" t="n">
        <v>0</v>
      </c>
      <c r="G79" s="50">
        <f>G76-G77</f>
        <v/>
      </c>
      <c r="H79" s="50">
        <f>H76-H77</f>
        <v/>
      </c>
      <c r="I79" s="50">
        <f>I76-I77</f>
        <v/>
      </c>
      <c r="J79" s="50">
        <f>J76-J77</f>
        <v/>
      </c>
      <c r="K79" s="50">
        <f>K76-K77</f>
        <v/>
      </c>
      <c r="L79" s="50">
        <f>L76-L77</f>
        <v/>
      </c>
      <c r="M79" s="50">
        <f>M76-M77</f>
        <v/>
      </c>
      <c r="N79" s="50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>
        <v>0</v>
      </c>
      <c r="F80" s="7" t="n">
        <v>0</v>
      </c>
      <c r="G80" s="7">
        <f>G77-G78</f>
        <v/>
      </c>
      <c r="H80" s="7">
        <f>H77-H78</f>
        <v/>
      </c>
      <c r="I80" s="7">
        <f>I77-I78</f>
        <v/>
      </c>
      <c r="J80" s="7">
        <f>J77-J78</f>
        <v/>
      </c>
      <c r="K80" s="7">
        <f>K77-K78</f>
        <v/>
      </c>
      <c r="L80" s="7">
        <f>L77-L78</f>
        <v/>
      </c>
      <c r="M80" s="7">
        <f>M77-M78</f>
        <v/>
      </c>
      <c r="N80" s="7">
        <f>N77-N78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>
        <v>0</v>
      </c>
      <c r="F85" s="15" t="n">
        <v>0</v>
      </c>
      <c r="G85" s="15">
        <f>MAX(0,G84)*$D$58</f>
        <v/>
      </c>
      <c r="H85" s="15">
        <f>MAX(0,H84)*$D$58</f>
        <v/>
      </c>
      <c r="I85" s="15">
        <f>MAX(0,I84)*$D$58</f>
        <v/>
      </c>
      <c r="J85" s="15">
        <f>MAX(0,J84)*$D$58</f>
        <v/>
      </c>
      <c r="K85" s="15">
        <f>MAX(0,K84)*$D$58</f>
        <v/>
      </c>
      <c r="L85" s="15">
        <f>MAX(0,L84)*$D$58</f>
        <v/>
      </c>
      <c r="M85" s="15">
        <f>MAX(0,M84)*$D$58</f>
        <v/>
      </c>
      <c r="N85" s="15">
        <f>MAX(0,N84)*$D$58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>
        <v>0</v>
      </c>
      <c r="F86" s="7" t="n">
        <v>0</v>
      </c>
      <c r="G86" s="7">
        <f>G80-G85</f>
        <v/>
      </c>
      <c r="H86" s="7">
        <f>H80-H85</f>
        <v/>
      </c>
      <c r="I86" s="7">
        <f>I80-I85</f>
        <v/>
      </c>
      <c r="J86" s="7">
        <f>J80-J85</f>
        <v/>
      </c>
      <c r="K86" s="7">
        <f>K80-K85</f>
        <v/>
      </c>
      <c r="L86" s="7">
        <f>L80-L85</f>
        <v/>
      </c>
      <c r="M86" s="7">
        <f>M80-M85</f>
        <v/>
      </c>
      <c r="N86" s="7">
        <f>N80-N85</f>
        <v/>
      </c>
    </row>
    <row r="87">
      <c r="D87" t="n">
        <v>0</v>
      </c>
      <c r="E87" t="n">
        <v>0</v>
      </c>
      <c r="F87" t="n">
        <v>0</v>
      </c>
      <c r="G87">
        <f>$D$64</f>
        <v/>
      </c>
      <c r="H87">
        <f>G92</f>
        <v/>
      </c>
      <c r="I87">
        <f>H92</f>
        <v/>
      </c>
      <c r="J87">
        <f>I92</f>
        <v/>
      </c>
      <c r="K87">
        <f>J92</f>
        <v/>
      </c>
      <c r="L87">
        <f>K92</f>
        <v/>
      </c>
      <c r="M87">
        <f>L92</f>
        <v/>
      </c>
      <c r="N8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D89" t="n">
        <v>0</v>
      </c>
      <c r="E89" s="15" t="n">
        <v>0</v>
      </c>
      <c r="F89" s="15" t="n">
        <v>0</v>
      </c>
      <c r="G89" s="15">
        <f>$D$64</f>
        <v/>
      </c>
      <c r="H89" s="15">
        <f>G94</f>
        <v/>
      </c>
      <c r="I89" s="15">
        <f>H94</f>
        <v/>
      </c>
      <c r="J89" s="15">
        <f>I94</f>
        <v/>
      </c>
      <c r="K89" s="15">
        <f>J94</f>
        <v/>
      </c>
      <c r="L89" s="15">
        <f>K94</f>
        <v/>
      </c>
      <c r="M89" s="15">
        <f>L94</f>
        <v/>
      </c>
      <c r="N89" s="15">
        <f>M94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>
        <v>0</v>
      </c>
      <c r="F90" s="15" t="n">
        <v>0</v>
      </c>
      <c r="G90" s="15">
        <f>G89*$D$48</f>
        <v/>
      </c>
      <c r="H90" s="15">
        <f>H89*$D$48</f>
        <v/>
      </c>
      <c r="I90" s="15">
        <f>I89*$D$48</f>
        <v/>
      </c>
      <c r="J90" s="15">
        <f>J89*$D$48</f>
        <v/>
      </c>
      <c r="K90" s="15">
        <f>K89*$D$48</f>
        <v/>
      </c>
      <c r="L90" s="15">
        <f>L89*$D$48</f>
        <v/>
      </c>
      <c r="M90" s="15">
        <f>M89*$D$48</f>
        <v/>
      </c>
      <c r="N90" s="15">
        <f>N89*$D$48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>
        <v>0</v>
      </c>
      <c r="F91" s="15" t="n">
        <v>0</v>
      </c>
      <c r="G91" s="15">
        <f>G86/$D$50</f>
        <v/>
      </c>
      <c r="H91" s="15">
        <f>H86/$D$50</f>
        <v/>
      </c>
      <c r="I91" s="15">
        <f>I86/$D$50</f>
        <v/>
      </c>
      <c r="J91" s="15">
        <f>J86/$D$50</f>
        <v/>
      </c>
      <c r="K91" s="15">
        <f>K86/$D$50</f>
        <v/>
      </c>
      <c r="L91" s="15">
        <f>L86/$D$50</f>
        <v/>
      </c>
      <c r="M91" s="15">
        <f>M86/$D$50</f>
        <v/>
      </c>
      <c r="N91" s="15">
        <f>N86/$D$50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>
        <v>0</v>
      </c>
      <c r="F92" s="15" t="n">
        <v>0</v>
      </c>
      <c r="G92" s="15">
        <f>MIN(MAX(0,G91-G90),G89)</f>
        <v/>
      </c>
      <c r="H92" s="15">
        <f>MIN(MAX(0,H91-H90),H89)</f>
        <v/>
      </c>
      <c r="I92" s="15">
        <f>MIN(MAX(0,I91-I90),I89)</f>
        <v/>
      </c>
      <c r="J92" s="15">
        <f>MIN(MAX(0,J91-J90),J89)</f>
        <v/>
      </c>
      <c r="K92" s="15">
        <f>MIN(MAX(0,K91-K90),K89)</f>
        <v/>
      </c>
      <c r="L92" s="15">
        <f>MIN(MAX(0,L91-L90),L89)</f>
        <v/>
      </c>
      <c r="M92" s="15">
        <f>MIN(MAX(0,M91-M90),M89)</f>
        <v/>
      </c>
      <c r="N92" s="15">
        <f>MIN(MAX(0,N91-N90),N89)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>
        <v>0</v>
      </c>
      <c r="F93" s="15" t="n">
        <v>0</v>
      </c>
      <c r="G93" s="51">
        <f>G90+G92</f>
        <v/>
      </c>
      <c r="H93" s="51">
        <f>H90+H92</f>
        <v/>
      </c>
      <c r="I93" s="51">
        <f>I90+I92</f>
        <v/>
      </c>
      <c r="J93" s="51">
        <f>J90+J92</f>
        <v/>
      </c>
      <c r="K93" s="51">
        <f>K90+K92</f>
        <v/>
      </c>
      <c r="L93" s="51">
        <f>L90+L92</f>
        <v/>
      </c>
      <c r="M93" s="51">
        <f>M90+M92</f>
        <v/>
      </c>
      <c r="N93" s="51">
        <f>N90+N92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>
        <v>0</v>
      </c>
      <c r="F94" s="15" t="n">
        <v>0</v>
      </c>
      <c r="G94" s="15">
        <f>MAX(0,G89-G92)</f>
        <v/>
      </c>
      <c r="H94" s="15">
        <f>MAX(0,H89-H92)</f>
        <v/>
      </c>
      <c r="I94" s="15">
        <f>MAX(0,I89-I92)</f>
        <v/>
      </c>
      <c r="J94" s="15">
        <f>MAX(0,J89-J92)</f>
        <v/>
      </c>
      <c r="K94" s="15">
        <f>MAX(0,K89-K92)</f>
        <v/>
      </c>
      <c r="L94" s="15">
        <f>MAX(0,L89-L92)</f>
        <v/>
      </c>
      <c r="M94" s="15">
        <f>MAX(0,M89-M92)</f>
        <v/>
      </c>
      <c r="N94" s="15">
        <f>MAX(0,N89-N92)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 t="n">
        <v>0</v>
      </c>
      <c r="F95" s="19" t="n">
        <v>0</v>
      </c>
      <c r="G95" s="19">
        <f>IF(G93&gt;0,G86/G93,0)</f>
        <v/>
      </c>
      <c r="H95" s="19">
        <f>IF(H93&gt;0,H86/H93,0)</f>
        <v/>
      </c>
      <c r="I95" s="19">
        <f>IF(I93&gt;0,I86/I93,0)</f>
        <v/>
      </c>
      <c r="J95" s="19">
        <f>IF(J93&gt;0,J86/J93,0)</f>
        <v/>
      </c>
      <c r="K95" s="19">
        <f>IF(K93&gt;0,K86/K93,0)</f>
        <v/>
      </c>
      <c r="L95" s="19">
        <f>IF(L93&gt;0,L86/L93,0)</f>
        <v/>
      </c>
      <c r="M95" s="19">
        <f>IF(M93&gt;0,M86/M93,0)</f>
        <v/>
      </c>
      <c r="N95" s="19">
        <f>IF(N93&gt;0,N86/N93,0)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  <c r="D109">
        <f>$D$27+$D$28+$D$29+$D$62</f>
        <v/>
      </c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D110+D111+D112+D113+D114</f>
        <v/>
      </c>
    </row>
    <row r="117">
      <c r="A117" s="18" t="inlineStr">
        <is>
          <t>SOURCES</t>
        </is>
      </c>
      <c r="B117" s="6" t="inlineStr"/>
      <c r="C117" s="6" t="inlineStr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D119+D120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IF(ABS(D115-D121)&lt;0.01,"PASS","FAIL")</f>
        <v/>
      </c>
    </row>
    <row r="123">
      <c r="D123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>
        <f>$D$65*(10-3+1)</f>
        <v/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2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3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IRR(D133:N133)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(SUM(G133:N133))/(D68+E69+F70+G71)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IRR(D138:N138)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2026-01-21T03:03:37Z</dcterms:modified>
</cp:coreProperties>
</file>