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3" t="inlineStr">
        <is>
          <t>PEAKER MODEL - INTUITION GUIDE</t>
        </is>
      </c>
      <c r="B1" s="24" t="inlineStr"/>
    </row>
    <row r="2" ht="30" customHeight="1">
      <c r="A2" s="23" t="inlineStr"/>
      <c r="B2" s="24" t="inlineStr"/>
    </row>
    <row r="3" ht="30" customHeight="1">
      <c r="A3" s="23" t="inlineStr">
        <is>
          <t>SECTION</t>
        </is>
      </c>
      <c r="B3" s="25" t="inlineStr">
        <is>
          <t>WHY IT MATTERS / KEY LOGIC</t>
        </is>
      </c>
    </row>
    <row r="4" ht="30" customHeight="1">
      <c r="A4" s="23" t="inlineStr"/>
      <c r="B4" s="24" t="inlineStr"/>
    </row>
    <row r="5" ht="30" customHeight="1">
      <c r="A5" s="26" t="inlineStr">
        <is>
          <t>═══ BUSINESS CONTEXT ═══</t>
        </is>
      </c>
      <c r="B5" s="27" t="n"/>
    </row>
    <row r="6" ht="30" customHeight="1">
      <c r="A6" s="23" t="inlineStr">
        <is>
          <t>What is a Peaker?</t>
        </is>
      </c>
      <c r="B6" s="24" t="inlineStr">
        <is>
          <t>Simple cycle gas turbine - fast-start units that run only during peak demand (~400 hours/year vs 4,800 for CCGT). Less efficient but can start in 10-15 minutes.</t>
        </is>
      </c>
    </row>
    <row r="7" ht="30" customHeight="1">
      <c r="A7" s="23" t="inlineStr">
        <is>
          <t>Revenue Mix</t>
        </is>
      </c>
      <c r="B7" s="24" t="inlineStr">
        <is>
          <t>60%+ from capacity payments for being available. Energy revenue is smaller (few running hours) but at high prices (dispatched during peaks).</t>
        </is>
      </c>
    </row>
    <row r="8" ht="30" customHeight="1">
      <c r="A8" s="23" t="inlineStr">
        <is>
          <t>Why Lower Leverage (30%)?</t>
        </is>
      </c>
      <c r="B8" s="24" t="inlineStr">
        <is>
          <t>More volatile revenue profile than CCGT. Capacity revenues more stable, but energy upside is lumpier. Conservative structure provides cushion.</t>
        </is>
      </c>
    </row>
    <row r="9" ht="30" customHeight="1">
      <c r="A9" s="23" t="inlineStr"/>
      <c r="B9" s="24" t="inlineStr"/>
    </row>
    <row r="10" ht="30" customHeight="1">
      <c r="A10" s="26" t="inlineStr">
        <is>
          <t>═══ KEY DIFFERENCES FROM CCGT ═══</t>
        </is>
      </c>
      <c r="B10" s="27" t="n"/>
    </row>
    <row r="11" ht="30" customHeight="1">
      <c r="A11" s="23" t="inlineStr">
        <is>
          <t>Dispatch Hours vs CF</t>
        </is>
      </c>
      <c r="B11" s="24" t="inlineStr">
        <is>
          <t>CRITICAL: Peakers use dispatch hours (400), NOT capacity factor × 8,760. This is the most common modeling error.</t>
        </is>
      </c>
    </row>
    <row r="12" ht="30" customHeight="1">
      <c r="A12" s="23" t="inlineStr">
        <is>
          <t>Heat Rate (10,500 Btu/kWh)</t>
        </is>
      </c>
      <c r="B12" s="24" t="inlineStr">
        <is>
          <t>Less efficient than CCGT (7,000). Acceptable because fuel cost is small % of revenue - availability matters more.</t>
        </is>
      </c>
    </row>
    <row r="13" ht="30" customHeight="1">
      <c r="A13" s="23" t="inlineStr">
        <is>
          <t>Lower Cash Sweep (50%)</t>
        </is>
      </c>
      <c r="B13" s="24" t="inlineStr">
        <is>
          <t>Need to retain cash for major maintenance. HGP (hot gas path) inspection every 5 years is $4mm+.</t>
        </is>
      </c>
    </row>
    <row r="14" ht="30" customHeight="1">
      <c r="A14" s="23" t="inlineStr">
        <is>
          <t>Major Maintenance Y5</t>
        </is>
      </c>
      <c r="B14" s="24" t="inlineStr">
        <is>
          <t>Hot gas path inspection - internal combustion parts require overhaul. Must fund from retained cash, not debt.</t>
        </is>
      </c>
    </row>
    <row r="15" ht="30" customHeight="1">
      <c r="A15" s="23" t="inlineStr"/>
      <c r="B15" s="24" t="inlineStr"/>
    </row>
    <row r="16" ht="30" customHeight="1">
      <c r="A16" s="26" t="inlineStr">
        <is>
          <t>═══ GENERATION FORMULA ═══</t>
        </is>
      </c>
      <c r="B16" s="27" t="n"/>
    </row>
    <row r="17" ht="30" customHeight="1">
      <c r="A17" s="23" t="inlineStr">
        <is>
          <t>Correct Formula</t>
        </is>
      </c>
      <c r="B17" s="24" t="inlineStr">
        <is>
          <t>Generation = Capacity × Dispatch Hours × Availability = 200 MW × 400 hrs × 94% = 75,200 MWh</t>
        </is>
      </c>
    </row>
    <row r="18" ht="30" customHeight="1">
      <c r="A18" s="23" t="inlineStr">
        <is>
          <t>WRONG Formula</t>
        </is>
      </c>
      <c r="B18" s="24" t="inlineStr">
        <is>
          <t>DO NOT use: Capacity × CF × 8,760. That's for baseload plants, not peakers.</t>
        </is>
      </c>
    </row>
    <row r="19" ht="30" customHeight="1">
      <c r="A19" s="23" t="inlineStr"/>
      <c r="B19" s="24" t="inlineStr"/>
    </row>
    <row r="20" ht="30" customHeight="1">
      <c r="A20" s="26" t="inlineStr">
        <is>
          <t>═══ MAINTENANCE IMPACT ═══</t>
        </is>
      </c>
      <c r="B20" s="27" t="n"/>
    </row>
    <row r="21" ht="30" customHeight="1">
      <c r="A21" s="23" t="inlineStr">
        <is>
          <t>Y5 Cash Flow</t>
        </is>
      </c>
      <c r="B21" s="24" t="inlineStr">
        <is>
          <t>CFADS drops by $4mm in Y5 due to HGP inspection. This hits DSCR - make sure covenant still passes.</t>
        </is>
      </c>
    </row>
    <row r="22" ht="30" customHeight="1">
      <c r="A22" s="23" t="inlineStr">
        <is>
          <t>Why Not Debt-Fund Maint?</t>
        </is>
      </c>
      <c r="B22" s="24" t="inlineStr">
        <is>
          <t>Maintenance is operational expense, not capital. Lenders expect you to fund from operations. That's why sweep is only 50%.</t>
        </is>
      </c>
    </row>
    <row r="23" ht="30" customHeight="1">
      <c r="A23" s="23" t="inlineStr"/>
      <c r="B23" s="24" t="inlineStr"/>
    </row>
    <row r="24" ht="30" customHeight="1">
      <c r="A24" s="26" t="inlineStr">
        <is>
          <t>═══ COMMON IC QUESTIONS ═══</t>
        </is>
      </c>
      <c r="B24" s="27" t="n"/>
    </row>
    <row r="25" ht="30" customHeight="1">
      <c r="A25" s="28" t="inlineStr">
        <is>
          <t>Q: Why is energy price $95/MWh?</t>
        </is>
      </c>
      <c r="B25" s="29" t="inlineStr">
        <is>
          <t>Dispatch-weighted average. Peakers only run during high-price hours, so their realized price &gt; average market price.</t>
        </is>
      </c>
    </row>
    <row r="26" ht="30" customHeight="1">
      <c r="A26" s="28" t="inlineStr">
        <is>
          <t>Q: What's UCAP vs ICAP?</t>
        </is>
      </c>
      <c r="B26" s="29" t="inlineStr">
        <is>
          <t>UCAP = Unforced Capacity (adjusted for reliability). ICAP = Installed Capacity (nameplate). Markets pay for UCAP.</t>
        </is>
      </c>
    </row>
    <row r="27" ht="30" customHeight="1">
      <c r="A27" s="28" t="inlineStr">
        <is>
          <t>Q: Downside if peaker never dispatches?</t>
        </is>
      </c>
      <c r="B27" s="29" t="inlineStr">
        <is>
          <t>Still receive capacity payments. Energy revenue is upside, not base case. Worst case = capacity-only revenue.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Peaker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E75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AVERAGE(E81:K81)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30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31">
        <f>D126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30">
        <f>D127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31">
        <f>D131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D116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110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3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200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Less efficient than CCGT</t>
        </is>
      </c>
      <c r="D24" s="14" t="n">
        <v>10500</v>
      </c>
    </row>
    <row r="25">
      <c r="A25" s="5" t="inlineStr">
        <is>
          <t>Availability</t>
        </is>
      </c>
      <c r="B25" s="6" t="inlineStr">
        <is>
          <t>%</t>
        </is>
      </c>
      <c r="C25" s="6" t="inlineStr">
        <is>
          <t>For UCAP accreditation</t>
        </is>
      </c>
      <c r="D25" s="32" t="n">
        <v>0.9399999999999999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32" t="n">
        <v>0.05</v>
      </c>
    </row>
    <row r="27">
      <c r="A27" s="5" t="inlineStr">
        <is>
          <t>Dispatch Hours</t>
        </is>
      </c>
      <c r="B27" s="6" t="inlineStr">
        <is>
          <t>hours/yr</t>
        </is>
      </c>
      <c r="C27" s="6" t="inlineStr">
        <is>
          <t>Peak hours only (~400)</t>
        </is>
      </c>
      <c r="D27" s="14" t="n">
        <v>400</v>
      </c>
    </row>
    <row r="29">
      <c r="A29" s="3" t="inlineStr">
        <is>
          <t>PRICING INPUTS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5" t="inlineStr">
        <is>
          <t>Power Price Y1</t>
        </is>
      </c>
      <c r="B30" s="6" t="inlineStr">
        <is>
          <t>$/MWh</t>
        </is>
      </c>
      <c r="C30" s="6" t="inlineStr">
        <is>
          <t>Higher (dispatch-weighted)</t>
        </is>
      </c>
      <c r="D30" s="11" t="n">
        <v>95</v>
      </c>
    </row>
    <row r="31">
      <c r="A31" s="5" t="inlineStr">
        <is>
          <t>Capacity Price Y1</t>
        </is>
      </c>
      <c r="B31" s="6" t="inlineStr">
        <is>
          <t>$/kW-yr</t>
        </is>
      </c>
      <c r="C31" s="6" t="inlineStr">
        <is>
          <t>ICAP/RPM result</t>
        </is>
      </c>
      <c r="D31" s="11" t="n">
        <v>60</v>
      </c>
    </row>
    <row r="32">
      <c r="A32" s="5" t="inlineStr">
        <is>
          <t>Gas Price Y1</t>
        </is>
      </c>
      <c r="B32" s="6" t="inlineStr">
        <is>
          <t>$/mmBtu</t>
        </is>
      </c>
      <c r="C32" s="6" t="inlineStr">
        <is>
          <t>Henry Hub + basis</t>
        </is>
      </c>
      <c r="D32" s="15" t="n">
        <v>3.25</v>
      </c>
    </row>
    <row r="33">
      <c r="A33" s="5" t="inlineStr">
        <is>
          <t>Escalation</t>
        </is>
      </c>
      <c r="B33" s="6" t="inlineStr">
        <is>
          <t>%/yr</t>
        </is>
      </c>
      <c r="C33" s="6" t="inlineStr">
        <is>
          <t>Applied to all prices/costs</t>
        </is>
      </c>
      <c r="D33" s="32" t="n">
        <v>0.025</v>
      </c>
    </row>
    <row r="35">
      <c r="A35" s="3" t="inlineStr">
        <is>
          <t>COST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VOM</t>
        </is>
      </c>
      <c r="B36" s="6" t="inlineStr">
        <is>
          <t>$/MWh</t>
        </is>
      </c>
      <c r="C36" s="6" t="inlineStr">
        <is>
          <t>Variable O&amp;M</t>
        </is>
      </c>
      <c r="D36" s="15" t="n">
        <v>4</v>
      </c>
    </row>
    <row r="37">
      <c r="A37" s="5" t="inlineStr">
        <is>
          <t>FOM</t>
        </is>
      </c>
      <c r="B37" s="6" t="inlineStr">
        <is>
          <t>$/kW-yr</t>
        </is>
      </c>
      <c r="C37" s="6" t="inlineStr">
        <is>
          <t>Fixed O&amp;M</t>
        </is>
      </c>
      <c r="D37" s="15" t="n">
        <v>12</v>
      </c>
    </row>
    <row r="38">
      <c r="A38" s="5" t="inlineStr">
        <is>
          <t>Major Maintenance Year</t>
        </is>
      </c>
      <c r="B38" s="6" t="inlineStr">
        <is>
          <t>#</t>
        </is>
      </c>
      <c r="C38" s="6" t="inlineStr">
        <is>
          <t>Hot gas path inspection</t>
        </is>
      </c>
      <c r="D38" s="14" t="n">
        <v>5</v>
      </c>
    </row>
    <row r="39">
      <c r="A39" s="5" t="inlineStr">
        <is>
          <t>Major Maintenance Cost</t>
        </is>
      </c>
      <c r="B39" s="6" t="inlineStr">
        <is>
          <t>$mm</t>
        </is>
      </c>
      <c r="C39" s="6" t="inlineStr">
        <is>
          <t>HGP inspection cost</t>
        </is>
      </c>
      <c r="D39" s="11" t="n">
        <v>4</v>
      </c>
    </row>
    <row r="41">
      <c r="A41" s="3" t="inlineStr">
        <is>
          <t>FINANCING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Leverage</t>
        </is>
      </c>
      <c r="B42" s="6" t="inlineStr">
        <is>
          <t>%</t>
        </is>
      </c>
      <c r="C42" s="6" t="inlineStr">
        <is>
          <t>Debt / Entry EV (lower)</t>
        </is>
      </c>
      <c r="D42" s="32" t="n">
        <v>0.3</v>
      </c>
    </row>
    <row r="43">
      <c r="A43" s="5" t="inlineStr">
        <is>
          <t>Interest Rate</t>
        </is>
      </c>
      <c r="B43" s="6" t="inlineStr">
        <is>
          <t>%</t>
        </is>
      </c>
      <c r="C43" s="6" t="inlineStr">
        <is>
          <t>All-in borrowing cost</t>
        </is>
      </c>
      <c r="D43" s="32" t="n">
        <v>0.07000000000000001</v>
      </c>
    </row>
    <row r="44">
      <c r="A44" s="5" t="inlineStr">
        <is>
          <t>Debt Tenor</t>
        </is>
      </c>
      <c r="B44" s="6" t="inlineStr">
        <is>
          <t>years</t>
        </is>
      </c>
      <c r="C44" s="6" t="inlineStr">
        <is>
          <t>Amortization period</t>
        </is>
      </c>
      <c r="D44" s="14" t="n">
        <v>7</v>
      </c>
    </row>
    <row r="45">
      <c r="A45" s="5" t="inlineStr">
        <is>
          <t>DSRA Months</t>
        </is>
      </c>
      <c r="B45" s="6" t="inlineStr">
        <is>
          <t>months</t>
        </is>
      </c>
      <c r="C45" s="6" t="inlineStr">
        <is>
          <t>Debt service reserve</t>
        </is>
      </c>
      <c r="D45" s="14" t="n">
        <v>6</v>
      </c>
    </row>
    <row r="46">
      <c r="A46" s="5" t="inlineStr">
        <is>
          <t>Cash Sweep %</t>
        </is>
      </c>
      <c r="B46" s="6" t="inlineStr">
        <is>
          <t>%</t>
        </is>
      </c>
      <c r="C46" s="6" t="inlineStr">
        <is>
          <t>Lower for maint reserves</t>
        </is>
      </c>
      <c r="D46" s="32" t="n">
        <v>0.5</v>
      </c>
    </row>
    <row r="47">
      <c r="A47" s="5" t="inlineStr">
        <is>
          <t>Lock-up DSCR</t>
        </is>
      </c>
      <c r="B47" s="6" t="inlineStr">
        <is>
          <t>x</t>
        </is>
      </c>
      <c r="C47" s="6" t="inlineStr">
        <is>
          <t>Distribution threshold</t>
        </is>
      </c>
      <c r="D47" s="33" t="n">
        <v>1.1</v>
      </c>
    </row>
    <row r="49">
      <c r="A49" s="3" t="inlineStr">
        <is>
          <t>TAX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Tax Rate</t>
        </is>
      </c>
      <c r="B50" s="6" t="inlineStr">
        <is>
          <t>%</t>
        </is>
      </c>
      <c r="C50" s="6" t="inlineStr">
        <is>
          <t>Blended federal + state</t>
        </is>
      </c>
      <c r="D50" s="32" t="n">
        <v>0.25</v>
      </c>
    </row>
    <row r="51">
      <c r="A51" s="5" t="inlineStr">
        <is>
          <t>Depreciable Basis</t>
        </is>
      </c>
      <c r="B51" s="6" t="inlineStr">
        <is>
          <t>%</t>
        </is>
      </c>
      <c r="C51" s="6" t="inlineStr">
        <is>
          <t>% of EV for depreciation</t>
        </is>
      </c>
      <c r="D51" s="32" t="n">
        <v>0.85</v>
      </c>
    </row>
    <row r="52">
      <c r="A52" s="5" t="inlineStr">
        <is>
          <t>Depreciation Life</t>
        </is>
      </c>
      <c r="B52" s="6" t="inlineStr">
        <is>
          <t>years</t>
        </is>
      </c>
      <c r="C52" s="6" t="inlineStr">
        <is>
          <t>Straight-line</t>
        </is>
      </c>
      <c r="D52" s="14" t="n">
        <v>15</v>
      </c>
    </row>
    <row r="54">
      <c r="A54" s="3" t="inlineStr">
        <is>
          <t>CALCULATED ITEMS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UCAP (Unforced Capacity)</t>
        </is>
      </c>
      <c r="B55" s="6" t="inlineStr">
        <is>
          <t>MW</t>
        </is>
      </c>
      <c r="C55" s="6" t="inlineStr">
        <is>
          <t>Capacity × (1 - FOR)</t>
        </is>
      </c>
      <c r="D55" s="16">
        <f>$D$23*(1-$D$26)</f>
        <v/>
      </c>
    </row>
    <row r="56">
      <c r="A56" s="5" t="inlineStr">
        <is>
          <t>Annual Generation</t>
        </is>
      </c>
      <c r="B56" s="6" t="inlineStr">
        <is>
          <t>MWh</t>
        </is>
      </c>
      <c r="C56" s="6" t="inlineStr">
        <is>
          <t>Capacity × Hours × Avail</t>
        </is>
      </c>
      <c r="D56" s="17">
        <f>$D$23*$D$27*$D$25</f>
        <v/>
      </c>
    </row>
    <row r="57">
      <c r="A57" s="5" t="inlineStr">
        <is>
          <t>Debt Amount</t>
        </is>
      </c>
      <c r="B57" s="6" t="inlineStr">
        <is>
          <t>$mm</t>
        </is>
      </c>
      <c r="C57" s="6" t="inlineStr">
        <is>
          <t>Entry EV × Leverage</t>
        </is>
      </c>
      <c r="D57" s="18">
        <f>$D$17*$D$42</f>
        <v/>
      </c>
    </row>
    <row r="58">
      <c r="A58" s="5" t="inlineStr">
        <is>
          <t>Annual Depreciation</t>
        </is>
      </c>
      <c r="B58" s="6" t="inlineStr">
        <is>
          <t>$mm</t>
        </is>
      </c>
      <c r="C58" s="6" t="inlineStr">
        <is>
          <t>EV × Basis / Life</t>
        </is>
      </c>
      <c r="D58" s="18">
        <f>$D$17*$D$51/$D$52</f>
        <v/>
      </c>
    </row>
    <row r="59">
      <c r="A59" s="5" t="inlineStr">
        <is>
          <t>Scheduled Principal</t>
        </is>
      </c>
      <c r="B59" s="6" t="inlineStr">
        <is>
          <t>$mm/yr</t>
        </is>
      </c>
      <c r="C59" s="6" t="inlineStr">
        <is>
          <t>Debt / Tenor</t>
        </is>
      </c>
      <c r="D59" s="18">
        <f>$D$57/$D$44</f>
        <v/>
      </c>
    </row>
    <row r="61">
      <c r="A61" s="3" t="inlineStr">
        <is>
          <t>OPERATING MODEL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Power Price</t>
        </is>
      </c>
      <c r="B62" s="6" t="inlineStr">
        <is>
          <t>$/MWh</t>
        </is>
      </c>
      <c r="C62" s="6" t="inlineStr">
        <is>
          <t>Escalated</t>
        </is>
      </c>
      <c r="E62" s="18">
        <f>$D$30*(1+$D$33)^(1-1)</f>
        <v/>
      </c>
      <c r="F62" s="18">
        <f>$D$30*(1+$D$33)^(2-1)</f>
        <v/>
      </c>
      <c r="G62" s="18">
        <f>$D$30*(1+$D$33)^(3-1)</f>
        <v/>
      </c>
      <c r="H62" s="18">
        <f>$D$30*(1+$D$33)^(4-1)</f>
        <v/>
      </c>
      <c r="I62" s="18">
        <f>$D$30*(1+$D$33)^(5-1)</f>
        <v/>
      </c>
      <c r="J62" s="18">
        <f>$D$30*(1+$D$33)^(6-1)</f>
        <v/>
      </c>
      <c r="K62" s="18">
        <f>$D$30*(1+$D$33)^(7-1)</f>
        <v/>
      </c>
      <c r="L62" s="18">
        <f>$D$30*(1+$D$33)^(8-1)</f>
        <v/>
      </c>
      <c r="M62" s="18">
        <f>$D$30*(1+$D$33)^(9-1)</f>
        <v/>
      </c>
      <c r="N62" s="18">
        <f>$D$30*(1+$D$33)^(10-1)</f>
        <v/>
      </c>
    </row>
    <row r="63">
      <c r="A63" s="5" t="inlineStr">
        <is>
          <t>Capacity Price</t>
        </is>
      </c>
      <c r="B63" s="6" t="inlineStr">
        <is>
          <t>$/kW-yr</t>
        </is>
      </c>
      <c r="C63" s="6" t="inlineStr">
        <is>
          <t>Escalated</t>
        </is>
      </c>
      <c r="E63" s="18">
        <f>$D$31*(1+$D$33)^(1-1)</f>
        <v/>
      </c>
      <c r="F63" s="18">
        <f>$D$31*(1+$D$33)^(2-1)</f>
        <v/>
      </c>
      <c r="G63" s="18">
        <f>$D$31*(1+$D$33)^(3-1)</f>
        <v/>
      </c>
      <c r="H63" s="18">
        <f>$D$31*(1+$D$33)^(4-1)</f>
        <v/>
      </c>
      <c r="I63" s="18">
        <f>$D$31*(1+$D$33)^(5-1)</f>
        <v/>
      </c>
      <c r="J63" s="18">
        <f>$D$31*(1+$D$33)^(6-1)</f>
        <v/>
      </c>
      <c r="K63" s="18">
        <f>$D$31*(1+$D$33)^(7-1)</f>
        <v/>
      </c>
      <c r="L63" s="18">
        <f>$D$31*(1+$D$33)^(8-1)</f>
        <v/>
      </c>
      <c r="M63" s="18">
        <f>$D$31*(1+$D$33)^(9-1)</f>
        <v/>
      </c>
      <c r="N63" s="18">
        <f>$D$31*(1+$D$33)^(10-1)</f>
        <v/>
      </c>
    </row>
    <row r="64">
      <c r="A64" s="5" t="inlineStr">
        <is>
          <t>Gas Price</t>
        </is>
      </c>
      <c r="B64" s="6" t="inlineStr">
        <is>
          <t>$/mmBtu</t>
        </is>
      </c>
      <c r="C64" s="6" t="inlineStr">
        <is>
          <t>Escalated</t>
        </is>
      </c>
      <c r="E64" s="19">
        <f>$D$32*(1+$D$33)^(1-1)</f>
        <v/>
      </c>
      <c r="F64" s="19">
        <f>$D$32*(1+$D$33)^(2-1)</f>
        <v/>
      </c>
      <c r="G64" s="19">
        <f>$D$32*(1+$D$33)^(3-1)</f>
        <v/>
      </c>
      <c r="H64" s="19">
        <f>$D$32*(1+$D$33)^(4-1)</f>
        <v/>
      </c>
      <c r="I64" s="19">
        <f>$D$32*(1+$D$33)^(5-1)</f>
        <v/>
      </c>
      <c r="J64" s="19">
        <f>$D$32*(1+$D$33)^(6-1)</f>
        <v/>
      </c>
      <c r="K64" s="19">
        <f>$D$32*(1+$D$33)^(7-1)</f>
        <v/>
      </c>
      <c r="L64" s="19">
        <f>$D$32*(1+$D$33)^(8-1)</f>
        <v/>
      </c>
      <c r="M64" s="19">
        <f>$D$32*(1+$D$33)^(9-1)</f>
        <v/>
      </c>
      <c r="N64" s="19">
        <f>$D$32*(1+$D$33)^(10-1)</f>
        <v/>
      </c>
    </row>
    <row r="66">
      <c r="A66" s="5" t="inlineStr">
        <is>
          <t>Energy Revenue</t>
        </is>
      </c>
      <c r="B66" s="6" t="inlineStr">
        <is>
          <t>$mm</t>
        </is>
      </c>
      <c r="C66" s="6" t="inlineStr">
        <is>
          <t>Generation × Power Price / 1M</t>
        </is>
      </c>
      <c r="E66" s="18">
        <f>$D$56*E62/1000000</f>
        <v/>
      </c>
      <c r="F66" s="18">
        <f>$D$56*F62/1000000</f>
        <v/>
      </c>
      <c r="G66" s="18">
        <f>$D$56*G62/1000000</f>
        <v/>
      </c>
      <c r="H66" s="18">
        <f>$D$56*H62/1000000</f>
        <v/>
      </c>
      <c r="I66" s="18">
        <f>$D$56*I62/1000000</f>
        <v/>
      </c>
      <c r="J66" s="18">
        <f>$D$56*J62/1000000</f>
        <v/>
      </c>
      <c r="K66" s="18">
        <f>$D$56*K62/1000000</f>
        <v/>
      </c>
      <c r="L66" s="18">
        <f>$D$56*L62/1000000</f>
        <v/>
      </c>
      <c r="M66" s="18">
        <f>$D$56*M62/1000000</f>
        <v/>
      </c>
      <c r="N66" s="18">
        <f>$D$56*N62/1000000</f>
        <v/>
      </c>
    </row>
    <row r="67">
      <c r="A67" s="5" t="inlineStr">
        <is>
          <t>Capacity Revenue</t>
        </is>
      </c>
      <c r="B67" s="6" t="inlineStr">
        <is>
          <t>$mm</t>
        </is>
      </c>
      <c r="C67" s="6" t="inlineStr">
        <is>
          <t>UCAP × Cap Price × 1000 / 1M</t>
        </is>
      </c>
      <c r="E67" s="18">
        <f>$D$55*E63*1000/1000000</f>
        <v/>
      </c>
      <c r="F67" s="18">
        <f>$D$55*F63*1000/1000000</f>
        <v/>
      </c>
      <c r="G67" s="18">
        <f>$D$55*G63*1000/1000000</f>
        <v/>
      </c>
      <c r="H67" s="18">
        <f>$D$55*H63*1000/1000000</f>
        <v/>
      </c>
      <c r="I67" s="18">
        <f>$D$55*I63*1000/1000000</f>
        <v/>
      </c>
      <c r="J67" s="18">
        <f>$D$55*J63*1000/1000000</f>
        <v/>
      </c>
      <c r="K67" s="18">
        <f>$D$55*K63*1000/1000000</f>
        <v/>
      </c>
      <c r="L67" s="18">
        <f>$D$55*L63*1000/1000000</f>
        <v/>
      </c>
      <c r="M67" s="18">
        <f>$D$55*M63*1000/1000000</f>
        <v/>
      </c>
      <c r="N67" s="18">
        <f>$D$55*N63*1000/1000000</f>
        <v/>
      </c>
    </row>
    <row r="68">
      <c r="A68" s="5" t="inlineStr">
        <is>
          <t>Total Revenue</t>
        </is>
      </c>
      <c r="B68" s="6" t="inlineStr">
        <is>
          <t>$mm</t>
        </is>
      </c>
      <c r="C68" s="6" t="inlineStr"/>
      <c r="E68" s="20">
        <f>E66+E67</f>
        <v/>
      </c>
      <c r="F68" s="20">
        <f>F66+F67</f>
        <v/>
      </c>
      <c r="G68" s="20">
        <f>G66+G67</f>
        <v/>
      </c>
      <c r="H68" s="20">
        <f>H66+H67</f>
        <v/>
      </c>
      <c r="I68" s="20">
        <f>I66+I67</f>
        <v/>
      </c>
      <c r="J68" s="20">
        <f>J66+J67</f>
        <v/>
      </c>
      <c r="K68" s="20">
        <f>K66+K67</f>
        <v/>
      </c>
      <c r="L68" s="20">
        <f>L66+L67</f>
        <v/>
      </c>
      <c r="M68" s="20">
        <f>M66+M67</f>
        <v/>
      </c>
      <c r="N68" s="20">
        <f>N66+N67</f>
        <v/>
      </c>
    </row>
    <row r="70">
      <c r="A70" s="5" t="inlineStr">
        <is>
          <t>Fuel Cost</t>
        </is>
      </c>
      <c r="B70" s="6" t="inlineStr">
        <is>
          <t>$mm</t>
        </is>
      </c>
      <c r="C70" s="6" t="inlineStr">
        <is>
          <t>Gen × HR × Gas / 1B</t>
        </is>
      </c>
      <c r="E70" s="18">
        <f>$D$56*$D$24*E64/1000000000</f>
        <v/>
      </c>
      <c r="F70" s="18">
        <f>$D$56*$D$24*F64/1000000000</f>
        <v/>
      </c>
      <c r="G70" s="18">
        <f>$D$56*$D$24*G64/1000000000</f>
        <v/>
      </c>
      <c r="H70" s="18">
        <f>$D$56*$D$24*H64/1000000000</f>
        <v/>
      </c>
      <c r="I70" s="18">
        <f>$D$56*$D$24*I64/1000000000</f>
        <v/>
      </c>
      <c r="J70" s="18">
        <f>$D$56*$D$24*J64/1000000000</f>
        <v/>
      </c>
      <c r="K70" s="18">
        <f>$D$56*$D$24*K64/1000000000</f>
        <v/>
      </c>
      <c r="L70" s="18">
        <f>$D$56*$D$24*L64/1000000000</f>
        <v/>
      </c>
      <c r="M70" s="18">
        <f>$D$56*$D$24*M64/1000000000</f>
        <v/>
      </c>
      <c r="N70" s="18">
        <f>$D$56*$D$24*N64/1000000000</f>
        <v/>
      </c>
    </row>
    <row r="71">
      <c r="A71" s="5" t="inlineStr">
        <is>
          <t>VOM</t>
        </is>
      </c>
      <c r="B71" s="6" t="inlineStr">
        <is>
          <t>$mm</t>
        </is>
      </c>
      <c r="C71" s="6" t="inlineStr">
        <is>
          <t>Generation × VOM rate / 1M</t>
        </is>
      </c>
      <c r="E71" s="18">
        <f>$D$56*$D$36/1000000</f>
        <v/>
      </c>
      <c r="F71" s="18">
        <f>$D$56*$D$36/1000000</f>
        <v/>
      </c>
      <c r="G71" s="18">
        <f>$D$56*$D$36/1000000</f>
        <v/>
      </c>
      <c r="H71" s="18">
        <f>$D$56*$D$36/1000000</f>
        <v/>
      </c>
      <c r="I71" s="18">
        <f>$D$56*$D$36/1000000</f>
        <v/>
      </c>
      <c r="J71" s="18">
        <f>$D$56*$D$36/1000000</f>
        <v/>
      </c>
      <c r="K71" s="18">
        <f>$D$56*$D$36/1000000</f>
        <v/>
      </c>
      <c r="L71" s="18">
        <f>$D$56*$D$36/1000000</f>
        <v/>
      </c>
      <c r="M71" s="18">
        <f>$D$56*$D$36/1000000</f>
        <v/>
      </c>
      <c r="N71" s="18">
        <f>$D$56*$D$36/1000000</f>
        <v/>
      </c>
    </row>
    <row r="72">
      <c r="A72" s="5" t="inlineStr">
        <is>
          <t>FOM</t>
        </is>
      </c>
      <c r="B72" s="6" t="inlineStr">
        <is>
          <t>$mm</t>
        </is>
      </c>
      <c r="C72" s="6" t="inlineStr">
        <is>
          <t>Capacity × FOM × esc × 1000 / 1M</t>
        </is>
      </c>
      <c r="E72" s="18">
        <f>$D$23*$D$37*(1+$D$33)^(1-1)*1000/1000000</f>
        <v/>
      </c>
      <c r="F72" s="18">
        <f>$D$23*$D$37*(1+$D$33)^(2-1)*1000/1000000</f>
        <v/>
      </c>
      <c r="G72" s="18">
        <f>$D$23*$D$37*(1+$D$33)^(3-1)*1000/1000000</f>
        <v/>
      </c>
      <c r="H72" s="18">
        <f>$D$23*$D$37*(1+$D$33)^(4-1)*1000/1000000</f>
        <v/>
      </c>
      <c r="I72" s="18">
        <f>$D$23*$D$37*(1+$D$33)^(5-1)*1000/1000000</f>
        <v/>
      </c>
      <c r="J72" s="18">
        <f>$D$23*$D$37*(1+$D$33)^(6-1)*1000/1000000</f>
        <v/>
      </c>
      <c r="K72" s="18">
        <f>$D$23*$D$37*(1+$D$33)^(7-1)*1000/1000000</f>
        <v/>
      </c>
      <c r="L72" s="18">
        <f>$D$23*$D$37*(1+$D$33)^(8-1)*1000/1000000</f>
        <v/>
      </c>
      <c r="M72" s="18">
        <f>$D$23*$D$37*(1+$D$33)^(9-1)*1000/1000000</f>
        <v/>
      </c>
      <c r="N72" s="18">
        <f>$D$23*$D$37*(1+$D$33)^(10-1)*1000/1000000</f>
        <v/>
      </c>
    </row>
    <row r="73">
      <c r="A73" s="5" t="inlineStr">
        <is>
          <t>Total Operating Costs</t>
        </is>
      </c>
      <c r="B73" s="6" t="inlineStr">
        <is>
          <t>$mm</t>
        </is>
      </c>
      <c r="C73" s="6" t="inlineStr"/>
      <c r="E73" s="18">
        <f>E70+E71+E72</f>
        <v/>
      </c>
      <c r="F73" s="18">
        <f>F70+F71+F72</f>
        <v/>
      </c>
      <c r="G73" s="18">
        <f>G70+G71+G72</f>
        <v/>
      </c>
      <c r="H73" s="18">
        <f>H70+H71+H72</f>
        <v/>
      </c>
      <c r="I73" s="18">
        <f>I70+I71+I72</f>
        <v/>
      </c>
      <c r="J73" s="18">
        <f>J70+J71+J72</f>
        <v/>
      </c>
      <c r="K73" s="18">
        <f>K70+K71+K72</f>
        <v/>
      </c>
      <c r="L73" s="18">
        <f>L70+L71+L72</f>
        <v/>
      </c>
      <c r="M73" s="18">
        <f>M70+M71+M72</f>
        <v/>
      </c>
      <c r="N73" s="18">
        <f>N70+N71+N72</f>
        <v/>
      </c>
    </row>
    <row r="75">
      <c r="A75" s="5" t="inlineStr">
        <is>
          <t>EBITDA</t>
        </is>
      </c>
      <c r="B75" s="6" t="inlineStr">
        <is>
          <t>$mm</t>
        </is>
      </c>
      <c r="C75" s="6" t="inlineStr"/>
      <c r="E75" s="7">
        <f>E68-E73</f>
        <v/>
      </c>
      <c r="F75" s="7">
        <f>F68-F73</f>
        <v/>
      </c>
      <c r="G75" s="7">
        <f>G68-G73</f>
        <v/>
      </c>
      <c r="H75" s="7">
        <f>H68-H73</f>
        <v/>
      </c>
      <c r="I75" s="7">
        <f>I68-I73</f>
        <v/>
      </c>
      <c r="J75" s="7">
        <f>J68-J73</f>
        <v/>
      </c>
      <c r="K75" s="7">
        <f>K68-K73</f>
        <v/>
      </c>
      <c r="L75" s="7">
        <f>L68-L73</f>
        <v/>
      </c>
      <c r="M75" s="7">
        <f>M68-M73</f>
        <v/>
      </c>
      <c r="N75" s="7">
        <f>N68-N73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E75-$D$58</f>
        <v/>
      </c>
      <c r="F78" s="18">
        <f>F75-$D$58</f>
        <v/>
      </c>
      <c r="G78" s="18">
        <f>G75-$D$58</f>
        <v/>
      </c>
      <c r="H78" s="18">
        <f>H75-$D$58</f>
        <v/>
      </c>
      <c r="I78" s="18">
        <f>I75-$D$58</f>
        <v/>
      </c>
      <c r="J78" s="18">
        <f>J75-$D$58</f>
        <v/>
      </c>
      <c r="K78" s="18">
        <f>K75-$D$58</f>
        <v/>
      </c>
      <c r="L78" s="18">
        <f>L75-$D$58</f>
        <v/>
      </c>
      <c r="M78" s="18">
        <f>M75-$D$58</f>
        <v/>
      </c>
      <c r="N78" s="18">
        <f>N75-$D$58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MAX(0,E78)*$D$50</f>
        <v/>
      </c>
      <c r="F79" s="18">
        <f>MAX(0,F78)*$D$50</f>
        <v/>
      </c>
      <c r="G79" s="18">
        <f>MAX(0,G78)*$D$50</f>
        <v/>
      </c>
      <c r="H79" s="18">
        <f>MAX(0,H78)*$D$50</f>
        <v/>
      </c>
      <c r="I79" s="18">
        <f>MAX(0,I78)*$D$50</f>
        <v/>
      </c>
      <c r="J79" s="18">
        <f>MAX(0,J78)*$D$50</f>
        <v/>
      </c>
      <c r="K79" s="18">
        <f>MAX(0,K78)*$D$50</f>
        <v/>
      </c>
      <c r="L79" s="18">
        <f>MAX(0,L78)*$D$50</f>
        <v/>
      </c>
      <c r="M79" s="18">
        <f>MAX(0,M78)*$D$50</f>
        <v/>
      </c>
      <c r="N79" s="18">
        <f>MAX(0,N78)*$D$50</f>
        <v/>
      </c>
    </row>
    <row r="80">
      <c r="A80" s="5" t="inlineStr">
        <is>
          <t>Major Maintenance</t>
        </is>
      </c>
      <c r="B80" s="6" t="inlineStr">
        <is>
          <t>$mm</t>
        </is>
      </c>
      <c r="C80" s="6" t="inlineStr">
        <is>
          <t>HGP in specified year</t>
        </is>
      </c>
      <c r="E80" s="21">
        <f>IF(1=$D$38,$D$39,0)</f>
        <v/>
      </c>
      <c r="F80" s="21">
        <f>IF(2=$D$38,$D$39,0)</f>
        <v/>
      </c>
      <c r="G80" s="21">
        <f>IF(3=$D$38,$D$39,0)</f>
        <v/>
      </c>
      <c r="H80" s="21">
        <f>IF(4=$D$38,$D$39,0)</f>
        <v/>
      </c>
      <c r="I80" s="21">
        <f>IF(5=$D$38,$D$39,0)</f>
        <v/>
      </c>
      <c r="J80" s="21">
        <f>IF(6=$D$38,$D$39,0)</f>
        <v/>
      </c>
      <c r="K80" s="21">
        <f>IF(7=$D$38,$D$39,0)</f>
        <v/>
      </c>
      <c r="L80" s="21">
        <f>IF(8=$D$38,$D$39,0)</f>
        <v/>
      </c>
      <c r="M80" s="21">
        <f>IF(9=$D$38,$D$39,0)</f>
        <v/>
      </c>
      <c r="N80" s="21">
        <f>IF(10=$D$38,$D$39,0)</f>
        <v/>
      </c>
    </row>
    <row r="81">
      <c r="A81" s="5" t="inlineStr">
        <is>
          <t>CFADS</t>
        </is>
      </c>
      <c r="B81" s="6" t="inlineStr">
        <is>
          <t>$mm</t>
        </is>
      </c>
      <c r="C81" s="6" t="inlineStr">
        <is>
          <t>EBITDA - Taxes - Maint</t>
        </is>
      </c>
      <c r="E81" s="7">
        <f>E75-E79-E80</f>
        <v/>
      </c>
      <c r="F81" s="7">
        <f>F75-F79-F80</f>
        <v/>
      </c>
      <c r="G81" s="7">
        <f>G75-G79-G80</f>
        <v/>
      </c>
      <c r="H81" s="7">
        <f>H75-H79-H80</f>
        <v/>
      </c>
      <c r="I81" s="7">
        <f>I75-I79-I80</f>
        <v/>
      </c>
      <c r="J81" s="7">
        <f>J75-J79-J80</f>
        <v/>
      </c>
      <c r="K81" s="7">
        <f>K75-K79-K80</f>
        <v/>
      </c>
      <c r="L81" s="7">
        <f>L75-L79-L80</f>
        <v/>
      </c>
      <c r="M81" s="7">
        <f>M75-M79-M80</f>
        <v/>
      </c>
      <c r="N81" s="7">
        <f>N75-N79-N80</f>
        <v/>
      </c>
    </row>
    <row r="83">
      <c r="A83" s="3" t="inlineStr">
        <is>
          <t>DEBT SCHEDULE (50%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$D$57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E84*$D$43</f>
        <v/>
      </c>
      <c r="F85" s="18">
        <f>F84*$D$43</f>
        <v/>
      </c>
      <c r="G85" s="18">
        <f>G84*$D$43</f>
        <v/>
      </c>
      <c r="H85" s="18">
        <f>H84*$D$43</f>
        <v/>
      </c>
      <c r="I85" s="18">
        <f>I84*$D$43</f>
        <v/>
      </c>
      <c r="J85" s="18">
        <f>J84*$D$43</f>
        <v/>
      </c>
      <c r="K85" s="18">
        <f>K84*$D$43</f>
        <v/>
      </c>
      <c r="L85" s="18">
        <f>L84*$D$43</f>
        <v/>
      </c>
      <c r="M85" s="18">
        <f>M84*$D$43</f>
        <v/>
      </c>
      <c r="N85" s="18">
        <f>N84*$D$43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MIN($D$59,E84)</f>
        <v/>
      </c>
      <c r="F86" s="18">
        <f>MIN($D$59,F84)</f>
        <v/>
      </c>
      <c r="G86" s="18">
        <f>MIN($D$59,G84)</f>
        <v/>
      </c>
      <c r="H86" s="18">
        <f>MIN($D$59,H84)</f>
        <v/>
      </c>
      <c r="I86" s="18">
        <f>MIN($D$59,I84)</f>
        <v/>
      </c>
      <c r="J86" s="18">
        <f>MIN($D$59,J84)</f>
        <v/>
      </c>
      <c r="K86" s="18">
        <f>MIN($D$59,K84)</f>
        <v/>
      </c>
      <c r="L86" s="18">
        <f>MIN($D$59,L84)</f>
        <v/>
      </c>
      <c r="M86" s="18">
        <f>MIN($D$59,M84)</f>
        <v/>
      </c>
      <c r="N86" s="18">
        <f>MIN($D$59,N84)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MAX(0,E81-E87-E97)</f>
        <v/>
      </c>
      <c r="F88" s="18">
        <f>MAX(0,F81-F87-F97)</f>
        <v/>
      </c>
      <c r="G88" s="18">
        <f>MAX(0,G81-G87-G97)</f>
        <v/>
      </c>
      <c r="H88" s="18">
        <f>MAX(0,H81-H87-H97)</f>
        <v/>
      </c>
      <c r="I88" s="18">
        <f>MAX(0,I81-I87-I97)</f>
        <v/>
      </c>
      <c r="J88" s="18">
        <f>MAX(0,J81-J87-J97)</f>
        <v/>
      </c>
      <c r="K88" s="18">
        <f>MAX(0,K81-K87-K97)</f>
        <v/>
      </c>
      <c r="L88" s="18">
        <f>MAX(0,L81-L87-L97)</f>
        <v/>
      </c>
      <c r="M88" s="18">
        <f>MAX(0,M81-M87-M97)</f>
        <v/>
      </c>
      <c r="N88" s="18">
        <f>MAX(0,N81-N87-N97)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MIN(Excess×50%, Beg-Sched)</t>
        </is>
      </c>
      <c r="E89" s="21">
        <f>MIN(MAX(0,E88)*$D$46,MAX(0,E84-E86))</f>
        <v/>
      </c>
      <c r="F89" s="21">
        <f>MIN(MAX(0,F88)*$D$46,MAX(0,F84-F86))</f>
        <v/>
      </c>
      <c r="G89" s="21">
        <f>MIN(MAX(0,G88)*$D$46,MAX(0,G84-G86))</f>
        <v/>
      </c>
      <c r="H89" s="21">
        <f>MIN(MAX(0,H88)*$D$46,MAX(0,H84-H86))</f>
        <v/>
      </c>
      <c r="I89" s="21">
        <f>MIN(MAX(0,I88)*$D$46,MAX(0,I84-I86))</f>
        <v/>
      </c>
      <c r="J89" s="21">
        <f>MIN(MAX(0,J88)*$D$46,MAX(0,J84-J86))</f>
        <v/>
      </c>
      <c r="K89" s="21">
        <f>MIN(MAX(0,K88)*$D$46,MAX(0,K84-K86))</f>
        <v/>
      </c>
      <c r="L89" s="21">
        <f>MIN(MAX(0,L88)*$D$46,MAX(0,L84-L86))</f>
        <v/>
      </c>
      <c r="M89" s="21">
        <f>MIN(MAX(0,M88)*$D$46,MAX(0,M84-M86))</f>
        <v/>
      </c>
      <c r="N89" s="21">
        <f>MIN(MAX(0,N88)*$D$46,MAX(0,N84-N86))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30">
        <f>IF(E87&gt;0,E81/E87,0)</f>
        <v/>
      </c>
      <c r="F92" s="30">
        <f>IF(F87&gt;0,F81/F87,0)</f>
        <v/>
      </c>
      <c r="G92" s="30">
        <f>IF(G87&gt;0,G81/G87,0)</f>
        <v/>
      </c>
      <c r="H92" s="30">
        <f>IF(H87&gt;0,H81/H87,0)</f>
        <v/>
      </c>
      <c r="I92" s="30">
        <f>IF(I87&gt;0,I81/I87,0)</f>
        <v/>
      </c>
      <c r="J92" s="30">
        <f>IF(J87&gt;0,J81/J87,0)</f>
        <v/>
      </c>
      <c r="K92" s="30">
        <f>IF(K87&gt;0,K81/K87,0)</f>
        <v/>
      </c>
      <c r="L92" s="30">
        <f>IF(L87&gt;0,L81/L87,0)</f>
        <v/>
      </c>
      <c r="M92" s="30">
        <f>IF(M87&gt;0,M81/M87,0)</f>
        <v/>
      </c>
      <c r="N92" s="30">
        <f>IF(N87&gt;0,N81/N87,0)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8">
        <f>E87*$D$45/12</f>
        <v/>
      </c>
      <c r="E95" s="18">
        <f>F87*$D$45/12</f>
        <v/>
      </c>
      <c r="F95" s="18">
        <f>G87*$D$45/12</f>
        <v/>
      </c>
      <c r="G95" s="18">
        <f>H87*$D$45/12</f>
        <v/>
      </c>
      <c r="H95" s="18">
        <f>I87*$D$45/12</f>
        <v/>
      </c>
      <c r="I95" s="18">
        <f>J87*$D$45/12</f>
        <v/>
      </c>
      <c r="J95" s="18">
        <f>K87*$D$45/12</f>
        <v/>
      </c>
      <c r="K95" s="18">
        <f>L87*$D$45/12</f>
        <v/>
      </c>
      <c r="L95" s="18">
        <f>M87*$D$45/12</f>
        <v/>
      </c>
      <c r="M95" s="18">
        <f>N87*$D$45/12</f>
        <v/>
      </c>
      <c r="N95" s="18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8">
        <f>0</f>
        <v/>
      </c>
      <c r="E96" s="18">
        <f>D98</f>
        <v/>
      </c>
      <c r="F96" s="18">
        <f>E98</f>
        <v/>
      </c>
      <c r="G96" s="18">
        <f>F98</f>
        <v/>
      </c>
      <c r="H96" s="18">
        <f>G98</f>
        <v/>
      </c>
      <c r="I96" s="18">
        <f>H98</f>
        <v/>
      </c>
      <c r="J96" s="18">
        <f>I98</f>
        <v/>
      </c>
      <c r="K96" s="18">
        <f>J98</f>
        <v/>
      </c>
      <c r="L96" s="18">
        <f>K98</f>
        <v/>
      </c>
      <c r="M96" s="18">
        <f>L98</f>
        <v/>
      </c>
      <c r="N96" s="18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8">
        <f>D95-D96</f>
        <v/>
      </c>
      <c r="E97" s="18">
        <f>E95-E96</f>
        <v/>
      </c>
      <c r="F97" s="18">
        <f>F95-F96</f>
        <v/>
      </c>
      <c r="G97" s="18">
        <f>G95-G96</f>
        <v/>
      </c>
      <c r="H97" s="18">
        <f>H95-H96</f>
        <v/>
      </c>
      <c r="I97" s="18">
        <f>I95-I96</f>
        <v/>
      </c>
      <c r="J97" s="18">
        <f>J95-J96</f>
        <v/>
      </c>
      <c r="K97" s="18">
        <f>K95-K96</f>
        <v/>
      </c>
      <c r="L97" s="18">
        <f>L95-L96</f>
        <v/>
      </c>
      <c r="M97" s="18">
        <f>M95-M96</f>
        <v/>
      </c>
      <c r="N97" s="18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8">
        <f>D96+D97</f>
        <v/>
      </c>
      <c r="E98" s="18">
        <f>E96+E97</f>
        <v/>
      </c>
      <c r="F98" s="18">
        <f>F96+F97</f>
        <v/>
      </c>
      <c r="G98" s="18">
        <f>G96+G97</f>
        <v/>
      </c>
      <c r="H98" s="18">
        <f>H96+H97</f>
        <v/>
      </c>
      <c r="I98" s="18">
        <f>I96+I97</f>
        <v/>
      </c>
      <c r="J98" s="18">
        <f>J96+J97</f>
        <v/>
      </c>
      <c r="K98" s="18">
        <f>K96+K97</f>
        <v/>
      </c>
      <c r="L98" s="18">
        <f>L96+L97</f>
        <v/>
      </c>
      <c r="M98" s="18">
        <f>M96+M97</f>
        <v/>
      </c>
      <c r="N98" s="18">
        <f>N96+N97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Total DS - DSRA Fund</t>
        </is>
      </c>
      <c r="E101" s="18">
        <f>E81-(E85+E90)-E97</f>
        <v/>
      </c>
      <c r="F101" s="18">
        <f>F81-(F85+F90)-F97</f>
        <v/>
      </c>
      <c r="G101" s="18">
        <f>G81-(G85+G90)-G97</f>
        <v/>
      </c>
      <c r="H101" s="18">
        <f>H81-(H85+H90)-H97</f>
        <v/>
      </c>
      <c r="I101" s="18">
        <f>I81-(I85+I90)-I97</f>
        <v/>
      </c>
      <c r="J101" s="18">
        <f>J81-(J85+J90)-J97</f>
        <v/>
      </c>
      <c r="K101" s="18">
        <f>K81-(K85+K90)-K97</f>
        <v/>
      </c>
      <c r="L101" s="18">
        <f>L81-(L85+L90)-L97</f>
        <v/>
      </c>
      <c r="M101" s="18">
        <f>M81-(M85+M90)-M97</f>
        <v/>
      </c>
      <c r="N101" s="18">
        <f>N81-(N85+N90)-N97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22">
        <f>IF(E92&gt;=$D$47,"PASS","LOCKED")</f>
        <v/>
      </c>
      <c r="F102" s="22">
        <f>IF(F92&gt;=$D$47,"PASS","LOCKED")</f>
        <v/>
      </c>
      <c r="G102" s="22">
        <f>IF(G92&gt;=$D$47,"PASS","LOCKED")</f>
        <v/>
      </c>
      <c r="H102" s="22">
        <f>IF(H92&gt;=$D$47,"PASS","LOCKED")</f>
        <v/>
      </c>
      <c r="I102" s="22">
        <f>IF(I92&gt;=$D$47,"PASS","LOCKED")</f>
        <v/>
      </c>
      <c r="J102" s="22">
        <f>IF(J92&gt;=$D$47,"PASS","LOCKED")</f>
        <v/>
      </c>
      <c r="K102" s="22">
        <f>IF(K92&gt;=$D$47,"PASS","LOCKED")</f>
        <v/>
      </c>
      <c r="L102" s="22">
        <f>IF(L92&gt;=$D$47,"PASS","LOCKED")</f>
        <v/>
      </c>
      <c r="M102" s="22">
        <f>IF(M92&gt;=$D$47,"PASS","LOCKED")</f>
        <v/>
      </c>
      <c r="N102" s="22">
        <f>IF(N92&gt;=$D$47,"PASS","LOCKED")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3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8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8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8">
        <f>D95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D107+D108+D109</f>
        <v/>
      </c>
    </row>
    <row r="112">
      <c r="A112" s="23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8">
        <f>$D$57</f>
        <v/>
      </c>
    </row>
    <row r="114">
      <c r="A114" s="5" t="inlineStr">
        <is>
          <t xml:space="preserve">  Equity</t>
        </is>
      </c>
      <c r="B114" s="6" t="inlineStr">
        <is>
          <t>$mm</t>
        </is>
      </c>
      <c r="C114" s="6" t="inlineStr">
        <is>
          <t>Plug to balance</t>
        </is>
      </c>
      <c r="D114" s="18">
        <f>D110-D113</f>
        <v/>
      </c>
    </row>
    <row r="115">
      <c r="A115" s="5" t="inlineStr">
        <is>
          <t>Total Sources</t>
        </is>
      </c>
      <c r="B115" s="6" t="inlineStr">
        <is>
          <t>$mm</t>
        </is>
      </c>
      <c r="C115" s="6" t="inlineStr"/>
      <c r="D115" s="7">
        <f>D113+D114</f>
        <v/>
      </c>
    </row>
    <row r="116">
      <c r="A116" s="5" t="inlineStr">
        <is>
          <t>Balance Check</t>
        </is>
      </c>
      <c r="B116" s="6" t="inlineStr"/>
      <c r="C116" s="6" t="inlineStr"/>
      <c r="D116" s="10">
        <f>IF(ABS(D110-D115)&lt;0.01,"PASS","FAIL")</f>
        <v/>
      </c>
    </row>
    <row r="118">
      <c r="A118" s="3" t="inlineStr">
        <is>
          <t>EXIT CALCULATIONS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5" t="inlineStr">
        <is>
          <t>Exit EV</t>
        </is>
      </c>
      <c r="B119" s="6" t="inlineStr">
        <is>
          <t>$mm</t>
        </is>
      </c>
      <c r="C119" s="6" t="inlineStr">
        <is>
          <t>Exit Multiple × Exit Yr EBITDA</t>
        </is>
      </c>
      <c r="K119" s="18">
        <f>$D$19*K75</f>
        <v/>
      </c>
    </row>
    <row r="120">
      <c r="A120" s="5" t="inlineStr">
        <is>
          <t>Exit Debt Payoff</t>
        </is>
      </c>
      <c r="B120" s="6" t="inlineStr">
        <is>
          <t>$mm</t>
        </is>
      </c>
      <c r="C120" s="6" t="inlineStr">
        <is>
          <t>Ending Bal at Exit</t>
        </is>
      </c>
      <c r="K120" s="18">
        <f>K91</f>
        <v/>
      </c>
    </row>
    <row r="121">
      <c r="A121" s="5" t="inlineStr">
        <is>
          <t>DSRA Release</t>
        </is>
      </c>
      <c r="B121" s="6" t="inlineStr">
        <is>
          <t>$mm</t>
        </is>
      </c>
      <c r="C121" s="6" t="inlineStr">
        <is>
          <t>DSRA Ending at Exit</t>
        </is>
      </c>
      <c r="K121" s="18">
        <f>K98</f>
        <v/>
      </c>
    </row>
    <row r="122">
      <c r="A122" s="5" t="inlineStr">
        <is>
          <t>Exit Equity Proceeds</t>
        </is>
      </c>
      <c r="B122" s="6" t="inlineStr">
        <is>
          <t>$mm</t>
        </is>
      </c>
      <c r="C122" s="6" t="inlineStr">
        <is>
          <t>Exit EV - Debt + DSRA</t>
        </is>
      </c>
      <c r="K122" s="7">
        <f>K119-K120+K121</f>
        <v/>
      </c>
    </row>
    <row r="124">
      <c r="A124" s="3" t="inlineStr">
        <is>
          <t>EQUITY RETURNS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Equity Cash Flow</t>
        </is>
      </c>
      <c r="B125" s="6" t="inlineStr">
        <is>
          <t>$mm</t>
        </is>
      </c>
      <c r="C125" s="6" t="inlineStr"/>
      <c r="D125" s="18">
        <f>-D114</f>
        <v/>
      </c>
      <c r="E125" s="18">
        <f>E103</f>
        <v/>
      </c>
      <c r="F125" s="18">
        <f>F103</f>
        <v/>
      </c>
      <c r="G125" s="18">
        <f>G103</f>
        <v/>
      </c>
      <c r="H125" s="18">
        <f>H103</f>
        <v/>
      </c>
      <c r="I125" s="18">
        <f>I103</f>
        <v/>
      </c>
      <c r="J125" s="18">
        <f>J103</f>
        <v/>
      </c>
      <c r="K125" s="18">
        <f>K103+K122</f>
        <v/>
      </c>
      <c r="L125" s="18">
        <f>0</f>
        <v/>
      </c>
      <c r="M125" s="18">
        <f>0</f>
        <v/>
      </c>
      <c r="N125" s="18">
        <f>0</f>
        <v/>
      </c>
    </row>
    <row r="126">
      <c r="A126" s="5" t="inlineStr">
        <is>
          <t>Levered IRR</t>
        </is>
      </c>
      <c r="B126" s="6" t="inlineStr">
        <is>
          <t>%</t>
        </is>
      </c>
      <c r="C126" s="6" t="inlineStr"/>
      <c r="D126" s="31">
        <f>IRR(D125:K125)</f>
        <v/>
      </c>
    </row>
    <row r="127">
      <c r="A127" s="5" t="inlineStr">
        <is>
          <t>MOIC</t>
        </is>
      </c>
      <c r="B127" s="6" t="inlineStr">
        <is>
          <t>x</t>
        </is>
      </c>
      <c r="C127" s="6" t="inlineStr">
        <is>
          <t>Sum inflows / outflow</t>
        </is>
      </c>
      <c r="D127" s="30">
        <f>SUMIF(D125:K125,"&gt;0")/ABS(D125)</f>
        <v/>
      </c>
    </row>
    <row r="129">
      <c r="A129" s="23" t="inlineStr">
        <is>
          <t>Unlevered Returns (for reference)</t>
        </is>
      </c>
      <c r="B129" s="6" t="inlineStr"/>
      <c r="C129" s="6" t="inlineStr"/>
    </row>
    <row r="130">
      <c r="A130" s="5" t="inlineStr">
        <is>
          <t>Unlevered Cash Flow</t>
        </is>
      </c>
      <c r="B130" s="6" t="inlineStr">
        <is>
          <t>$mm</t>
        </is>
      </c>
      <c r="C130" s="6" t="inlineStr"/>
      <c r="D130" s="18">
        <f>-$D$17-D108</f>
        <v/>
      </c>
      <c r="E130" s="18">
        <f>E81</f>
        <v/>
      </c>
      <c r="F130" s="18">
        <f>F81</f>
        <v/>
      </c>
      <c r="G130" s="18">
        <f>G81</f>
        <v/>
      </c>
      <c r="H130" s="18">
        <f>H81</f>
        <v/>
      </c>
      <c r="I130" s="18">
        <f>I81</f>
        <v/>
      </c>
      <c r="J130" s="18">
        <f>J81</f>
        <v/>
      </c>
      <c r="K130" s="18">
        <f>K81+K119</f>
        <v/>
      </c>
      <c r="L130" s="18">
        <f>0</f>
        <v/>
      </c>
      <c r="M130" s="18">
        <f>0</f>
        <v/>
      </c>
      <c r="N130" s="18">
        <f>0</f>
        <v/>
      </c>
    </row>
    <row r="131">
      <c r="A131" s="5" t="inlineStr">
        <is>
          <t>Unlevered IRR</t>
        </is>
      </c>
      <c r="B131" s="6" t="inlineStr">
        <is>
          <t>%</t>
        </is>
      </c>
      <c r="C131" s="6" t="inlineStr"/>
      <c r="D131" s="31">
        <f>IRR(D130:K130)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2026-01-19T23:16:02Z</dcterms:created>
  <dcterms:modified xmlns:dcterms="http://purl.org/dc/terms/" xmlns:xsi="http://www.w3.org/2001/XMLSchema-instance" xsi:type="dcterms:W3CDTF">2026-01-19T23:25:52Z</dcterms:modified>
</cp:coreProperties>
</file>