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2">
      <c r="A2" s="4" t="inlineStr">
        <is>
          <t>═══ DRILL MODE - Fill in yellow cells ═══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s="6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0">
      <c r="D10" s="7" t="n"/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3">
      <c r="D13" s="7" t="n"/>
    </row>
    <row r="14">
      <c r="A14" s="6" t="inlineStr">
        <is>
          <t>═══ QA CHECKS ═══</t>
        </is>
      </c>
      <c r="D14" s="7" t="n"/>
    </row>
    <row r="15">
      <c r="A15" t="inlineStr">
        <is>
          <t>S&amp;U Balance</t>
        </is>
      </c>
      <c r="D15" s="7">
        <f>IF(ABS(D111-D116)&lt;0.01,"PASS","FAIL")</f>
        <v/>
      </c>
    </row>
    <row r="16">
      <c r="A16" t="inlineStr">
        <is>
          <t>Debt Payoff</t>
        </is>
      </c>
      <c r="D16" s="7">
        <f>IF(OFFSET(E90,0,$D$59-1)&lt;1,"PASS","FAIL")</f>
        <v/>
      </c>
    </row>
    <row r="17">
      <c r="A17" s="6" t="inlineStr">
        <is>
          <t>Min DSCR Check</t>
        </is>
      </c>
      <c r="D17" s="7">
        <f>IF(D7&gt;=1.3,"PASS","FAIL")</f>
        <v/>
      </c>
    </row>
    <row r="18"/>
    <row r="19">
      <c r="A19" s="6" t="inlineStr">
        <is>
          <t>═══════════ CONTROL PANEL ═══════════</t>
        </is>
      </c>
    </row>
    <row r="20">
      <c r="D20" s="9" t="n"/>
    </row>
    <row r="21">
      <c r="A21" s="13" t="inlineStr">
        <is>
          <t>REVENUE</t>
        </is>
      </c>
      <c r="D21" s="9" t="n"/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s="13" t="inlineStr">
        <is>
          <t>Contract End Year</t>
        </is>
      </c>
      <c r="C23" t="inlineStr">
        <is>
          <t>Year PPA expires</t>
        </is>
      </c>
      <c r="D23" s="9" t="n">
        <v>12</v>
      </c>
    </row>
    <row r="24">
      <c r="D24" s="9" t="n"/>
    </row>
    <row r="25">
      <c r="A25" s="13" t="inlineStr">
        <is>
          <t>TIMING</t>
        </is>
      </c>
      <c r="D25" s="9" t="n"/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s="13" t="inlineStr">
        <is>
          <t>PTC End Year</t>
        </is>
      </c>
      <c r="C27" t="inlineStr">
        <is>
          <t>Last year of PTC</t>
        </is>
      </c>
      <c r="D27" s="9" t="n">
        <v>5</v>
      </c>
    </row>
    <row r="28">
      <c r="D28" s="9" t="n"/>
    </row>
    <row r="29">
      <c r="A29" s="13" t="inlineStr">
        <is>
          <t>DEBT</t>
        </is>
      </c>
    </row>
    <row r="30">
      <c r="A30" s="6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1"/>
    <row r="32">
      <c r="A32" s="6" t="inlineStr">
        <is>
          <t>════════════════════════════════════</t>
        </is>
      </c>
    </row>
    <row r="33">
      <c r="D33" s="9" t="n"/>
    </row>
    <row r="34">
      <c r="A34" s="6" t="inlineStr">
        <is>
          <t>═══ TRANSACTION INPUTS ═══</t>
        </is>
      </c>
      <c r="D34" s="9" t="n"/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s="6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8">
      <c r="D38" s="9" t="n"/>
    </row>
    <row r="39">
      <c r="A39" s="6" t="inlineStr">
        <is>
          <t>═══ ASSET INPUTS ═══</t>
        </is>
      </c>
      <c r="D39" s="9" t="n"/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s="6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6">
      <c r="D46" s="9" t="n"/>
    </row>
    <row r="47">
      <c r="A47" s="6" t="inlineStr">
        <is>
          <t>═══ COST INPUTS ═══</t>
        </is>
      </c>
      <c r="D47" s="9" t="n"/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s="6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2">
      <c r="D52" s="9" t="n"/>
    </row>
    <row r="53">
      <c r="A53" s="6" t="inlineStr">
        <is>
          <t>═══ TAX INPUTS ═══</t>
        </is>
      </c>
      <c r="D53" s="9" t="n"/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s="6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8">
      <c r="D58" s="9" t="n"/>
    </row>
    <row r="59">
      <c r="A59" s="6" t="inlineStr">
        <is>
          <t>═══ FINANCING INPUTS ═══</t>
        </is>
      </c>
      <c r="D59" s="9" t="n"/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5">
      <c r="A65" s="6" t="n"/>
    </row>
    <row r="66"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</row>
    <row r="67">
      <c r="A67" s="6" t="inlineStr">
        <is>
          <t>═══ OPERATING MODEL ═══</t>
        </is>
      </c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>
      <c r="D70">
        <f>$D$35*$D$56/$D$57</f>
        <v/>
      </c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</row>
    <row r="71">
      <c r="A71" t="inlineStr">
        <is>
          <t>O&amp;M Expense</t>
        </is>
      </c>
      <c r="B71" t="inlineStr">
        <is>
          <t>$mm</t>
        </is>
      </c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</row>
    <row r="72">
      <c r="A72" s="5" t="inlineStr">
        <is>
          <t>Land Lease</t>
        </is>
      </c>
      <c r="B72" t="inlineStr">
        <is>
          <t>$mm</t>
        </is>
      </c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t="inlineStr">
        <is>
          <t>Insurance</t>
        </is>
      </c>
      <c r="B73" t="inlineStr">
        <is>
          <t>$mm</t>
        </is>
      </c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</row>
    <row r="74">
      <c r="A74" s="5" t="inlineStr">
        <is>
          <t>EBITDA</t>
        </is>
      </c>
      <c r="B74" t="inlineStr">
        <is>
          <t>$mm</t>
        </is>
      </c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</row>
    <row r="75">
      <c r="E75" s="19">
        <f>$D$44*(1+$D$45)^(1-1)</f>
        <v/>
      </c>
      <c r="F75" s="19">
        <f>$D$44*(1+$D$45)^(2-1)</f>
        <v/>
      </c>
      <c r="G75" s="19">
        <f>$D$44*(1+$D$45)^(3-1)</f>
        <v/>
      </c>
      <c r="H75" s="19">
        <f>$D$44*(1+$D$45)^(4-1)</f>
        <v/>
      </c>
      <c r="I75" s="19">
        <f>$D$44*(1+$D$45)^(5-1)</f>
        <v/>
      </c>
      <c r="J75" s="19">
        <f>$D$44*(1+$D$45)^(6-1)</f>
        <v/>
      </c>
      <c r="K75" s="19">
        <f>$D$44*(1+$D$45)^(7-1)</f>
        <v/>
      </c>
      <c r="L75" s="19">
        <f>$D$44*(1+$D$45)^(8-1)</f>
        <v/>
      </c>
      <c r="M75" s="19">
        <f>$D$44*(1+$D$45)^(9-1)</f>
        <v/>
      </c>
      <c r="N75" s="19">
        <f>$D$44*(1+$D$45)^(10-1)</f>
        <v/>
      </c>
    </row>
    <row r="76">
      <c r="A76" s="6" t="inlineStr">
        <is>
          <t>═══ DEPRECIATION &amp; TAX ═══</t>
        </is>
      </c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s="15" t="inlineStr">
        <is>
          <t>Pre-PTC Tax</t>
        </is>
      </c>
      <c r="B79" t="inlineStr">
        <is>
          <t>$mm</t>
        </is>
      </c>
      <c r="C79" s="16" t="inlineStr">
        <is>
          <t>[WHAT] MAX(0, EBIT) × Rate</t>
        </is>
      </c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</row>
    <row r="82">
      <c r="A82" s="5" t="inlineStr">
        <is>
          <t>Net Taxes</t>
        </is>
      </c>
      <c r="B82" t="inlineStr">
        <is>
          <t>$mm</t>
        </is>
      </c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</row>
    <row r="85"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 s="19">
        <f>MIN(E87,E86)</f>
        <v/>
      </c>
      <c r="F88" s="19">
        <f>MIN(F87,F86)</f>
        <v/>
      </c>
      <c r="G88" s="19">
        <f>MIN(G87,G86)</f>
        <v/>
      </c>
      <c r="H88" s="19">
        <f>MIN(H87,H86)</f>
        <v/>
      </c>
      <c r="I88" s="19">
        <f>MIN(I87,I86)</f>
        <v/>
      </c>
      <c r="J88" s="19">
        <f>MIN(J87,J86)</f>
        <v/>
      </c>
      <c r="K88" s="19">
        <f>MIN(K87,K86)</f>
        <v/>
      </c>
      <c r="L88" s="19">
        <f>MIN(L87,L86)</f>
        <v/>
      </c>
      <c r="M88" s="19">
        <f>MIN(M87,M86)</f>
        <v/>
      </c>
      <c r="N88" s="19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</row>
    <row r="90">
      <c r="A90" t="inlineStr">
        <is>
          <t>Interest</t>
        </is>
      </c>
      <c r="B90" t="inlineStr">
        <is>
          <t>$mm</t>
        </is>
      </c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</row>
    <row r="93">
      <c r="A93" t="inlineStr">
        <is>
          <t>Ending Balance</t>
        </is>
      </c>
      <c r="B93" t="inlineStr">
        <is>
          <t>$mm</t>
        </is>
      </c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</row>
    <row r="94">
      <c r="A94" s="5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</row>
    <row r="96">
      <c r="A96" s="5" t="inlineStr">
        <is>
          <t>DSCR</t>
        </is>
      </c>
      <c r="B96" t="inlineStr">
        <is>
          <t>x</t>
        </is>
      </c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</row>
    <row r="97">
      <c r="A97" s="6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 s="19">
        <f>MIN(MAX(0,E97-E96),E95)</f>
        <v/>
      </c>
      <c r="F98" s="19">
        <f>MIN(MAX(0,F97-F96),F95)</f>
        <v/>
      </c>
      <c r="G98" s="19">
        <f>MIN(MAX(0,G97-G96),G95)</f>
        <v/>
      </c>
      <c r="H98" s="19">
        <f>MIN(MAX(0,H97-H96),H95)</f>
        <v/>
      </c>
      <c r="I98" s="19">
        <f>MIN(MAX(0,I97-I96),I95)</f>
        <v/>
      </c>
      <c r="J98" s="19">
        <f>MIN(MAX(0,J97-J96),J95)</f>
        <v/>
      </c>
      <c r="K98" s="19">
        <f>MIN(MAX(0,K97-K96),K95)</f>
        <v/>
      </c>
      <c r="L98" s="19">
        <f>MIN(MAX(0,L97-L96),L95)</f>
        <v/>
      </c>
      <c r="M98" s="19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 s="19">
        <f>F96+F98</f>
        <v/>
      </c>
      <c r="G99" s="19">
        <f>G96+G98</f>
        <v/>
      </c>
      <c r="H99" s="19">
        <f>H96+H98</f>
        <v/>
      </c>
      <c r="I99" s="19">
        <f>I96+I98</f>
        <v/>
      </c>
      <c r="J99" s="19">
        <f>J96+J98</f>
        <v/>
      </c>
      <c r="K99" s="19">
        <f>K96+K98</f>
        <v/>
      </c>
      <c r="L99" s="19">
        <f>L96+L98</f>
        <v/>
      </c>
      <c r="M99" s="19">
        <f>M96+M98</f>
        <v/>
      </c>
      <c r="N99" s="1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s="19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s="6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4"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</row>
    <row r="105">
      <c r="A105" s="6" t="inlineStr">
        <is>
          <t>═══ DISTRIBUTION WATERFALL ═══</t>
        </is>
      </c>
      <c r="E105" s="18">
        <f>F99*$D$64/12</f>
        <v/>
      </c>
      <c r="F105" s="18">
        <f>G99*$D$64/12</f>
        <v/>
      </c>
      <c r="G105" s="18">
        <f>H99*$D$64/12</f>
        <v/>
      </c>
      <c r="H105" s="18">
        <f>I99*$D$64/12</f>
        <v/>
      </c>
      <c r="I105" s="18">
        <f>J99*$D$64/12</f>
        <v/>
      </c>
      <c r="J105" s="18">
        <f>K99*$D$64/12</f>
        <v/>
      </c>
      <c r="K105" s="18">
        <f>L99*$D$64/12</f>
        <v/>
      </c>
      <c r="L105" s="18">
        <f>M99*$D$64/12</f>
        <v/>
      </c>
      <c r="M105" s="18">
        <f>N99*$D$64/12</f>
        <v/>
      </c>
      <c r="N105" s="18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A108" s="5" t="n"/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s="5" t="inlineStr">
        <is>
          <t xml:space="preserve">  Transaction Fees</t>
        </is>
      </c>
      <c r="D112" s="7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5"/>
    <row r="116">
      <c r="A116" s="5" t="inlineStr">
        <is>
          <t>SOURCES</t>
        </is>
      </c>
    </row>
    <row r="117">
      <c r="A117" s="5" t="inlineStr">
        <is>
          <t xml:space="preserve">  Debt</t>
        </is>
      </c>
      <c r="D117" s="7">
        <f>$D$35*$D$60</f>
        <v/>
      </c>
    </row>
    <row r="118">
      <c r="A118" t="inlineStr">
        <is>
          <t xml:space="preserve">  Equity</t>
        </is>
      </c>
      <c r="D118" s="7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s="6" t="inlineStr">
        <is>
          <t>S&amp;U Balance Check</t>
        </is>
      </c>
      <c r="D120" s="7">
        <f>IF(ABS(D114-D119)&lt;0.01,"PASS","FAIL")</f>
        <v/>
      </c>
    </row>
    <row r="121">
      <c r="D121" s="19" t="n"/>
    </row>
    <row r="122">
      <c r="A122" s="6" t="inlineStr">
        <is>
          <t>═══ EXIT &amp; RETURNS ═══</t>
        </is>
      </c>
      <c r="D122" s="18" t="n"/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s="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</row>
    <row r="128"/>
    <row r="129">
      <c r="A129" s="5" t="inlineStr">
        <is>
          <t>Equity Cash Flow</t>
        </is>
      </c>
      <c r="B129" t="inlineStr">
        <is>
          <t>$mm</t>
        </is>
      </c>
      <c r="D129" s="17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A130" s="5" t="n"/>
      <c r="D130" s="12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 t="n"/>
    </row>
    <row r="132">
      <c r="A132" s="5" t="inlineStr">
        <is>
          <t>MOIC</t>
        </is>
      </c>
      <c r="B132" t="inlineStr">
        <is>
          <t>x</t>
        </is>
      </c>
      <c r="D132" s="26" t="n"/>
    </row>
    <row r="133">
      <c r="D133">
        <f>K108</f>
        <v/>
      </c>
    </row>
    <row r="134">
      <c r="D134">
        <f>D131-D132+D133</f>
        <v/>
      </c>
    </row>
    <row r="135"/>
    <row r="136"/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0"/>
    <row r="141"/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2026-01-21T01:03:32Z</dcterms:modified>
</cp:coreProperties>
</file>