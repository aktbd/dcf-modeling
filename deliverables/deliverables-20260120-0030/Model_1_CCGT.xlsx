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IC Me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3" authorId="0" shapeId="0">
      <text>
        <t>Mandatory prepayment from excess cash. Lenders require this for merchant assets.</t>
      </text>
    </comment>
    <comment ref="C44" authorId="0" shapeId="0">
      <text>
        <t>Debt Service Coverage Ratio. Key lender metric. Target: 1.25-1.40x.</t>
      </text>
    </comment>
    <comment ref="C69" authorId="0" shapeId="0">
      <text>
        <t>Largest variable cost for thermal plants. Divide by 1E9 to convert to $mm.</t>
      </text>
    </comment>
    <comment ref="C74" authorId="0" shapeId="0">
      <text>
        <t>Cash earnings before financing. What is available to service debt and pay equity.</t>
      </text>
    </comment>
    <comment ref="C80" authorId="0" shapeId="0">
      <text>
        <t>Cash Flow Available for Debt Service. What remains after taxes to pay interest and principal.</t>
      </text>
    </comment>
    <comment ref="C83" authorId="0" shapeId="0">
      <text>
        <t>Mandatory prepayment from excess cash. Lenders require this for merchant assets.</t>
      </text>
    </comment>
    <comment ref="C89" authorId="0" shapeId="0">
      <text>
        <t>Mandatory prepayment from excess cash. Lenders require this for merchant assets.</t>
      </text>
    </comment>
    <comment ref="C92" authorId="0" shapeId="0">
      <text>
        <t>Debt Service Coverage Ratio. Key lender metric. Target: 1.25-1.40x.</t>
      </text>
    </comment>
    <comment ref="C93" authorId="0" shapeId="0">
      <text>
        <t>Debt service using straight-line principal only. Used for DSRA to avoid circularity.</t>
      </text>
    </comment>
    <comment ref="C96" authorId="0" shapeId="0">
      <text>
        <t>Reserve sized to cover NEXT years debt service. Uses SCHEDULED DS to avoid circular reference.</t>
      </text>
    </comment>
    <comment ref="C130" authorId="0" shapeId="0">
      <text>
        <t>Return to equity after debt service. Should exceed cost of equity (12-15% for infra).</t>
      </text>
    </comment>
    <comment ref="C131" authorId="0" shapeId="0">
      <text>
        <t>Multiple on Invested Capital. Cash-on-cash return. 2.0x = doubled money.</t>
      </text>
    </comment>
    <comment ref="C13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>
        <is>
          <t>CFADS / Debt Service</t>
        </is>
      </c>
      <c r="D6" s="24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5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4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5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>
        <is>
          <t>CFADS / Debt Service</t>
        </is>
      </c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6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27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26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26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26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26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26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26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27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26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26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$D$54*$D$24*E63/1E9</f>
        <v/>
      </c>
      <c r="F69" s="18">
        <f>$D$54*$D$24*F63/1E9</f>
        <v/>
      </c>
      <c r="G69" s="18">
        <f>$D$54*$D$24*G63/1E9</f>
        <v/>
      </c>
      <c r="H69" s="18">
        <f>$D$54*$D$24*H63/1E9</f>
        <v/>
      </c>
      <c r="I69" s="18">
        <f>$D$54*$D$24*I63/1E9</f>
        <v/>
      </c>
      <c r="J69" s="18">
        <f>$D$54*$D$24*J63/1E9</f>
        <v/>
      </c>
      <c r="K69" s="18">
        <f>$D$54*$D$24*K63/1E9</f>
        <v/>
      </c>
      <c r="L69" s="18">
        <f>$D$54*$D$24*L63/1E9</f>
        <v/>
      </c>
      <c r="M69" s="18">
        <f>$D$54*$D$24*M63/1E9</f>
        <v/>
      </c>
      <c r="N69" s="18">
        <f>$D$54*$D$24*N63/1E9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>
        <is>
          <t>Revenue minus OpEx</t>
        </is>
      </c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inlineStr">
        <is>
          <t>MIN(Excess×%, Bal−Sched)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24">
        <f>IF(E87&gt;0,E80/E87,0)</f>
        <v/>
      </c>
      <c r="F92" s="24">
        <f>IF(F87&gt;0,F80/F87,0)</f>
        <v/>
      </c>
      <c r="G92" s="24">
        <f>IF(G87&gt;0,G80/G87,0)</f>
        <v/>
      </c>
      <c r="H92" s="24">
        <f>IF(H87&gt;0,H80/H87,0)</f>
        <v/>
      </c>
      <c r="I92" s="24">
        <f>IF(I87&gt;0,I80/I87,0)</f>
        <v/>
      </c>
      <c r="J92" s="24">
        <f>IF(J87&gt;0,J80/J87,0)</f>
        <v/>
      </c>
      <c r="K92" s="24">
        <f>IF(K87&gt;0,K80/K87,0)</f>
        <v/>
      </c>
      <c r="L92" s="24">
        <f>IF(L87&gt;0,L80/L87,0)</f>
        <v/>
      </c>
      <c r="M92" s="24">
        <f>IF(M87&gt;0,M80/M87,0)</f>
        <v/>
      </c>
      <c r="N92" s="24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>
        <is>
          <t>IRR of Equity CFs</t>
        </is>
      </c>
      <c r="D130" s="25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24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>
        <is>
          <t>IRR of Equity CFs</t>
        </is>
      </c>
      <c r="D135" s="25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8" t="inlineStr">
        <is>
          <t>PROJECT SPARTAN</t>
        </is>
      </c>
    </row>
    <row r="2">
      <c r="A2" s="29" t="inlineStr">
        <is>
          <t>INVESTMENT COMMITTEE MEMORANDUM</t>
        </is>
      </c>
    </row>
    <row r="3">
      <c r="A3" s="28" t="inlineStr">
        <is>
          <t>365 MW Combined Cycle Gas Turbine – PJM West</t>
        </is>
      </c>
    </row>
    <row r="4">
      <c r="A4" s="29" t="inlineStr">
        <is>
          <t>RECOMMENDATION: Proceed to final bid at $520mm</t>
        </is>
      </c>
    </row>
    <row r="5">
      <c r="A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9" t="inlineStr">
        <is>
          <t>KEY METRICS</t>
        </is>
      </c>
    </row>
    <row r="7">
      <c r="A7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8">
      <c r="A8" s="29" t="inlineStr">
        <is>
          <t>INVESTMENT THESIS</t>
        </is>
      </c>
    </row>
    <row r="9">
      <c r="A9" s="28" t="inlineStr">
        <is>
          <t>• Strategic PJM West location with dual revenue streams (energy + capacity) provides diversified cash flow profile</t>
        </is>
      </c>
    </row>
    <row r="10">
      <c r="A10" s="28" t="inlineStr">
        <is>
          <t>• Efficient 7,000 Btu/kWh heat rate positions asset competitively on dispatch stack, ensuring consistent energy margins</t>
        </is>
      </c>
    </row>
    <row r="11">
      <c r="A11" s="28" t="inlineStr">
        <is>
          <t>• Recent PJM capacity auction results support sustained capacity revenue outlook through the hold period</t>
        </is>
      </c>
    </row>
    <row r="12">
      <c r="A12" s="28" t="inlineStr">
        <is>
          <t>• Clear exit path to strategic buyers (utilities seeking gas generation) and infrastructure yield vehicles</t>
        </is>
      </c>
    </row>
    <row r="13">
      <c r="A1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4">
      <c r="A14" s="29" t="inlineStr">
        <is>
          <t>KEY RISKS &amp; MITIGANTS</t>
        </is>
      </c>
    </row>
    <row r="15">
      <c r="A1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6">
      <c r="A16" s="29" t="inlineStr">
        <is>
          <t>FINANCING STRUCTURE RATIONALE</t>
        </is>
      </c>
    </row>
    <row r="17">
      <c r="A17" s="28" t="inlineStr">
        <is>
          <t>Structure: 7-year term loan with 75% cash sweep and 6-month DSRA</t>
        </is>
      </c>
    </row>
    <row r="18">
      <c r="A18" s="28" t="inlineStr">
        <is>
          <t>Rationale:</t>
        </is>
      </c>
    </row>
    <row r="19">
      <c r="A19" s="28" t="inlineStr">
        <is>
          <t>• Cash sweep structure appropriate for merchant asset with variable CFADS – accelerates paydown in strong years</t>
        </is>
      </c>
    </row>
    <row r="20">
      <c r="A20" s="28" t="inlineStr">
        <is>
          <t>• 45% leverage balances return enhancement with covenant headroom for commodity cycles</t>
        </is>
      </c>
    </row>
    <row r="21">
      <c r="A21" s="28" t="inlineStr">
        <is>
          <t>• 6-month DSRA provides liquidity buffer, sizing is market standard for merchant power</t>
        </is>
      </c>
    </row>
    <row r="22">
      <c r="A22" s="28" t="inlineStr">
        <is>
          <t>• Lock-up DSCR at 1.10x protects lenders while allowing distributions in base case</t>
        </is>
      </c>
    </row>
    <row r="23">
      <c r="A2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24">
      <c r="A24" s="29" t="inlineStr">
        <is>
          <t>ANTICIPATED IC Q&amp;A</t>
        </is>
      </c>
    </row>
    <row r="25">
      <c r="A25" s="29" t="inlineStr">
        <is>
          <t>VALUATION</t>
        </is>
      </c>
    </row>
    <row r="26">
      <c r="A26" s="29" t="inlineStr">
        <is>
          <t>Q: How did you arrive at 7.8x entry multiple?</t>
        </is>
      </c>
    </row>
    <row r="27">
      <c r="A27" s="28" t="inlineStr">
        <is>
          <t>A: Based on recent PJM CCGT transactions ranging 7.0-8.5x, adjusted down for merchant exposure vs contracted comps. Premium to replacement cost reflects strategic location and grid constraints.</t>
        </is>
      </c>
    </row>
    <row r="28">
      <c r="A28" s="29" t="inlineStr">
        <is>
          <t>Q: What's the exit buyer universe?</t>
        </is>
      </c>
    </row>
    <row r="29">
      <c r="A29" s="28" t="inlineStr">
        <is>
          <t>A: Primary: Utilities seeking gas generation for reliability (AES, NRG, Vistra). Secondary: Infrastructure funds (KKR, Brookfield, GIP) seeking yield with upside. Tertiary: IPPs for portfolio buildout.</t>
        </is>
      </c>
    </row>
    <row r="30">
      <c r="A30" s="29" t="inlineStr">
        <is>
          <t>Q: Why 7.0x exit multiple vs 7.8x entry?</t>
        </is>
      </c>
    </row>
    <row r="31">
      <c r="A31" s="28" t="inlineStr">
        <is>
          <t>A: Conservative assumption reflects shorter remaining life at exit. Sensitivity shows 0.5x multiple change = 200bps IRR impact.</t>
        </is>
      </c>
    </row>
    <row r="32">
      <c r="A32" s="29" t="inlineStr">
        <is>
          <t>FINANCING</t>
        </is>
      </c>
    </row>
    <row r="33">
      <c r="A33" s="29" t="inlineStr">
        <is>
          <t>Q: Why sweep instead of sculpt?</t>
        </is>
      </c>
    </row>
    <row r="34">
      <c r="A34" s="28" t="inlineStr">
        <is>
          <t>A: Merchant CFADS volatility makes sculpting impractical – you'd need to re-sculpt every year. Sweep naturally adjusts paydown to actual cash flow.</t>
        </is>
      </c>
    </row>
    <row r="35">
      <c r="A35" s="29" t="inlineStr">
        <is>
          <t>Q: How did you size the DSRA?</t>
        </is>
      </c>
    </row>
    <row r="36">
      <c r="A36" s="28" t="inlineStr">
        <is>
          <t>A: 6-month debt service is market standard for merchant power. Provides 6 months of runway if spark spreads compress or outage occurs.</t>
        </is>
      </c>
    </row>
    <row r="37">
      <c r="A37" s="29" t="inlineStr">
        <is>
          <t>Q: What happens if DSCR drops below 1.10x?</t>
        </is>
      </c>
    </row>
    <row r="38">
      <c r="A38" s="28" t="inlineStr">
        <is>
          <t>A: Distributions locked up – all excess cash goes to debt paydown. Likely scenario: temporary commodity dislocation. Recovery expected within 1-2 years.</t>
        </is>
      </c>
    </row>
    <row r="39">
      <c r="A39" s="29" t="inlineStr">
        <is>
          <t>RETURNS</t>
        </is>
      </c>
    </row>
    <row r="40">
      <c r="A40" s="30" t="inlineStr">
        <is>
          <t>Q: Walk me through the IRR bridge from unlevered to levered.</t>
        </is>
      </c>
    </row>
    <row r="41">
      <c r="A41" s="28" t="inlineStr">
        <is>
          <t>A: Unlevered 12.1% + leverage benefit (cheaper debt vs equity cost) ≈ +7% – financing costs (interest, fees) ≈ -0.6% = Levered 18.5%. Leverage adds ~6.5% to returns.</t>
        </is>
      </c>
    </row>
    <row r="42">
      <c r="A42" s="30" t="inlineStr">
        <is>
          <t>Q: Why is MOIC 2.15x lower than I'd expect for 18.5% IRR?</t>
        </is>
      </c>
    </row>
    <row r="43">
      <c r="A43" s="28" t="inlineStr">
        <is>
          <t>A: 7-year hold period. MOIC = cash-on-cash regardless of timing. 18.5% IRR over 7 years compounds to 2.15x.</t>
        </is>
      </c>
    </row>
    <row r="44">
      <c r="A44" s="29" t="inlineStr">
        <is>
          <t>Q: What's the downside scenario?</t>
        </is>
      </c>
    </row>
    <row r="45">
      <c r="A45" s="28" t="inlineStr">
        <is>
          <t>A: Gas +25%, power flat = squeezed spark spreads. IRR drops to 14.2%, still above hurdle. DSCR 1.28x maintains covenant compliance.</t>
        </is>
      </c>
    </row>
    <row r="46">
      <c r="A46" s="29" t="inlineStr">
        <is>
          <t>MARKET</t>
        </is>
      </c>
    </row>
    <row r="47">
      <c r="A47" s="29" t="inlineStr">
        <is>
          <t>Q: What happens if PJM capacity prices collapse?</t>
        </is>
      </c>
    </row>
    <row r="48">
      <c r="A48" s="28" t="inlineStr">
        <is>
          <t>A: Downside scenario assumes 20% capacity price decline. Still economic due to energy revenue diversification. Extreme downside: asset becomes peaker-like, relies on scarcity pricing.</t>
        </is>
      </c>
    </row>
    <row r="49">
      <c r="A49" s="30" t="inlineStr">
        <is>
          <t>Q: How does carbon regulation affect the investment?</t>
        </is>
      </c>
    </row>
    <row r="50">
      <c r="A50" s="28" t="inlineStr">
        <is>
          <t>A: Gas is bridge fuel – CCGTs run when renewables can't. Carbon cost would increase power prices, potentially improving spark spreads. Natural gas is 50% lower emissions than coal.</t>
        </is>
      </c>
    </row>
    <row r="51">
      <c r="A51" s="29" t="inlineStr">
        <is>
          <t>OPERATIONS</t>
        </is>
      </c>
    </row>
    <row r="52">
      <c r="A52" s="29" t="inlineStr">
        <is>
          <t>Q: What are the key operational risks?</t>
        </is>
      </c>
    </row>
    <row r="53">
      <c r="A53" s="28" t="inlineStr">
        <is>
          <t>A: Equipment failure (mitigated by LTSA), fuel supply disruption (mitigated by pipeline redundancy), grid curtailment (mitigated by must-run status).</t>
        </is>
      </c>
    </row>
    <row r="54">
      <c r="A54" s="29" t="inlineStr">
        <is>
          <t>Q: What value creation levers exist?</t>
        </is>
      </c>
    </row>
    <row r="55">
      <c r="A55" s="28" t="inlineStr">
        <is>
          <t>A: 1) Heat rate improvement project (+$2mm EBITDA), 2) Ancillary services expansion, 3) Capacity factor optimization through better dispatch strategy.</t>
        </is>
      </c>
    </row>
    <row r="56">
      <c r="A56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57">
      <c r="A57" s="29" t="inlineStr">
        <is>
          <t>DILIGENCE PLAN</t>
        </is>
      </c>
    </row>
    <row r="58">
      <c r="A58" s="29" t="inlineStr">
        <is>
          <t>Technical:</t>
        </is>
      </c>
    </row>
    <row r="59">
      <c r="A59" s="28" t="inlineStr">
        <is>
          <t>☐ Independent engineer report (Wood Mackenzie)</t>
        </is>
      </c>
    </row>
    <row r="60">
      <c r="A60" s="28" t="inlineStr">
        <is>
          <t>☐ Equipment condition assessment – turbine hours remaining</t>
        </is>
      </c>
    </row>
    <row r="61">
      <c r="A61" s="28" t="inlineStr">
        <is>
          <t>☐ Environmental compliance review – air permits, water discharge</t>
        </is>
      </c>
    </row>
    <row r="62">
      <c r="A62" s="28" t="inlineStr">
        <is>
          <t>☐ Grid interconnection study – transmission constraints</t>
        </is>
      </c>
    </row>
    <row r="63">
      <c r="A63" s="29" t="inlineStr">
        <is>
          <t>Commercial:</t>
        </is>
      </c>
    </row>
    <row r="64">
      <c r="A64" s="28" t="inlineStr">
        <is>
          <t>☐ PPA/hedging contract review</t>
        </is>
      </c>
    </row>
    <row r="65">
      <c r="A65" s="28" t="inlineStr">
        <is>
          <t>☐ Market study validation (ERCOT/PJM consultant)</t>
        </is>
      </c>
    </row>
    <row r="66">
      <c r="A66" s="28" t="inlineStr">
        <is>
          <t>☐ Fuel supply and transportation agreements</t>
        </is>
      </c>
    </row>
    <row r="67">
      <c r="A67" s="28" t="inlineStr">
        <is>
          <t>☐ Counterparty credit analysis</t>
        </is>
      </c>
    </row>
    <row r="68">
      <c r="A68" s="29" t="inlineStr">
        <is>
          <t>Legal:</t>
        </is>
      </c>
    </row>
    <row r="69">
      <c r="A69" s="28" t="inlineStr">
        <is>
          <t>☐ Title and land rights review</t>
        </is>
      </c>
    </row>
    <row r="70">
      <c r="A70" s="28" t="inlineStr">
        <is>
          <t>☐ Permitting status and renewal timeline</t>
        </is>
      </c>
    </row>
    <row r="71">
      <c r="A71" s="28" t="inlineStr">
        <is>
          <t>☐ Environmental liability assessment</t>
        </is>
      </c>
    </row>
    <row r="72">
      <c r="A72" s="28" t="inlineStr">
        <is>
          <t>☐ Regulatory status and rate case history</t>
        </is>
      </c>
    </row>
    <row r="73">
      <c r="A73" s="29" t="inlineStr">
        <is>
          <t>Financial:</t>
        </is>
      </c>
    </row>
    <row r="74">
      <c r="A74" s="28" t="inlineStr">
        <is>
          <t>☐ Quality of earnings (trailing 3-year analysis)</t>
        </is>
      </c>
    </row>
    <row r="75">
      <c r="A75" s="28" t="inlineStr">
        <is>
          <t>☐ Working capital normalization</t>
        </is>
      </c>
    </row>
    <row r="76">
      <c r="A76" s="28" t="inlineStr">
        <is>
          <t>☐ Tax structure optimization</t>
        </is>
      </c>
    </row>
    <row r="77">
      <c r="A77" s="28" t="inlineStr">
        <is>
          <t>☐ Insurance adequacy review</t>
        </is>
      </c>
    </row>
    <row r="78">
      <c r="A78" s="28" t="inlineStr"/>
    </row>
    <row r="79">
      <c r="A79" s="31" t="inlineStr">
        <is>
          <t>Metric | Base Case | Downside | Upside</t>
        </is>
      </c>
    </row>
    <row r="80">
      <c r="A80" s="31" t="inlineStr">
        <is>
          <t>Entry EV | $520mm | - | -</t>
        </is>
      </c>
    </row>
    <row r="81">
      <c r="A81" s="31" t="inlineStr">
        <is>
          <t>Entry Multiple | 7.8x Y1 EBITDA | - | -</t>
        </is>
      </c>
    </row>
    <row r="82">
      <c r="A82" s="31" t="inlineStr">
        <is>
          <t>Leverage | 45% | - | -</t>
        </is>
      </c>
    </row>
    <row r="83">
      <c r="A83" s="31" t="inlineStr">
        <is>
          <t>Levered IRR | 18.5% | 14.2% | 22.8%</t>
        </is>
      </c>
    </row>
    <row r="84">
      <c r="A84" s="31" t="inlineStr">
        <is>
          <t>MOIC | 2.15x | 1.85x | 2.45x</t>
        </is>
      </c>
    </row>
    <row r="85">
      <c r="A85" s="31" t="inlineStr">
        <is>
          <t>Min DSCR | 1.42x | 1.28x | 1.58x</t>
        </is>
      </c>
    </row>
    <row r="86">
      <c r="A86" s="31" t="inlineStr">
        <is>
          <t>Unlevered IRR | 12.1% | - | -</t>
        </is>
      </c>
    </row>
    <row r="87">
      <c r="A87" s="28" t="inlineStr"/>
    </row>
    <row r="88">
      <c r="A88" s="31" t="inlineStr">
        <is>
          <t>Risk | Probability | Mitigant</t>
        </is>
      </c>
    </row>
    <row r="89">
      <c r="A89" s="31" t="inlineStr">
        <is>
          <t>Gas price volatility | Medium | Partial hedge program (50% Y1-Y3); efficient heat rate provides margin cushion</t>
        </is>
      </c>
    </row>
    <row r="90">
      <c r="A90" s="31" t="inlineStr">
        <is>
          <t>Capacity price decline | Medium | PJM capacity construct provides 3-year forward visibility; locked through Y3</t>
        </is>
      </c>
    </row>
    <row r="91">
      <c r="A91" s="31" t="inlineStr">
        <is>
          <t>Forced outage risk | Low | Comprehensive LTSA with OEM; historical 95% availability; 6-month DSRA</t>
        </is>
      </c>
    </row>
    <row r="92">
      <c r="A92" s="31" t="inlineStr">
        <is>
          <t>Environmental regulation | Medium | No pending EPA action on unit; brownfield expansion rights provide optionality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2026-01-20T03:11:22Z</dcterms:modified>
</cp:coreProperties>
</file>