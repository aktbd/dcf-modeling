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1" authorId="0" shapeId="0">
      <text>
        <t>Mandatory prepayment from excess cash. Lenders require this for merchant assets.</t>
      </text>
    </comment>
    <comment ref="C42" authorId="0" shapeId="0">
      <text>
        <t>Debt Service Coverage Ratio. Key lender metric. Target: 1.25-1.40x.</t>
      </text>
    </comment>
    <comment ref="C62" authorId="0" shapeId="0">
      <text>
        <t>Cash earnings before financing. What is available to service debt and pay equity.</t>
      </text>
    </comment>
    <comment ref="C68" authorId="0" shapeId="0">
      <text>
        <t>Cash Flow Available for Debt Service. What remains after taxes to pay interest and principal.</t>
      </text>
    </comment>
    <comment ref="C76" authorId="0" shapeId="0">
      <text>
        <t>Mandatory prepayment from excess cash. Lenders require this for merchant assets.</t>
      </text>
    </comment>
    <comment ref="C79" authorId="0" shapeId="0">
      <text>
        <t>Debt Service Coverage Ratio. Key lender metric. Target: 1.25-1.40x.</t>
      </text>
    </comment>
    <comment ref="C80" authorId="0" shapeId="0">
      <text>
        <t>Debt service using straight-line principal only. Used for DSRA to avoid circularity.</t>
      </text>
    </comment>
    <comment ref="C83" authorId="0" shapeId="0">
      <text>
        <t>Reserve sized to cover NEXT years debt service. Uses SCHEDULED DS to avoid circular reference.</t>
      </text>
    </comment>
    <comment ref="C113" authorId="0" shapeId="0">
      <text>
        <t>Return to equity after debt service. Should exceed cost of equity (12-15% for infra).</t>
      </text>
    </comment>
    <comment ref="C114" authorId="0" shapeId="0">
      <text>
        <t>Multiple on Invested Capital. Cash-on-cash return. 2.0x = doubled money.</t>
      </text>
    </comment>
    <comment ref="C118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Midstream - INTUITION MAP</t>
        </is>
      </c>
    </row>
    <row r="3">
      <c r="A3" s="29" t="inlineStr">
        <is>
          <t>WHAT THIS MODEL DOES</t>
        </is>
      </c>
    </row>
    <row r="4">
      <c r="A4" t="inlineStr">
        <is>
          <t>Gas gathering - Fee revenue tied to basin production.</t>
        </is>
      </c>
    </row>
    <row r="6">
      <c r="A6" s="29" t="inlineStr">
        <is>
          <t>KEY VALUE DRIVERS</t>
        </is>
      </c>
    </row>
    <row r="7">
      <c r="A7" t="inlineStr">
        <is>
          <t>1. Volume</t>
        </is>
      </c>
    </row>
    <row r="8">
      <c r="A8" t="inlineStr">
        <is>
          <t>2. Take-or-Pay</t>
        </is>
      </c>
    </row>
    <row r="9">
      <c r="A9" t="inlineStr">
        <is>
          <t>3. Recontracting</t>
        </is>
      </c>
    </row>
    <row r="11">
      <c r="A11" s="29" t="inlineStr">
        <is>
          <t>DEBT STRUCTURE RATIONALE</t>
        </is>
      </c>
    </row>
    <row r="12">
      <c r="A12" t="inlineStr">
        <is>
          <t>75% sweep - volume uncertainty.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>
        <is>
          <t>CFADS / Debt Service</t>
        </is>
      </c>
      <c r="D6" s="22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8"/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</f>
        <v/>
      </c>
      <c r="F59" s="16">
        <f>F56*F57</f>
        <v/>
      </c>
      <c r="G59" s="16">
        <f>G56*G57</f>
        <v/>
      </c>
      <c r="H59" s="16">
        <f>H56*H57</f>
        <v/>
      </c>
      <c r="I59" s="16">
        <f>I56*I57</f>
        <v/>
      </c>
      <c r="J59" s="16">
        <f>J56*J57</f>
        <v/>
      </c>
      <c r="K59" s="16">
        <f>K56*K57</f>
        <v/>
      </c>
      <c r="L59" s="16">
        <f>L56*L57</f>
        <v/>
      </c>
      <c r="M59" s="16">
        <f>M56*M57</f>
        <v/>
      </c>
      <c r="N59" s="16">
        <f>N56*N57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>
        <is>
          <t>Revenue minus OpEx</t>
        </is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>
        <is>
          <t>IRR of Equity CFs</t>
        </is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>
        <is>
          <t>IRR of Equity CFs</t>
        </is>
      </c>
      <c r="D118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2026-01-20T05:25:22Z</dcterms:modified>
</cp:coreProperties>
</file>