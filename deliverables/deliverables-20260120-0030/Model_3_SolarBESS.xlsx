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  <xf numFmtId="165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28" authorId="0" shapeId="0">
      <text>
        <t>Return to equity after debt service. Should exceed cost of equity (12-15% for infra).</t>
      </text>
    </comment>
    <comment ref="C129" authorId="0" shapeId="0">
      <text>
        <t>Multiple on Invested Capital. Cash-on-cash return. 2.0x = doubled money.</t>
      </text>
    </comment>
    <comment ref="C133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1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1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1" t="inlineStr">
        <is>
          <t>The seller is asking $280mm with bids due by February 28, 2026.</t>
        </is>
      </c>
    </row>
    <row r="23">
      <c r="A23" s="29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SOLAR+BESS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NO fuel cost - margins effectively 100%</t>
        </is>
      </c>
    </row>
    <row r="34">
      <c r="A34" s="31" t="inlineStr">
        <is>
          <t>- Degradation reduces output each year (compounds!)</t>
        </is>
      </c>
    </row>
    <row r="35">
      <c r="A35" s="31" t="inlineStr">
        <is>
          <t>- PPA provides contracted revenue</t>
        </is>
      </c>
    </row>
    <row r="36">
      <c r="A36" s="31" t="inlineStr">
        <is>
          <t>- Tax treatment: ITC taken, MACRS shield through Y6</t>
        </is>
      </c>
    </row>
    <row r="37">
      <c r="A37" s="31" t="inlineStr"/>
    </row>
    <row r="38">
      <c r="A38" s="31" t="inlineStr">
        <is>
          <t>1. SET UP INPUTS</t>
        </is>
      </c>
    </row>
    <row r="39">
      <c r="A39" s="31" t="inlineStr">
        <is>
          <t xml:space="preserve">   - Solar Capacity: 150 MW</t>
        </is>
      </c>
    </row>
    <row r="40">
      <c r="A40" s="31" t="inlineStr">
        <is>
          <t xml:space="preserve">   - Capacity Factor: 25-28%</t>
        </is>
      </c>
    </row>
    <row r="41">
      <c r="A41" s="31" t="inlineStr">
        <is>
          <t xml:space="preserve">   - Degradation: 0.5%/year (COMPOUNDS)</t>
        </is>
      </c>
    </row>
    <row r="42">
      <c r="A42" s="31" t="inlineStr">
        <is>
          <t xml:space="preserve">   - PPA Price: $35/MWh (fixed)</t>
        </is>
      </c>
    </row>
    <row r="43">
      <c r="A43" s="31" t="inlineStr">
        <is>
          <t xml:space="preserve">   - PPA Tenor: 13 years remaining</t>
        </is>
      </c>
    </row>
    <row r="44">
      <c r="A44" s="31" t="inlineStr">
        <is>
          <t xml:space="preserve">   - Post-PPA Price: Conservative merchant</t>
        </is>
      </c>
    </row>
    <row r="45">
      <c r="A45" s="31" t="inlineStr"/>
    </row>
    <row r="46">
      <c r="A46" s="31" t="inlineStr">
        <is>
          <t>2. BUILD GENERATION WITH DEGRADATION</t>
        </is>
      </c>
    </row>
    <row r="47">
      <c r="A47" s="31" t="inlineStr">
        <is>
          <t xml:space="preserve">   Year 1 Generation = Capacity x CF x 8760</t>
        </is>
      </c>
    </row>
    <row r="48">
      <c r="A48" s="31" t="inlineStr">
        <is>
          <t xml:space="preserve">   Year n Generation = Year 1 x (1 - Degradation)^(n-1)</t>
        </is>
      </c>
    </row>
    <row r="49">
      <c r="A49" s="31" t="inlineStr">
        <is>
          <t xml:space="preserve">   Example: Y10 = Y1 x 0.995^9 = ~95.6% of Y1</t>
        </is>
      </c>
    </row>
    <row r="50">
      <c r="A50" s="31" t="inlineStr"/>
    </row>
    <row r="51">
      <c r="A51" s="31" t="inlineStr">
        <is>
          <t>3. BUILD TAX SCHEDULE</t>
        </is>
      </c>
    </row>
    <row r="52">
      <c r="A52" s="31" t="inlineStr">
        <is>
          <t xml:space="preserve">   - Years 1-6: MACRS shield = ZERO taxes</t>
        </is>
      </c>
    </row>
    <row r="53">
      <c r="A53" s="31" t="inlineStr">
        <is>
          <t xml:space="preserve">   - Years 7+: Normal taxation</t>
        </is>
      </c>
    </row>
    <row r="54">
      <c r="A54" s="31" t="inlineStr">
        <is>
          <t xml:space="preserve">   Formula: =IF(Year &lt;= Shield_Years, 0, MAX(0, EBIT) x Rate)</t>
        </is>
      </c>
    </row>
    <row r="55">
      <c r="A55" s="31" t="inlineStr"/>
    </row>
    <row r="56">
      <c r="A56" s="31" t="inlineStr">
        <is>
          <t>4. SCULPTED DEBT (NOT Cash Sweep)</t>
        </is>
      </c>
    </row>
    <row r="57">
      <c r="A57" s="31" t="inlineStr">
        <is>
          <t xml:space="preserve">   Solar+BESS with PPA uses SCULPTED debt:</t>
        </is>
      </c>
    </row>
    <row r="58">
      <c r="A58" s="31" t="inlineStr">
        <is>
          <t xml:space="preserve">   - Cash flows predictable (contracted)</t>
        </is>
      </c>
    </row>
    <row r="59">
      <c r="A59" s="31" t="inlineStr">
        <is>
          <t xml:space="preserve">   - Lenders comfortable with 1.30-1.40x DSCR</t>
        </is>
      </c>
    </row>
    <row r="60">
      <c r="A60" s="31" t="inlineStr">
        <is>
          <t xml:space="preserve">   Sculpted Principal = MIN(MAX(0, CFADS/Target_DSCR - Interest), Beg_Bal)</t>
        </is>
      </c>
    </row>
    <row r="62">
      <c r="A62" s="29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29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29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29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29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4" t="inlineStr">
        <is>
          <t>COLD START WORKFLOW (4-Hour Test)</t>
        </is>
      </c>
    </row>
    <row r="112">
      <c r="A112" s="33" t="inlineStr">
        <is>
          <t>Phase 1: Setup (15 min)</t>
        </is>
      </c>
    </row>
    <row r="113">
      <c r="A113" s="35" t="inlineStr">
        <is>
          <t>→ Create workbook, freeze panes at E2</t>
        </is>
      </c>
    </row>
    <row r="114">
      <c r="A114" s="35" t="inlineStr">
        <is>
          <t>→ Set column widths: A=32, B=12, C=38, D-N=14</t>
        </is>
      </c>
    </row>
    <row r="115">
      <c r="A115" s="35" t="inlineStr">
        <is>
          <t>→ Build year headers: Y0 (2025), Y1 (2026), ... Y10 (2035)</t>
        </is>
      </c>
    </row>
    <row r="116">
      <c r="A116" s="35" t="inlineStr">
        <is>
          <t>→ Create section placeholders with ═══ dividers</t>
        </is>
      </c>
    </row>
    <row r="118">
      <c r="A118" s="33" t="inlineStr">
        <is>
          <t>Phase 2: Inputs &amp; S&amp;U (30 min)</t>
        </is>
      </c>
    </row>
    <row r="119">
      <c r="A119" s="35" t="inlineStr">
        <is>
          <t>→ Transaction: Entry EV, Fees %, Exit Multiple, Exit Year</t>
        </is>
      </c>
    </row>
    <row r="120">
      <c r="A120" s="35" t="inlineStr">
        <is>
          <t>→ Asset: Capacity, CF/Dispatch, Prices, Escalation</t>
        </is>
      </c>
    </row>
    <row r="121">
      <c r="A121" s="35" t="inlineStr">
        <is>
          <t>→ Financing: Leverage, Rate, Tenor, DSRA months, Sweep %</t>
        </is>
      </c>
    </row>
    <row r="122">
      <c r="A122" s="35" t="inlineStr">
        <is>
          <t>→ Build Uses first, then Sources (balancing item = equity)</t>
        </is>
      </c>
    </row>
    <row r="124">
      <c r="A124" s="33" t="inlineStr">
        <is>
          <t>Phase 3: Operating Model (45 min)</t>
        </is>
      </c>
    </row>
    <row r="125">
      <c r="A125" s="35" t="inlineStr">
        <is>
          <t>→ Generation = Capacity × CF × 8760 (baseload) OR Capacity × Dispatch × Avail (peaker)</t>
        </is>
      </c>
    </row>
    <row r="126">
      <c r="A126" s="35" t="inlineStr">
        <is>
          <t>→ Revenue = Generation × Price / 1E6  (careful: capacity $/kW needs ×1000)</t>
        </is>
      </c>
    </row>
    <row r="127">
      <c r="A127" s="35" t="inlineStr">
        <is>
          <t>→ Fuel = Gen × HR × Gas / 1E9  (CRITICAL: divide by BILLION)</t>
        </is>
      </c>
    </row>
    <row r="128">
      <c r="A128" s="35" t="inlineStr">
        <is>
          <t>→ EBITDA = Revenue - OpEx</t>
        </is>
      </c>
    </row>
    <row r="129">
      <c r="A129" s="35" t="inlineStr">
        <is>
          <t>→ Taxes = MAX(0, Taxable Income) × Rate  (no negative taxes!)</t>
        </is>
      </c>
    </row>
    <row r="131">
      <c r="A131" s="33" t="inlineStr">
        <is>
          <t>Phase 4: Debt Schedule (45 min)</t>
        </is>
      </c>
    </row>
    <row r="132">
      <c r="A132" s="35" t="inlineStr">
        <is>
          <t>→ Beginning Bal Y1 = Funded Debt; Yn = Prior Ending</t>
        </is>
      </c>
    </row>
    <row r="133">
      <c r="A133" s="35" t="inlineStr">
        <is>
          <t>→ Interest = Beg Bal × Rate</t>
        </is>
      </c>
    </row>
    <row r="134">
      <c r="A134" s="35" t="inlineStr">
        <is>
          <t>→ Principal: Straight-line OR Sculpted OR Sweep</t>
        </is>
      </c>
    </row>
    <row r="135">
      <c r="A135" s="35" t="inlineStr">
        <is>
          <t>→ DSCR = CFADS / Debt Service</t>
        </is>
      </c>
    </row>
    <row r="136">
      <c r="A136" s="35" t="inlineStr">
        <is>
          <t>→ DSRA Target = NEXT year's DS × (months/12)  [TRAP: not current year!]</t>
        </is>
      </c>
    </row>
    <row r="138">
      <c r="A138" s="33" t="inlineStr">
        <is>
          <t>Phase 5: Exit &amp; Returns (30 min)</t>
        </is>
      </c>
    </row>
    <row r="139">
      <c r="A139" s="35" t="inlineStr">
        <is>
          <t>→ Exit EV = Exit EBITDA × Multiple</t>
        </is>
      </c>
    </row>
    <row r="140">
      <c r="A140" s="35" t="inlineStr">
        <is>
          <t>→ Exit Equity = Exit EV - Debt Payoff + DSRA Release</t>
        </is>
      </c>
    </row>
    <row r="141">
      <c r="A141" s="35" t="inlineStr">
        <is>
          <t>→ Equity CF row: Y0 = -Entry Equity, Y1-n = Distributions, Exit Year += Exit Equity</t>
        </is>
      </c>
    </row>
    <row r="142">
      <c r="A142" s="35" t="inlineStr">
        <is>
          <t>→ IRR = IRR(Y0:Y10 equity CFs)</t>
        </is>
      </c>
    </row>
    <row r="143">
      <c r="A143" s="35" t="inlineStr">
        <is>
          <t>→ MOIC = (Distributions + Exit) / Entry Equity</t>
        </is>
      </c>
    </row>
    <row r="145">
      <c r="A145" s="33" t="inlineStr">
        <is>
          <t>Phase 6: QA &amp; Polish (15 min)</t>
        </is>
      </c>
    </row>
    <row r="146">
      <c r="A146" s="35" t="inlineStr">
        <is>
          <t>→ S&amp;U Balance Check = PASS</t>
        </is>
      </c>
    </row>
    <row r="147">
      <c r="A147" s="35" t="inlineStr">
        <is>
          <t>→ Debt Payoff Check = PASS (ending bal &lt; $1mm)</t>
        </is>
      </c>
    </row>
    <row r="148">
      <c r="A148" s="35" t="inlineStr">
        <is>
          <t>→ Min DSCR Check = PASS (≥1.25x merchant, ≥1.30x contracted)</t>
        </is>
      </c>
    </row>
    <row r="149">
      <c r="A149" s="35" t="inlineStr">
        <is>
          <t>→ Sanity: DSCR 1.2-2.5x, IRR 12-25%, Fuel $30-50mm (CCGT)</t>
        </is>
      </c>
    </row>
    <row r="152">
      <c r="A152" s="36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29" t="inlineStr">
        <is>
          <t>TOTAL</t>
        </is>
      </c>
      <c r="B165" s="29" t="inlineStr">
        <is>
          <t>4:00</t>
        </is>
      </c>
    </row>
    <row r="168">
      <c r="A168" s="36" t="inlineStr">
        <is>
          <t>DEBT SIZING APPROACHES</t>
        </is>
      </c>
    </row>
    <row r="170">
      <c r="A170" s="33" t="inlineStr">
        <is>
          <t>1. STRAIGHT-LINE (Simplest)</t>
        </is>
      </c>
    </row>
    <row r="171">
      <c r="A171" s="35" t="inlineStr">
        <is>
          <t xml:space="preserve">  Principal = Debt Amount / Tenor</t>
        </is>
      </c>
    </row>
    <row r="172">
      <c r="A172" s="35" t="inlineStr">
        <is>
          <t xml:space="preserve">  Best for: Quick models, Model_Quick, when told 'ignore sweep'</t>
        </is>
      </c>
    </row>
    <row r="173">
      <c r="A173" s="35" t="inlineStr">
        <is>
          <t xml:space="preserve">  Pros: No circularity, fast to build</t>
        </is>
      </c>
    </row>
    <row r="174">
      <c r="A174" s="35" t="inlineStr">
        <is>
          <t xml:space="preserve">  Cons: May not reflect economic reality</t>
        </is>
      </c>
    </row>
    <row r="176">
      <c r="A176" s="33" t="inlineStr">
        <is>
          <t>2. CASH SWEEP (Merchant)</t>
        </is>
      </c>
    </row>
    <row r="177">
      <c r="A177" s="35" t="inlineStr">
        <is>
          <t xml:space="preserve">  Sweep = Excess Cash × Sweep%  (Excess = CFADS - DS - DSRA)</t>
        </is>
      </c>
    </row>
    <row r="178">
      <c r="A178" s="35" t="inlineStr">
        <is>
          <t xml:space="preserve">  Best for: Merchant assets, volatile CFADS</t>
        </is>
      </c>
    </row>
    <row r="179">
      <c r="A179" s="35" t="inlineStr">
        <is>
          <t xml:space="preserve">  Pros: Realistic for bank debt, de-levers faster</t>
        </is>
      </c>
    </row>
    <row r="180">
      <c r="A180" s="35" t="inlineStr">
        <is>
          <t xml:space="preserve">  Cons: Requires DSRA logic, near-circular (use scheduled_ds trick)</t>
        </is>
      </c>
    </row>
    <row r="182">
      <c r="A182" s="33" t="inlineStr">
        <is>
          <t>3. SCULPTED (Contracted)</t>
        </is>
      </c>
    </row>
    <row r="183">
      <c r="A183" s="35" t="inlineStr">
        <is>
          <t xml:space="preserve">  Target DS = CFADS / Target DSCR; Principal = Target DS - Interest</t>
        </is>
      </c>
    </row>
    <row r="184">
      <c r="A184" s="35" t="inlineStr">
        <is>
          <t xml:space="preserve">  Best for: PPAs, regulated assets, predictable CFADS</t>
        </is>
      </c>
    </row>
    <row r="185">
      <c r="A185" s="35" t="inlineStr">
        <is>
          <t xml:space="preserve">  Pros: Maximizes debt capacity, matches CF profile</t>
        </is>
      </c>
    </row>
    <row r="186">
      <c r="A186" s="35" t="inlineStr">
        <is>
          <t xml:space="preserve">  Cons: More complex, requires CFADS forecast first</t>
        </is>
      </c>
    </row>
    <row r="189">
      <c r="A189" s="36" t="inlineStr">
        <is>
          <t>KEY FORMULA CONCEPTS</t>
        </is>
      </c>
    </row>
    <row r="191">
      <c r="A191" s="33" t="inlineStr">
        <is>
          <t>SPARK SPREAD (Thermal Plants)</t>
        </is>
      </c>
    </row>
    <row r="192">
      <c r="A192" s="35" t="inlineStr">
        <is>
          <t xml:space="preserve">  = Power Price ($/MWh) - Fuel Cost per MWh</t>
        </is>
      </c>
    </row>
    <row r="193">
      <c r="A193" s="35" t="inlineStr">
        <is>
          <t xml:space="preserve">  = Power Price - (Heat Rate × Gas Price / 1000)</t>
        </is>
      </c>
    </row>
    <row r="194">
      <c r="A194" s="35" t="inlineStr">
        <is>
          <t xml:space="preserve">  Example: $45/MWh - (7000 Btu/kWh × $3/mmBtu / 1000) = $45 - $21 = $24/MWh</t>
        </is>
      </c>
    </row>
    <row r="195">
      <c r="A195" s="35" t="inlineStr">
        <is>
          <t xml:space="preserve">  Core margin driver for CCGT/Peaker dispatch economics</t>
        </is>
      </c>
    </row>
    <row r="197">
      <c r="A197" s="33" t="inlineStr">
        <is>
          <t>UCAP (Unforced Capacity)</t>
        </is>
      </c>
    </row>
    <row r="198">
      <c r="A198" s="35" t="inlineStr">
        <is>
          <t xml:space="preserve">  = Nameplate Capacity × (1 - Forced Outage Rate)</t>
        </is>
      </c>
    </row>
    <row r="199">
      <c r="A199" s="35" t="inlineStr">
        <is>
          <t xml:space="preserve">  = 365 MW × (1 - 5%) = 346.75 MW</t>
        </is>
      </c>
    </row>
    <row r="200">
      <c r="A200" s="35" t="inlineStr">
        <is>
          <t xml:space="preserve">  Capacity revenue uses UCAP, not nameplate</t>
        </is>
      </c>
    </row>
    <row r="201">
      <c r="A201" s="35" t="inlineStr">
        <is>
          <t xml:space="preserve">  Capacity Price is $/kW-yr, so: UCAP × Price × 1000 / 1E6</t>
        </is>
      </c>
    </row>
    <row r="203">
      <c r="A203" s="33" t="inlineStr">
        <is>
          <t>LLCR / PLCR (Project Finance)</t>
        </is>
      </c>
    </row>
    <row r="204">
      <c r="A204" s="35" t="inlineStr">
        <is>
          <t xml:space="preserve">  LLCR = NPV(CFADS over loan life) / Debt Outstanding</t>
        </is>
      </c>
    </row>
    <row r="205">
      <c r="A205" s="35" t="inlineStr">
        <is>
          <t xml:space="preserve">  PLCR = NPV(CFADS over project life) / Debt Outstanding</t>
        </is>
      </c>
    </row>
    <row r="206">
      <c r="A206" s="35" t="inlineStr">
        <is>
          <t xml:space="preserve">  LLCR ~1.4x+ typical for investment grade</t>
        </is>
      </c>
    </row>
    <row r="207">
      <c r="A207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SolarBESS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8</v>
      </c>
    </row>
    <row r="15">
      <c r="A15" t="inlineStr">
        <is>
          <t>Exit Year</t>
        </is>
      </c>
      <c r="B15" t="inlineStr">
        <is>
          <t>yr</t>
        </is>
      </c>
      <c r="D15" s="42" t="n">
        <v>15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0.055</v>
      </c>
    </row>
    <row r="26">
      <c r="A26" t="inlineStr">
        <is>
          <t>Debt Tenor</t>
        </is>
      </c>
      <c r="B26" t="inlineStr">
        <is>
          <t>yrs</t>
        </is>
      </c>
      <c r="D26" s="42" t="n">
        <v>15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E78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inlineStr">
        <is>
          <t>Min DSCR</t>
        </is>
      </c>
      <c r="B6" s="44" t="inlineStr">
        <is>
          <t>x</t>
        </is>
      </c>
      <c r="C6" s="44" t="inlineStr">
        <is>
          <t>Minimum debt service coverage ratio</t>
        </is>
      </c>
      <c r="D6" s="52">
        <f>IF(COUNTIF(E92:N92,"&gt;0")&gt;0,MINIFS(E92:N92,E92:N92,"&gt;0"),0)</f>
        <v/>
      </c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 t="n"/>
    </row>
    <row r="22">
      <c r="A22" s="5" t="inlineStr">
        <is>
          <t>Debt Payoff Y10</t>
        </is>
      </c>
      <c r="B22" s="6" t="inlineStr"/>
      <c r="C22" s="6" t="inlineStr"/>
      <c r="D22" s="10">
        <f>IF(N91&lt;1,"PASS","FAIL")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$D$34*$D$35*8760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$D$27*$D$51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$D$27*$D$29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$D$64*(1-$D$36)^(1-1)</f>
        <v/>
      </c>
      <c r="F69" s="15">
        <f>$D$64*(1-$D$36)^(2-1)</f>
        <v/>
      </c>
      <c r="G69" s="15">
        <f>$D$64*(1-$D$36)^(3-1)</f>
        <v/>
      </c>
      <c r="H69" s="15">
        <f>$D$64*(1-$D$36)^(4-1)</f>
        <v/>
      </c>
      <c r="I69" s="15">
        <f>$D$64*(1-$D$36)^(5-1)</f>
        <v/>
      </c>
      <c r="J69" s="15">
        <f>$D$64*(1-$D$36)^(6-1)</f>
        <v/>
      </c>
      <c r="K69" s="15">
        <f>$D$64*(1-$D$36)^(7-1)</f>
        <v/>
      </c>
      <c r="L69" s="15">
        <f>$D$64*(1-$D$36)^(8-1)</f>
        <v/>
      </c>
      <c r="M69" s="15">
        <f>$D$64*(1-$D$36)^(9-1)</f>
        <v/>
      </c>
      <c r="N69" s="15">
        <f>$D$64*(1-$D$36)^(10-1)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$D$39*(1+$D$40)^(1-1)</f>
        <v/>
      </c>
      <c r="F70" s="16">
        <f>$D$39*(1+$D$40)^(2-1)</f>
        <v/>
      </c>
      <c r="G70" s="16">
        <f>$D$39*(1+$D$40)^(3-1)</f>
        <v/>
      </c>
      <c r="H70" s="16">
        <f>$D$39*(1+$D$40)^(4-1)</f>
        <v/>
      </c>
      <c r="I70" s="16">
        <f>$D$39*(1+$D$40)^(5-1)</f>
        <v/>
      </c>
      <c r="J70" s="16">
        <f>$D$39*(1+$D$40)^(6-1)</f>
        <v/>
      </c>
      <c r="K70" s="16">
        <f>$D$39*(1+$D$40)^(7-1)</f>
        <v/>
      </c>
      <c r="L70" s="16">
        <f>$D$39*(1+$D$40)^(8-1)</f>
        <v/>
      </c>
      <c r="M70" s="16">
        <f>$D$39*(1+$D$40)^(9-1)</f>
        <v/>
      </c>
      <c r="N70" s="16">
        <f>$D$39*(1+$D$40)^(10-1)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E69*E70/1000000</f>
        <v/>
      </c>
      <c r="F72" s="16">
        <f>F69*F70/1000000</f>
        <v/>
      </c>
      <c r="G72" s="16">
        <f>G69*G70/1000000</f>
        <v/>
      </c>
      <c r="H72" s="16">
        <f>H69*H70/1000000</f>
        <v/>
      </c>
      <c r="I72" s="16">
        <f>I69*I70/1000000</f>
        <v/>
      </c>
      <c r="J72" s="16">
        <f>J69*J70/1000000</f>
        <v/>
      </c>
      <c r="K72" s="16">
        <f>K69*K70/1000000</f>
        <v/>
      </c>
      <c r="L72" s="16">
        <f>L69*L70/1000000</f>
        <v/>
      </c>
      <c r="M72" s="16">
        <f>M69*M70/1000000</f>
        <v/>
      </c>
      <c r="N72" s="16">
        <f>N69*N70/1000000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$D$41*(1+$D$42)^(1-1)</f>
        <v/>
      </c>
      <c r="F73" s="16">
        <f>$D$41*(1+$D$42)^(2-1)</f>
        <v/>
      </c>
      <c r="G73" s="16">
        <f>$D$41*(1+$D$42)^(3-1)</f>
        <v/>
      </c>
      <c r="H73" s="16">
        <f>$D$41*(1+$D$42)^(4-1)</f>
        <v/>
      </c>
      <c r="I73" s="16">
        <f>$D$41*(1+$D$42)^(5-1)</f>
        <v/>
      </c>
      <c r="J73" s="16">
        <f>$D$41*(1+$D$42)^(6-1)</f>
        <v/>
      </c>
      <c r="K73" s="16">
        <f>$D$41*(1+$D$42)^(7-1)</f>
        <v/>
      </c>
      <c r="L73" s="16">
        <f>$D$41*(1+$D$42)^(8-1)</f>
        <v/>
      </c>
      <c r="M73" s="16">
        <f>$D$41*(1+$D$42)^(9-1)</f>
        <v/>
      </c>
      <c r="N73" s="16">
        <f>$D$41*(1+$D$42)^(10-1)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E72+E73</f>
        <v/>
      </c>
      <c r="F74" s="17">
        <f>F72+F73</f>
        <v/>
      </c>
      <c r="G74" s="17">
        <f>G72+G73</f>
        <v/>
      </c>
      <c r="H74" s="17">
        <f>H72+H73</f>
        <v/>
      </c>
      <c r="I74" s="17">
        <f>I72+I73</f>
        <v/>
      </c>
      <c r="J74" s="17">
        <f>J72+J73</f>
        <v/>
      </c>
      <c r="K74" s="17">
        <f>K72+K73</f>
        <v/>
      </c>
      <c r="L74" s="17">
        <f>L72+L73</f>
        <v/>
      </c>
      <c r="M74" s="17">
        <f>M72+M73</f>
        <v/>
      </c>
      <c r="N74" s="17">
        <f>N72+N73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$D$45*(1+$D$46)^(1-1)</f>
        <v/>
      </c>
      <c r="F76" s="16">
        <f>$D$45*(1+$D$46)^(2-1)</f>
        <v/>
      </c>
      <c r="G76" s="16">
        <f>$D$45*(1+$D$46)^(3-1)</f>
        <v/>
      </c>
      <c r="H76" s="16">
        <f>$D$45*(1+$D$46)^(4-1)</f>
        <v/>
      </c>
      <c r="I76" s="16">
        <f>$D$45*(1+$D$46)^(5-1)</f>
        <v/>
      </c>
      <c r="J76" s="16">
        <f>$D$45*(1+$D$46)^(6-1)</f>
        <v/>
      </c>
      <c r="K76" s="16">
        <f>$D$45*(1+$D$46)^(7-1)</f>
        <v/>
      </c>
      <c r="L76" s="16">
        <f>$D$45*(1+$D$46)^(8-1)</f>
        <v/>
      </c>
      <c r="M76" s="16">
        <f>$D$45*(1+$D$46)^(9-1)</f>
        <v/>
      </c>
      <c r="N76" s="16">
        <f>$D$45*(1+$D$46)^(10-1)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E74-E76</f>
        <v/>
      </c>
      <c r="F78" s="7">
        <f>F74-F76</f>
        <v/>
      </c>
      <c r="G78" s="7">
        <f>G74-G76</f>
        <v/>
      </c>
      <c r="H78" s="7">
        <f>H74-H76</f>
        <v/>
      </c>
      <c r="I78" s="7">
        <f>I74-I76</f>
        <v/>
      </c>
      <c r="J78" s="7">
        <f>J74-J76</f>
        <v/>
      </c>
      <c r="K78" s="7">
        <f>K74-K76</f>
        <v/>
      </c>
      <c r="L78" s="7">
        <f>L74-L76</f>
        <v/>
      </c>
      <c r="M78" s="7">
        <f>M74-M76</f>
        <v/>
      </c>
      <c r="N78" s="7">
        <f>N74-N76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IF(1&lt;=$D$60,0,MAX(0,E78)*$D$61)</f>
        <v/>
      </c>
      <c r="F81" s="16">
        <f>IF(2&lt;=$D$60,0,MAX(0,F78)*$D$61)</f>
        <v/>
      </c>
      <c r="G81" s="16">
        <f>IF(3&lt;=$D$60,0,MAX(0,G78)*$D$61)</f>
        <v/>
      </c>
      <c r="H81" s="16">
        <f>IF(4&lt;=$D$60,0,MAX(0,H78)*$D$61)</f>
        <v/>
      </c>
      <c r="I81" s="16">
        <f>IF(5&lt;=$D$60,0,MAX(0,I78)*$D$61)</f>
        <v/>
      </c>
      <c r="J81" s="16">
        <f>IF(6&lt;=$D$60,0,MAX(0,J78)*$D$61)</f>
        <v/>
      </c>
      <c r="K81" s="16">
        <f>IF(7&lt;=$D$60,0,MAX(0,K78)*$D$61)</f>
        <v/>
      </c>
      <c r="L81" s="16">
        <f>IF(8&lt;=$D$60,0,MAX(0,L78)*$D$61)</f>
        <v/>
      </c>
      <c r="M81" s="16">
        <f>IF(9&lt;=$D$60,0,MAX(0,M78)*$D$61)</f>
        <v/>
      </c>
      <c r="N81" s="16">
        <f>IF(10&lt;=$D$60,0,MAX(0,N78)*$D$61)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IF(1=$D$47,$D$48,0)</f>
        <v/>
      </c>
      <c r="F82" s="18">
        <f>IF(2=$D$47,$D$48,0)</f>
        <v/>
      </c>
      <c r="G82" s="18">
        <f>IF(3=$D$47,$D$48,0)</f>
        <v/>
      </c>
      <c r="H82" s="18">
        <f>IF(4=$D$47,$D$48,0)</f>
        <v/>
      </c>
      <c r="I82" s="18">
        <f>IF(5=$D$47,$D$48,0)</f>
        <v/>
      </c>
      <c r="J82" s="18">
        <f>IF(6=$D$47,$D$48,0)</f>
        <v/>
      </c>
      <c r="K82" s="18">
        <f>IF(7=$D$47,$D$48,0)</f>
        <v/>
      </c>
      <c r="L82" s="18">
        <f>IF(8=$D$47,$D$48,0)</f>
        <v/>
      </c>
      <c r="M82" s="18">
        <f>IF(9=$D$47,$D$48,0)</f>
        <v/>
      </c>
      <c r="N82" s="18">
        <f>IF(10=$D$47,$D$48,0)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E78-E81-E82</f>
        <v/>
      </c>
      <c r="F83" s="7">
        <f>F78-F81-F82</f>
        <v/>
      </c>
      <c r="G83" s="7">
        <f>G78-G81-G82</f>
        <v/>
      </c>
      <c r="H83" s="7">
        <f>H78-H81-H82</f>
        <v/>
      </c>
      <c r="I83" s="7">
        <f>I78-I81-I82</f>
        <v/>
      </c>
      <c r="J83" s="7">
        <f>J78-J81-J82</f>
        <v/>
      </c>
      <c r="K83" s="7">
        <f>K78-K81-K82</f>
        <v/>
      </c>
      <c r="L83" s="7">
        <f>L78-L81-L82</f>
        <v/>
      </c>
      <c r="M83" s="7">
        <f>M78-M81-M82</f>
        <v/>
      </c>
      <c r="N83" s="7">
        <f>N78-N81-N82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D86" t="n">
        <v>0</v>
      </c>
      <c r="E86" s="16">
        <f>$D$65</f>
        <v/>
      </c>
      <c r="F86" s="16">
        <f>E91</f>
        <v/>
      </c>
      <c r="G86" s="16">
        <f>F91</f>
        <v/>
      </c>
      <c r="H86" s="16">
        <f>G91</f>
        <v/>
      </c>
      <c r="I86" s="16">
        <f>H91</f>
        <v/>
      </c>
      <c r="J86" s="16">
        <f>I91</f>
        <v/>
      </c>
      <c r="K86" s="16">
        <f>J91</f>
        <v/>
      </c>
      <c r="L86" s="16">
        <f>K91</f>
        <v/>
      </c>
      <c r="M86" s="16">
        <f>L91</f>
        <v/>
      </c>
      <c r="N86" s="16">
        <f>M91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E86*$D$52</f>
        <v/>
      </c>
      <c r="F87" s="16">
        <f>F86*$D$52</f>
        <v/>
      </c>
      <c r="G87" s="16">
        <f>G86*$D$52</f>
        <v/>
      </c>
      <c r="H87" s="16">
        <f>H86*$D$52</f>
        <v/>
      </c>
      <c r="I87" s="16">
        <f>I86*$D$52</f>
        <v/>
      </c>
      <c r="J87" s="16">
        <f>J86*$D$52</f>
        <v/>
      </c>
      <c r="K87" s="16">
        <f>K86*$D$52</f>
        <v/>
      </c>
      <c r="L87" s="16">
        <f>L86*$D$52</f>
        <v/>
      </c>
      <c r="M87" s="16">
        <f>M86*$D$52</f>
        <v/>
      </c>
      <c r="N87" s="16">
        <f>N86*$D$52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E83/$D$55</f>
        <v/>
      </c>
      <c r="F88" s="16">
        <f>F83/$D$55</f>
        <v/>
      </c>
      <c r="G88" s="16">
        <f>G83/$D$55</f>
        <v/>
      </c>
      <c r="H88" s="16">
        <f>H83/$D$55</f>
        <v/>
      </c>
      <c r="I88" s="16">
        <f>I83/$D$55</f>
        <v/>
      </c>
      <c r="J88" s="16">
        <f>J83/$D$55</f>
        <v/>
      </c>
      <c r="K88" s="16">
        <f>K83/$D$55</f>
        <v/>
      </c>
      <c r="L88" s="16">
        <f>L83/$D$55</f>
        <v/>
      </c>
      <c r="M88" s="16">
        <f>M83/$D$55</f>
        <v/>
      </c>
      <c r="N88" s="16">
        <f>N83/$D$55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MIN(MAX(0,E88-E87),E86)</f>
        <v/>
      </c>
      <c r="F89" s="16">
        <f>MIN(MAX(0,F88-F87),F86)</f>
        <v/>
      </c>
      <c r="G89" s="16">
        <f>MIN(MAX(0,G88-G87),G86)</f>
        <v/>
      </c>
      <c r="H89" s="16">
        <f>MIN(MAX(0,H88-H87),H86)</f>
        <v/>
      </c>
      <c r="I89" s="16">
        <f>MIN(MAX(0,I88-I87),I86)</f>
        <v/>
      </c>
      <c r="J89" s="16">
        <f>MIN(MAX(0,J88-J87),J86)</f>
        <v/>
      </c>
      <c r="K89" s="16">
        <f>MIN(MAX(0,K88-K87),K86)</f>
        <v/>
      </c>
      <c r="L89" s="16">
        <f>MIN(MAX(0,L88-L87),L86)</f>
        <v/>
      </c>
      <c r="M89" s="16">
        <f>MIN(MAX(0,M88-M87),M86)</f>
        <v/>
      </c>
      <c r="N89" s="16">
        <f>MIN(MAX(0,N88-N87),N86)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E87+E89</f>
        <v/>
      </c>
      <c r="F90" s="16">
        <f>F87+F89</f>
        <v/>
      </c>
      <c r="G90" s="16">
        <f>G87+G89</f>
        <v/>
      </c>
      <c r="H90" s="16">
        <f>H87+H89</f>
        <v/>
      </c>
      <c r="I90" s="16">
        <f>I87+I89</f>
        <v/>
      </c>
      <c r="J90" s="16">
        <f>J87+J89</f>
        <v/>
      </c>
      <c r="K90" s="16">
        <f>K87+K89</f>
        <v/>
      </c>
      <c r="L90" s="16">
        <f>L87+L89</f>
        <v/>
      </c>
      <c r="M90" s="16">
        <f>M87+M89</f>
        <v/>
      </c>
      <c r="N90" s="16">
        <f>N87+N89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D91">
        <f>$D$65</f>
        <v/>
      </c>
      <c r="E91" s="16">
        <f>MAX(0,E86-E89)</f>
        <v/>
      </c>
      <c r="F91" s="16">
        <f>MAX(0,F86-F89)</f>
        <v/>
      </c>
      <c r="G91" s="16">
        <f>MAX(0,G86-G89)</f>
        <v/>
      </c>
      <c r="H91" s="16">
        <f>MAX(0,H86-H89)</f>
        <v/>
      </c>
      <c r="I91" s="16">
        <f>MAX(0,I86-I89)</f>
        <v/>
      </c>
      <c r="J91" s="16">
        <f>MAX(0,J86-J89)</f>
        <v/>
      </c>
      <c r="K91" s="16">
        <f>MAX(0,K86-K89)</f>
        <v/>
      </c>
      <c r="L91" s="16">
        <f>MAX(0,L86-L89)</f>
        <v/>
      </c>
      <c r="M91" s="16">
        <f>MAX(0,M86-M89)</f>
        <v/>
      </c>
      <c r="N91" s="16">
        <f>MAX(0,N86-N89)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IF(E90&gt;0,E83/E90,0)</f>
        <v/>
      </c>
      <c r="F92" s="21">
        <f>IF(F90&gt;0,F83/F90,0)</f>
        <v/>
      </c>
      <c r="G92" s="21">
        <f>IF(G90&gt;0,G83/G90,0)</f>
        <v/>
      </c>
      <c r="H92" s="21">
        <f>IF(H90&gt;0,H83/H90,0)</f>
        <v/>
      </c>
      <c r="I92" s="21">
        <f>IF(I90&gt;0,I83/I90,0)</f>
        <v/>
      </c>
      <c r="J92" s="21">
        <f>IF(J90&gt;0,J83/J90,0)</f>
        <v/>
      </c>
      <c r="K92" s="21">
        <f>IF(K90&gt;0,K83/K90,0)</f>
        <v/>
      </c>
      <c r="L92" s="21">
        <f>IF(L90&gt;0,L83/L90,0)</f>
        <v/>
      </c>
      <c r="M92" s="21">
        <f>IF(M90&gt;0,M83/M90,0)</f>
        <v/>
      </c>
      <c r="N92" s="21">
        <f>IF(N90&gt;0,N83/N90,0)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F90*$D$54/12</f>
        <v/>
      </c>
      <c r="F95" s="16">
        <f>G90*$D$54/12</f>
        <v/>
      </c>
      <c r="G95" s="16">
        <f>H90*$D$54/12</f>
        <v/>
      </c>
      <c r="H95" s="16">
        <f>I90*$D$54/12</f>
        <v/>
      </c>
      <c r="I95" s="16">
        <f>J90*$D$54/12</f>
        <v/>
      </c>
      <c r="J95" s="16">
        <f>K90*$D$54/12</f>
        <v/>
      </c>
      <c r="K95" s="16">
        <f>L90*$D$54/12</f>
        <v/>
      </c>
      <c r="L95" s="16">
        <f>M90*$D$54/12</f>
        <v/>
      </c>
      <c r="M95" s="16">
        <f>N90*$D$54/12</f>
        <v/>
      </c>
      <c r="N95" s="16" t="n">
        <v>0</v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 t="n">
        <v>0</v>
      </c>
      <c r="E96" s="16">
        <f>D109</f>
        <v/>
      </c>
      <c r="F96" s="16">
        <f>E98</f>
        <v/>
      </c>
      <c r="G96" s="16">
        <f>F98</f>
        <v/>
      </c>
      <c r="H96" s="16">
        <f>G98</f>
        <v/>
      </c>
      <c r="I96" s="16">
        <f>H98</f>
        <v/>
      </c>
      <c r="J96" s="16">
        <f>I98</f>
        <v/>
      </c>
      <c r="K96" s="16">
        <f>J98</f>
        <v/>
      </c>
      <c r="L96" s="16">
        <f>K98</f>
        <v/>
      </c>
      <c r="M96" s="16">
        <f>L98</f>
        <v/>
      </c>
      <c r="N96" s="16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E95-E96</f>
        <v/>
      </c>
      <c r="F97" s="16">
        <f>F95-F96</f>
        <v/>
      </c>
      <c r="G97" s="16">
        <f>G95-G96</f>
        <v/>
      </c>
      <c r="H97" s="16">
        <f>H95-H96</f>
        <v/>
      </c>
      <c r="I97" s="16">
        <f>I95-I96</f>
        <v/>
      </c>
      <c r="J97" s="16">
        <f>J95-J96</f>
        <v/>
      </c>
      <c r="K97" s="16">
        <f>K95-K96</f>
        <v/>
      </c>
      <c r="L97" s="16">
        <f>L95-L96</f>
        <v/>
      </c>
      <c r="M97" s="16">
        <f>M95-M96</f>
        <v/>
      </c>
      <c r="N97" s="16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E96+E97</f>
        <v/>
      </c>
      <c r="F98" s="16">
        <f>F96+F97</f>
        <v/>
      </c>
      <c r="G98" s="16">
        <f>G96+G97</f>
        <v/>
      </c>
      <c r="H98" s="16">
        <f>H96+H97</f>
        <v/>
      </c>
      <c r="I98" s="16">
        <f>I96+I97</f>
        <v/>
      </c>
      <c r="J98" s="16">
        <f>J96+J97</f>
        <v/>
      </c>
      <c r="K98" s="16">
        <f>K96+K97</f>
        <v/>
      </c>
      <c r="L98" s="16">
        <f>L96+L97</f>
        <v/>
      </c>
      <c r="M98" s="16">
        <f>M96+M97</f>
        <v/>
      </c>
      <c r="N98" s="16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E83-E90-E97</f>
        <v/>
      </c>
      <c r="F101" s="16">
        <f>F83-F90-F97</f>
        <v/>
      </c>
      <c r="G101" s="16">
        <f>G83-G90-G97</f>
        <v/>
      </c>
      <c r="H101" s="16">
        <f>H83-H90-H97</f>
        <v/>
      </c>
      <c r="I101" s="16">
        <f>I83-I90-I97</f>
        <v/>
      </c>
      <c r="J101" s="16">
        <f>J83-J90-J97</f>
        <v/>
      </c>
      <c r="K101" s="16">
        <f>K83-K90-K97</f>
        <v/>
      </c>
      <c r="L101" s="16">
        <f>L83-L90-L97</f>
        <v/>
      </c>
      <c r="M101" s="16">
        <f>M83-M90-M97</f>
        <v/>
      </c>
      <c r="N101" s="16">
        <f>N83-N90-N97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IF(E92&gt;=$D$56,"PASS","LOCKED")</f>
        <v/>
      </c>
      <c r="F102" s="19">
        <f>IF(F92&gt;=$D$56,"PASS","LOCKED")</f>
        <v/>
      </c>
      <c r="G102" s="19">
        <f>IF(G92&gt;=$D$56,"PASS","LOCKED")</f>
        <v/>
      </c>
      <c r="H102" s="19">
        <f>IF(H92&gt;=$D$56,"PASS","LOCKED")</f>
        <v/>
      </c>
      <c r="I102" s="19">
        <f>IF(I92&gt;=$D$56,"PASS","LOCKED")</f>
        <v/>
      </c>
      <c r="J102" s="19">
        <f>IF(J92&gt;=$D$56,"PASS","LOCKED")</f>
        <v/>
      </c>
      <c r="K102" s="19">
        <f>IF(K92&gt;=$D$56,"PASS","LOCKED")</f>
        <v/>
      </c>
      <c r="L102" s="19">
        <f>IF(L92&gt;=$D$56,"PASS","LOCKED")</f>
        <v/>
      </c>
      <c r="M102" s="19">
        <f>IF(M92&gt;=$D$56,"PASS","LOCKED")</f>
        <v/>
      </c>
      <c r="N102" s="19">
        <f>IF(N92&gt;=$D$56,"PASS","LOCKED")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$D$27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$D$27*$D$28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E95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$D$27*$D$51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D110-D113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$D$66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D114-D115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D113+D116+D115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IF(ABS(D110-D117)&lt;0.01,"PASS","FAIL")</f>
        <v/>
      </c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D121">
        <f>N78*$D$30</f>
        <v/>
      </c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D122">
        <f>N91</f>
        <v/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D123">
        <f>N98</f>
        <v/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D124">
        <f>D121-D122+D123</f>
        <v/>
      </c>
      <c r="N124" s="7">
        <f>N111-N112+N113</f>
        <v/>
      </c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inlineStr"/>
      <c r="D127" s="16">
        <f>-D116</f>
        <v/>
      </c>
      <c r="E127" s="16">
        <f>E103</f>
        <v/>
      </c>
      <c r="F127" s="16">
        <f>F103</f>
        <v/>
      </c>
      <c r="G127" s="16">
        <f>G103</f>
        <v/>
      </c>
      <c r="H127" s="16">
        <f>H103</f>
        <v/>
      </c>
      <c r="I127" s="16">
        <f>I103</f>
        <v/>
      </c>
      <c r="J127" s="16">
        <f>J103</f>
        <v/>
      </c>
      <c r="K127" s="16">
        <f>K103</f>
        <v/>
      </c>
      <c r="L127" s="16">
        <f>L103</f>
        <v/>
      </c>
      <c r="M127" s="16">
        <f>M103</f>
        <v/>
      </c>
      <c r="N127" s="16">
        <f>N103+D124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2">
        <f>IRR(D127:N127)</f>
        <v/>
      </c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1">
        <f>(SUM(E127:N127))/-D127</f>
        <v/>
      </c>
    </row>
    <row r="131">
      <c r="A131" s="20" t="inlineStr">
        <is>
          <t>Unlevered Returns (for reference)</t>
        </is>
      </c>
      <c r="B131" s="6" t="inlineStr"/>
      <c r="C131" s="6" t="inlineStr"/>
    </row>
    <row r="132">
      <c r="A132" s="5" t="inlineStr">
        <is>
          <t>Unlevered Cash Flow</t>
        </is>
      </c>
      <c r="B132" s="6" t="inlineStr">
        <is>
          <t>$mm</t>
        </is>
      </c>
      <c r="C132" s="6" t="inlineStr"/>
      <c r="D132" s="16">
        <f>-$D$27-D108</f>
        <v/>
      </c>
      <c r="E132" s="16">
        <f>E83</f>
        <v/>
      </c>
      <c r="F132" s="16">
        <f>F83</f>
        <v/>
      </c>
      <c r="G132" s="16">
        <f>G83</f>
        <v/>
      </c>
      <c r="H132" s="16">
        <f>H83</f>
        <v/>
      </c>
      <c r="I132" s="16">
        <f>I83</f>
        <v/>
      </c>
      <c r="J132" s="16">
        <f>J83</f>
        <v/>
      </c>
      <c r="K132" s="16">
        <f>K83</f>
        <v/>
      </c>
      <c r="L132" s="16">
        <f>L83</f>
        <v/>
      </c>
      <c r="M132" s="16">
        <f>M83</f>
        <v/>
      </c>
      <c r="N132" s="16">
        <f>N83+D121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2">
        <f>IRR(D132:N132)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2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1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2026-01-21T03:03:36Z</dcterms:modified>
</cp:coreProperties>
</file>