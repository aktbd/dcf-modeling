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17" fillId="0" borderId="1" pivotButton="0" quotePrefix="0" xfId="0"/>
    <xf numFmtId="165" fontId="17" fillId="0" borderId="1" pivotButton="0" quotePrefix="0" xfId="0"/>
    <xf numFmtId="166" fontId="17" fillId="0" borderId="1" pivotButton="0" quotePrefix="0" xfId="0"/>
    <xf numFmtId="0" fontId="10" fillId="0" borderId="0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E66*E67</f>
        <v/>
      </c>
      <c r="F69" s="16">
        <f>F66*F67</f>
        <v/>
      </c>
      <c r="G69" s="16">
        <f>G66*G67</f>
        <v/>
      </c>
      <c r="H69" s="16">
        <f>H66*H67</f>
        <v/>
      </c>
      <c r="I69" s="16">
        <f>I66*I67</f>
        <v/>
      </c>
      <c r="J69" s="16">
        <f>J66*J67</f>
        <v/>
      </c>
      <c r="K69" s="16">
        <f>K66*K67</f>
        <v/>
      </c>
      <c r="L69" s="16">
        <f>L66*L67</f>
        <v/>
      </c>
      <c r="M69" s="16">
        <f>M66*M67</f>
        <v/>
      </c>
      <c r="N69" s="16">
        <f>N66*N67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$D$42*(1+$D$43)^(1-1)</f>
        <v/>
      </c>
      <c r="F70" s="16">
        <f>$D$42*(1+$D$43)^(2-1)</f>
        <v/>
      </c>
      <c r="G70" s="16">
        <f>$D$42*(1+$D$43)^(3-1)</f>
        <v/>
      </c>
      <c r="H70" s="16">
        <f>$D$42*(1+$D$43)^(4-1)</f>
        <v/>
      </c>
      <c r="I70" s="16">
        <f>$D$42*(1+$D$43)^(5-1)</f>
        <v/>
      </c>
      <c r="J70" s="16">
        <f>$D$42*(1+$D$43)^(6-1)</f>
        <v/>
      </c>
      <c r="K70" s="16">
        <f>$D$42*(1+$D$43)^(7-1)</f>
        <v/>
      </c>
      <c r="L70" s="16">
        <f>$D$42*(1+$D$43)^(8-1)</f>
        <v/>
      </c>
      <c r="M70" s="16">
        <f>$D$42*(1+$D$43)^(9-1)</f>
        <v/>
      </c>
      <c r="N70" s="16">
        <f>$D$42*(1+$D$43)^(10-1)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E69-E70</f>
        <v/>
      </c>
      <c r="F72" s="7">
        <f>F69-F70</f>
        <v/>
      </c>
      <c r="G72" s="7">
        <f>G69-G70</f>
        <v/>
      </c>
      <c r="H72" s="7">
        <f>H69-H70</f>
        <v/>
      </c>
      <c r="I72" s="7">
        <f>I69-I70</f>
        <v/>
      </c>
      <c r="J72" s="7">
        <f>J69-J70</f>
        <v/>
      </c>
      <c r="K72" s="7">
        <f>K69-K70</f>
        <v/>
      </c>
      <c r="L72" s="7">
        <f>L69-L70</f>
        <v/>
      </c>
      <c r="M72" s="7">
        <f>M69-M70</f>
        <v/>
      </c>
      <c r="N72" s="7">
        <f>N69-N70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E72-$D$61</f>
        <v/>
      </c>
      <c r="F75" s="16">
        <f>F72-$D$61</f>
        <v/>
      </c>
      <c r="G75" s="16">
        <f>G72-$D$61</f>
        <v/>
      </c>
      <c r="H75" s="16">
        <f>H72-$D$61</f>
        <v/>
      </c>
      <c r="I75" s="16">
        <f>I72-$D$61</f>
        <v/>
      </c>
      <c r="J75" s="16">
        <f>J72-$D$61</f>
        <v/>
      </c>
      <c r="K75" s="16">
        <f>K72-$D$61</f>
        <v/>
      </c>
      <c r="L75" s="16">
        <f>L72-$D$61</f>
        <v/>
      </c>
      <c r="M75" s="16">
        <f>M72-$D$61</f>
        <v/>
      </c>
      <c r="N75" s="16">
        <f>N72-$D$61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MAX(0,E75)*$D$55</f>
        <v/>
      </c>
      <c r="F76" s="16">
        <f>MAX(0,F75)*$D$55</f>
        <v/>
      </c>
      <c r="G76" s="16">
        <f>MAX(0,G75)*$D$55</f>
        <v/>
      </c>
      <c r="H76" s="16">
        <f>MAX(0,H75)*$D$55</f>
        <v/>
      </c>
      <c r="I76" s="16">
        <f>MAX(0,I75)*$D$55</f>
        <v/>
      </c>
      <c r="J76" s="16">
        <f>MAX(0,J75)*$D$55</f>
        <v/>
      </c>
      <c r="K76" s="16">
        <f>MAX(0,K75)*$D$55</f>
        <v/>
      </c>
      <c r="L76" s="16">
        <f>MAX(0,L75)*$D$55</f>
        <v/>
      </c>
      <c r="M76" s="16">
        <f>MAX(0,M75)*$D$55</f>
        <v/>
      </c>
      <c r="N76" s="16">
        <f>MAX(0,N75)*$D$55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7">
        <f>IF(1&lt;=5,$D$44,0)</f>
        <v/>
      </c>
      <c r="F77" s="7">
        <f>IF(2&lt;=5,$D$44,0)</f>
        <v/>
      </c>
      <c r="G77" s="7">
        <f>IF(3&lt;=5,$D$44,0)</f>
        <v/>
      </c>
      <c r="H77" s="7">
        <f>IF(4&lt;=5,$D$44,0)</f>
        <v/>
      </c>
      <c r="I77" s="7">
        <f>IF(5&lt;=5,$D$44,0)</f>
        <v/>
      </c>
      <c r="J77" s="7">
        <f>IF(6&lt;=5,$D$44,0)</f>
        <v/>
      </c>
      <c r="K77" s="7">
        <f>IF(7&lt;=5,$D$44,0)</f>
        <v/>
      </c>
      <c r="L77" s="7">
        <f>IF(8&lt;=5,$D$44,0)</f>
        <v/>
      </c>
      <c r="M77" s="7">
        <f>IF(9&lt;=5,$D$44,0)</f>
        <v/>
      </c>
      <c r="N77" s="7">
        <f>IF(10&lt;=5,$D$44,0)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E72-E76-E77</f>
        <v/>
      </c>
      <c r="F78" s="7">
        <f>F72-F76-F77</f>
        <v/>
      </c>
      <c r="G78" s="7">
        <f>G72-G76-G77</f>
        <v/>
      </c>
      <c r="H78" s="7">
        <f>H72-H76-H77</f>
        <v/>
      </c>
      <c r="I78" s="7">
        <f>I72-I76-I77</f>
        <v/>
      </c>
      <c r="J78" s="7">
        <f>J72-J76-J77</f>
        <v/>
      </c>
      <c r="K78" s="7">
        <f>K72-K76-K77</f>
        <v/>
      </c>
      <c r="L78" s="7">
        <f>L72-L76-L77</f>
        <v/>
      </c>
      <c r="M78" s="7">
        <f>M72-M76-M77</f>
        <v/>
      </c>
      <c r="N78" s="7">
        <f>N72-N76-N77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D81" t="n">
        <v>0</v>
      </c>
      <c r="E81" s="16">
        <f>$D$60</f>
        <v/>
      </c>
      <c r="F81" s="16">
        <f>E88</f>
        <v/>
      </c>
      <c r="G81" s="16">
        <f>F88</f>
        <v/>
      </c>
      <c r="H81" s="16">
        <f>G88</f>
        <v/>
      </c>
      <c r="I81" s="16">
        <f>H88</f>
        <v/>
      </c>
      <c r="J81" s="16">
        <f>I88</f>
        <v/>
      </c>
      <c r="K81" s="16">
        <f>J88</f>
        <v/>
      </c>
      <c r="L81" s="16">
        <f>K88</f>
        <v/>
      </c>
      <c r="M81" s="16">
        <f>L88</f>
        <v/>
      </c>
      <c r="N81" s="16">
        <f>M88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E81*$D$48</f>
        <v/>
      </c>
      <c r="F82" s="16">
        <f>F81*$D$48</f>
        <v/>
      </c>
      <c r="G82" s="16">
        <f>G81*$D$48</f>
        <v/>
      </c>
      <c r="H82" s="16">
        <f>H81*$D$48</f>
        <v/>
      </c>
      <c r="I82" s="16">
        <f>I81*$D$48</f>
        <v/>
      </c>
      <c r="J82" s="16">
        <f>J81*$D$48</f>
        <v/>
      </c>
      <c r="K82" s="16">
        <f>K81*$D$48</f>
        <v/>
      </c>
      <c r="L82" s="16">
        <f>L81*$D$48</f>
        <v/>
      </c>
      <c r="M82" s="16">
        <f>M81*$D$48</f>
        <v/>
      </c>
      <c r="N82" s="16">
        <f>N81*$D$48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MIN($D$62,E81)</f>
        <v/>
      </c>
      <c r="F83" s="16">
        <f>MIN($D$62,F81)</f>
        <v/>
      </c>
      <c r="G83" s="16">
        <f>MIN($D$62,G81)</f>
        <v/>
      </c>
      <c r="H83" s="16">
        <f>MIN($D$62,H81)</f>
        <v/>
      </c>
      <c r="I83" s="16">
        <f>MIN($D$62,I81)</f>
        <v/>
      </c>
      <c r="J83" s="16">
        <f>MIN($D$62,J81)</f>
        <v/>
      </c>
      <c r="K83" s="16">
        <f>MIN($D$62,K81)</f>
        <v/>
      </c>
      <c r="L83" s="16">
        <f>MIN($D$62,L81)</f>
        <v/>
      </c>
      <c r="M83" s="16">
        <f>MIN($D$62,M81)</f>
        <v/>
      </c>
      <c r="N83" s="16">
        <f>MIN($D$62,N81)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E82+E83</f>
        <v/>
      </c>
      <c r="F84" s="16">
        <f>F82+F83</f>
        <v/>
      </c>
      <c r="G84" s="16">
        <f>G82+G83</f>
        <v/>
      </c>
      <c r="H84" s="16">
        <f>H82+H83</f>
        <v/>
      </c>
      <c r="I84" s="16">
        <f>I82+I83</f>
        <v/>
      </c>
      <c r="J84" s="16">
        <f>J82+J83</f>
        <v/>
      </c>
      <c r="K84" s="16">
        <f>K82+K83</f>
        <v/>
      </c>
      <c r="L84" s="16">
        <f>L82+L83</f>
        <v/>
      </c>
      <c r="M84" s="16">
        <f>M82+M83</f>
        <v/>
      </c>
      <c r="N84" s="16">
        <f>N82+N83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MIN(E85*$D$51,MAX(0,E81-E83))</f>
        <v/>
      </c>
      <c r="F86" s="19">
        <f>MIN(F85*$D$51,MAX(0,F81-F83))</f>
        <v/>
      </c>
      <c r="G86" s="19">
        <f>MIN(G85*$D$51,MAX(0,G81-G83))</f>
        <v/>
      </c>
      <c r="H86" s="19">
        <f>MIN(H85*$D$51,MAX(0,H81-H83))</f>
        <v/>
      </c>
      <c r="I86" s="19">
        <f>MIN(I85*$D$51,MAX(0,I81-I83))</f>
        <v/>
      </c>
      <c r="J86" s="19">
        <f>MIN(J85*$D$51,MAX(0,J81-J83))</f>
        <v/>
      </c>
      <c r="K86" s="19">
        <f>MIN(K85*$D$51,MAX(0,K81-K83))</f>
        <v/>
      </c>
      <c r="L86" s="19">
        <f>MIN(L85*$D$51,MAX(0,L81-L83))</f>
        <v/>
      </c>
      <c r="M86" s="19">
        <f>MIN(M85*$D$51,MAX(0,M81-M83))</f>
        <v/>
      </c>
      <c r="N86" s="19">
        <f>MIN(N85*$D$51,MAX(0,N81-N83))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E83+E86</f>
        <v/>
      </c>
      <c r="F87" s="16">
        <f>F83+F86</f>
        <v/>
      </c>
      <c r="G87" s="16">
        <f>G83+G86</f>
        <v/>
      </c>
      <c r="H87" s="16">
        <f>H83+H86</f>
        <v/>
      </c>
      <c r="I87" s="16">
        <f>I83+I86</f>
        <v/>
      </c>
      <c r="J87" s="16">
        <f>J83+J86</f>
        <v/>
      </c>
      <c r="K87" s="16">
        <f>K83+K86</f>
        <v/>
      </c>
      <c r="L87" s="16">
        <f>L83+L86</f>
        <v/>
      </c>
      <c r="M87" s="16">
        <f>M83+M86</f>
        <v/>
      </c>
      <c r="N87" s="16">
        <f>N83+N86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16">
        <f>MAX(0,E81-E87)</f>
        <v/>
      </c>
      <c r="F88" s="16">
        <f>MAX(0,F81-F87)</f>
        <v/>
      </c>
      <c r="G88" s="16">
        <f>MAX(0,G81-G87)</f>
        <v/>
      </c>
      <c r="H88" s="16">
        <f>MAX(0,H81-H87)</f>
        <v/>
      </c>
      <c r="I88" s="16">
        <f>MAX(0,I81-I87)</f>
        <v/>
      </c>
      <c r="J88" s="16">
        <f>MAX(0,J81-J87)</f>
        <v/>
      </c>
      <c r="K88" s="16">
        <f>MAX(0,K81-K87)</f>
        <v/>
      </c>
      <c r="L88" s="16">
        <f>MAX(0,L81-L87)</f>
        <v/>
      </c>
      <c r="M88" s="16">
        <f>MAX(0,M81-M87)</f>
        <v/>
      </c>
      <c r="N88" s="16">
        <f>MAX(0,N81-N87)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IF(E84&gt;0,E77/E84,0)</f>
        <v/>
      </c>
      <c r="F89" s="22">
        <f>IF(F84&gt;0,F77/F84,0)</f>
        <v/>
      </c>
      <c r="G89" s="22">
        <f>IF(G84&gt;0,G77/G84,0)</f>
        <v/>
      </c>
      <c r="H89" s="22">
        <f>IF(H84&gt;0,H77/H84,0)</f>
        <v/>
      </c>
      <c r="I89" s="22">
        <f>IF(I84&gt;0,I77/I84,0)</f>
        <v/>
      </c>
      <c r="J89" s="22">
        <f>IF(J84&gt;0,J77/J84,0)</f>
        <v/>
      </c>
      <c r="K89" s="22">
        <f>IF(K84&gt;0,K77/K84,0)</f>
        <v/>
      </c>
      <c r="L89" s="22">
        <f>IF(L84&gt;0,L77/L84,0)</f>
        <v/>
      </c>
      <c r="M89" s="22">
        <f>IF(M84&gt;0,M77/M84,0)</f>
        <v/>
      </c>
      <c r="N89" s="22">
        <f>IF(N84&gt;0,N77/N84,0)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F90*$D$50/12</f>
        <v/>
      </c>
      <c r="F94" s="16">
        <f>G90*$D$50/12</f>
        <v/>
      </c>
      <c r="G94" s="16">
        <f>H90*$D$50/12</f>
        <v/>
      </c>
      <c r="H94" s="16">
        <f>I90*$D$50/12</f>
        <v/>
      </c>
      <c r="I94" s="16">
        <f>J90*$D$50/12</f>
        <v/>
      </c>
      <c r="J94" s="16">
        <f>K90*$D$50/12</f>
        <v/>
      </c>
      <c r="K94" s="16">
        <f>L90*$D$50/12</f>
        <v/>
      </c>
      <c r="L94" s="16">
        <f>M90*$D$50/12</f>
        <v/>
      </c>
      <c r="M94" s="16">
        <f>N90*$D$50/12</f>
        <v/>
      </c>
      <c r="N94" s="16" t="n">
        <v>0</v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16">
        <f>D108</f>
        <v/>
      </c>
      <c r="F95" s="16">
        <f>E97</f>
        <v/>
      </c>
      <c r="G95" s="16">
        <f>F97</f>
        <v/>
      </c>
      <c r="H95" s="16">
        <f>G97</f>
        <v/>
      </c>
      <c r="I95" s="16">
        <f>H97</f>
        <v/>
      </c>
      <c r="J95" s="16">
        <f>I97</f>
        <v/>
      </c>
      <c r="K95" s="16">
        <f>J97</f>
        <v/>
      </c>
      <c r="L95" s="16">
        <f>K97</f>
        <v/>
      </c>
      <c r="M95" s="16">
        <f>L97</f>
        <v/>
      </c>
      <c r="N95" s="16">
        <f>M97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E94-E95</f>
        <v/>
      </c>
      <c r="F96" s="16">
        <f>F94-F95</f>
        <v/>
      </c>
      <c r="G96" s="16">
        <f>G94-G95</f>
        <v/>
      </c>
      <c r="H96" s="16">
        <f>H94-H95</f>
        <v/>
      </c>
      <c r="I96" s="16">
        <f>I94-I95</f>
        <v/>
      </c>
      <c r="J96" s="16">
        <f>J94-J95</f>
        <v/>
      </c>
      <c r="K96" s="16">
        <f>K94-K95</f>
        <v/>
      </c>
      <c r="L96" s="16">
        <f>L94-L95</f>
        <v/>
      </c>
      <c r="M96" s="16">
        <f>M94-M95</f>
        <v/>
      </c>
      <c r="N96" s="16">
        <f>N94-N95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E77-E82-E87-E96</f>
        <v/>
      </c>
      <c r="F100" s="7">
        <f>F77-F82-F87-F96</f>
        <v/>
      </c>
      <c r="G100" s="7">
        <f>G77-G82-G87-G96</f>
        <v/>
      </c>
      <c r="H100" s="7">
        <f>H77-H82-H87-H96</f>
        <v/>
      </c>
      <c r="I100" s="7">
        <f>I77-I82-I87-I96</f>
        <v/>
      </c>
      <c r="J100" s="7">
        <f>J77-J82-J87-J96</f>
        <v/>
      </c>
      <c r="K100" s="7">
        <f>K77-K82-K87-K96</f>
        <v/>
      </c>
      <c r="L100" s="7">
        <f>L77-L82-L87-L96</f>
        <v/>
      </c>
      <c r="M100" s="7">
        <f>M77-M82-M87-M96</f>
        <v/>
      </c>
      <c r="N100" s="7">
        <f>N77-N82-N87-N96</f>
        <v/>
      </c>
    </row>
    <row r="101">
      <c r="E101">
        <f>IF(E89&gt;=$D$52,"PASS","LOCKED")</f>
        <v/>
      </c>
      <c r="F101">
        <f>IF(F89&gt;=$D$52,"PASS","LOCKED")</f>
        <v/>
      </c>
      <c r="G101">
        <f>IF(G89&gt;=$D$52,"PASS","LOCKED")</f>
        <v/>
      </c>
      <c r="H101">
        <f>IF(H89&gt;=$D$52,"PASS","LOCKED")</f>
        <v/>
      </c>
      <c r="I101">
        <f>IF(I89&gt;=$D$52,"PASS","LOCKED")</f>
        <v/>
      </c>
      <c r="J101">
        <f>IF(J89&gt;=$D$52,"PASS","LOCKED")</f>
        <v/>
      </c>
      <c r="K101">
        <f>IF(K89&gt;=$D$52,"PASS","LOCKED")</f>
        <v/>
      </c>
      <c r="L101">
        <f>IF(L89&gt;=$D$52,"PASS","LOCKED")</f>
        <v/>
      </c>
      <c r="M101">
        <f>IF(M89&gt;=$D$52,"PASS","LOCKED")</f>
        <v/>
      </c>
      <c r="N101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D104+D105+D106</f>
        <v/>
      </c>
    </row>
    <row r="108">
      <c r="D108">
        <f>E94</f>
        <v/>
      </c>
    </row>
    <row r="109">
      <c r="A109" s="21" t="inlineStr">
        <is>
          <t>SOURCES</t>
        </is>
      </c>
      <c r="B109" s="6" t="inlineStr"/>
      <c r="C109" s="6" t="inlineStr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D110+D111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IF(ABS(D107-D112)&lt;0.01,"PASS","FAIL")</f>
        <v/>
      </c>
    </row>
    <row r="114">
      <c r="D114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>
        <f>K72*$D$29</f>
        <v/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D120">
        <f>D119*$D$29</f>
        <v/>
      </c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-D111</f>
        <v/>
      </c>
      <c r="E122" s="16">
        <f>E100</f>
        <v/>
      </c>
      <c r="F122" s="16">
        <f>F100</f>
        <v/>
      </c>
      <c r="G122" s="16">
        <f>G100</f>
        <v/>
      </c>
      <c r="H122" s="16">
        <f>H100</f>
        <v/>
      </c>
      <c r="I122" s="16">
        <f>I100</f>
        <v/>
      </c>
      <c r="J122" s="16">
        <f>J100</f>
        <v/>
      </c>
      <c r="K122" s="16">
        <f>K100+D119</f>
        <v/>
      </c>
      <c r="L122" s="16" t="n">
        <v>0</v>
      </c>
      <c r="M122" s="16" t="n">
        <v>0</v>
      </c>
      <c r="N122" s="16" t="n">
        <v>0</v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IRR(D122:N122)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(SUM(E122:K122))/-D122</f>
        <v/>
      </c>
    </row>
    <row r="126">
      <c r="A126" s="21" t="inlineStr">
        <is>
          <t>Unlevered Cash Flow</t>
        </is>
      </c>
      <c r="B126" s="6" t="inlineStr"/>
      <c r="C126" s="6" t="inlineStr"/>
      <c r="D126">
        <f>-D104</f>
        <v/>
      </c>
      <c r="E126">
        <f>E78</f>
        <v/>
      </c>
      <c r="F126">
        <f>F78</f>
        <v/>
      </c>
      <c r="G126">
        <f>G78</f>
        <v/>
      </c>
      <c r="H126">
        <f>H78</f>
        <v/>
      </c>
      <c r="I126">
        <f>I78</f>
        <v/>
      </c>
      <c r="J126">
        <f>J78</f>
        <v/>
      </c>
      <c r="K126">
        <f>K78+D121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IRR</t>
        </is>
      </c>
      <c r="B127" s="6" t="inlineStr">
        <is>
          <t>$mm</t>
        </is>
      </c>
      <c r="C127" s="6" t="inlineStr"/>
      <c r="D127" s="23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MOIC</t>
        </is>
      </c>
      <c r="B128" s="6" t="inlineStr">
        <is>
          <t>%</t>
        </is>
      </c>
      <c r="C128" s="6" t="inlineStr">
        <is>
          <t>IRR of Equity CFs</t>
        </is>
      </c>
      <c r="D128" s="22">
        <f>(SUM(E126:K126))/-D126</f>
        <v/>
      </c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2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2026-01-21T01:26:18Z</dcterms:modified>
</cp:coreProperties>
</file>