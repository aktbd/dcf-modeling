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3" fillId="0" borderId="0" pivotButton="0" quotePrefix="0" xfId="0"/>
    <xf numFmtId="0" fontId="0" fillId="5" borderId="0" pivotButton="0" quotePrefix="0" xfId="0"/>
    <xf numFmtId="166" fontId="0" fillId="5" borderId="0" pivotButton="0" quotePrefix="0" xfId="0"/>
    <xf numFmtId="167" fontId="0" fillId="5" borderId="0" pivotButton="0" quotePrefix="0" xfId="0"/>
    <xf numFmtId="165" fontId="0" fillId="5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20" fillId="0" borderId="0" pivotButton="0" quotePrefix="0" xfId="0"/>
    <xf numFmtId="0" fontId="21" fillId="0" borderId="0" pivotButton="0" quotePrefix="0" xfId="0"/>
    <xf numFmtId="0" fontId="2" fillId="5" borderId="0" pivotButton="0" quotePrefix="0" xfId="0"/>
    <xf numFmtId="165" fontId="4" fillId="0" borderId="1" pivotButton="0" quotePrefix="0" xfId="0"/>
    <xf numFmtId="166" fontId="2" fillId="5" borderId="0" pivotButton="0" quotePrefix="0" xfId="0"/>
    <xf numFmtId="165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50" authorId="0" shapeId="0">
      <text>
        <t>Debt Service Coverage Ratio. Key lender metric. Target: 1.25-1.40x.</t>
      </text>
    </comment>
    <comment ref="C51" authorId="0" shapeId="0">
      <text>
        <t>Debt Service Coverage Ratio. Key lender metric. Target: 1.25-1.40x.</t>
      </text>
    </comment>
    <comment ref="C80" authorId="0" shapeId="0">
      <text>
        <t>Cash earnings before financing. What is available to service debt and pay equity.</t>
      </text>
    </comment>
    <comment ref="C86" authorId="0" shapeId="0">
      <text>
        <t>Cash Flow Available for Debt Service. What remains after taxes to pay interest and principal.</t>
      </text>
    </comment>
    <comment ref="C95" authorId="0" shapeId="0">
      <text>
        <t>Debt Service Coverage Ratio. Key lender metric. Target: 1.25-1.40x.</t>
      </text>
    </comment>
    <comment ref="C98" authorId="0" shapeId="0">
      <text>
        <t>Reserve sized to cover NEXT years debt service. Uses SCHEDULED DS to avoid circular reference.</t>
      </text>
    </comment>
    <comment ref="C134" authorId="0" shapeId="0">
      <text>
        <t>Return to equity after debt service. Should exceed cost of equity (12-15% for infra).</t>
      </text>
    </comment>
    <comment ref="C135" authorId="0" shapeId="0">
      <text>
        <t>Multiple on Invested Capital. Cash-on-cash return. 2.0x = doubled money.</t>
      </text>
    </comment>
    <comment ref="C139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50" authorId="0" shapeId="0">
      <text>
        <t>Debt Service Coverage Ratio. Key lender metric. Target: 1.25-1.40x.</t>
      </text>
    </comment>
    <comment ref="C51" authorId="0" shapeId="0">
      <text>
        <t>Debt Service Coverage Ratio. Key lender metric. Target: 1.25-1.40x.</t>
      </text>
    </comment>
    <comment ref="C80" authorId="0" shapeId="0">
      <text>
        <t>Cash earnings before financing. What is available to service debt and pay equity.</t>
      </text>
    </comment>
    <comment ref="C86" authorId="0" shapeId="0">
      <text>
        <t>Cash Flow Available for Debt Service. What remains after taxes to pay interest and principal.</t>
      </text>
    </comment>
    <comment ref="C95" authorId="0" shapeId="0">
      <text>
        <t>Debt Service Coverage Ratio. Key lender metric. Target: 1.25-1.40x.</t>
      </text>
    </comment>
    <comment ref="C98" authorId="0" shapeId="0">
      <text>
        <t>Reserve sized to cover NEXT years debt service. Uses SCHEDULED DS to avoid circular reference.</t>
      </text>
    </comment>
    <comment ref="C140" authorId="0" shapeId="0">
      <text>
        <t>Return to equity after debt service. Should exceed cost of equity (12-15% for infra).</t>
      </text>
    </comment>
    <comment ref="C141" authorId="0" shapeId="0">
      <text>
        <t>Multiple on Invested Capital. Cash-on-cash return. 2.0x = doubled money.</t>
      </text>
    </comment>
    <comment ref="C145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7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7" t="inlineStr">
        <is>
          <t>--- SITUATION ---</t>
        </is>
      </c>
    </row>
    <row r="16">
      <c r="A16" s="29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29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29" t="inlineStr">
        <is>
          <t>Upon COD, revenue comes from FERC-approved tariff based on rate base and
allowed ROE. The line has 40+ years expected useful life.</t>
        </is>
      </c>
    </row>
    <row r="22">
      <c r="A22" s="29" t="inlineStr">
        <is>
          <t>Lotus is offered $180mm equity during construction. Commitment needed by
March 15, 2026.</t>
        </is>
      </c>
    </row>
    <row r="24">
      <c r="A24" s="27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7" t="inlineStr">
        <is>
          <t>--- STEP-BY-STEP MODEL BUILDING GUIDE ---</t>
        </is>
      </c>
    </row>
    <row r="31">
      <c r="A31" s="29" t="inlineStr">
        <is>
          <t>STEP-BY-STEP MODEL BUILDING GUIDE FOR TRANSMISSION</t>
        </is>
      </c>
    </row>
    <row r="32">
      <c r="A32" s="29" t="inlineStr"/>
    </row>
    <row r="33">
      <c r="A33" s="29" t="inlineStr">
        <is>
          <t>KEY DIFFERENCES:</t>
        </is>
      </c>
    </row>
    <row r="34">
      <c r="A34" s="29" t="inlineStr">
        <is>
          <t>- CONSTRUCTION PERIOD before operations</t>
        </is>
      </c>
    </row>
    <row r="35">
      <c r="A35" s="29" t="inlineStr">
        <is>
          <t>- AFUDC (capitalized interest) accrues to rate base</t>
        </is>
      </c>
    </row>
    <row r="36">
      <c r="A36" s="29" t="inlineStr">
        <is>
          <t>- Revenue is REGULATED formula, not market prices</t>
        </is>
      </c>
    </row>
    <row r="37">
      <c r="A37" s="29" t="inlineStr">
        <is>
          <t>- Two financing events: Construction loan -&gt; Term debt takeout</t>
        </is>
      </c>
    </row>
    <row r="38">
      <c r="A38" s="29" t="inlineStr"/>
    </row>
    <row r="39">
      <c r="A39" s="29" t="inlineStr">
        <is>
          <t>1. CONSTRUCTION PERIOD (Years 0-2)</t>
        </is>
      </c>
    </row>
    <row r="40">
      <c r="A40" s="29" t="inlineStr">
        <is>
          <t xml:space="preserve">   Development Costs: $35mm</t>
        </is>
      </c>
    </row>
    <row r="41">
      <c r="A41" s="29" t="inlineStr">
        <is>
          <t xml:space="preserve">   Construction Costs: $550mm</t>
        </is>
      </c>
    </row>
    <row r="42">
      <c r="A42" s="29" t="inlineStr">
        <is>
          <t xml:space="preserve">   Construction Loan: 85% of construction</t>
        </is>
      </c>
    </row>
    <row r="43">
      <c r="A43" s="29" t="inlineStr">
        <is>
          <t xml:space="preserve">   AFUDC = Const Loan x Interest x Avg Period = ~$35mm</t>
        </is>
      </c>
    </row>
    <row r="44">
      <c r="A44" s="29" t="inlineStr">
        <is>
          <t xml:space="preserve">   AFUDC accrues to Rate Base (non-cash during construction)</t>
        </is>
      </c>
    </row>
    <row r="45">
      <c r="A45" s="29" t="inlineStr"/>
    </row>
    <row r="46">
      <c r="A46" s="29" t="inlineStr">
        <is>
          <t>2. RATE BASE AT COD (Year 3)</t>
        </is>
      </c>
    </row>
    <row r="47">
      <c r="A47" s="29" t="inlineStr">
        <is>
          <t xml:space="preserve">   Rate Base = Development + Construction + AFUDC</t>
        </is>
      </c>
    </row>
    <row r="48">
      <c r="A48" s="29" t="inlineStr">
        <is>
          <t xml:space="preserve">   = $35mm + $550mm + ~$35mm = ~$620mm</t>
        </is>
      </c>
    </row>
    <row r="49">
      <c r="A49" s="29" t="inlineStr"/>
    </row>
    <row r="50">
      <c r="A50" s="29" t="inlineStr">
        <is>
          <t>3. TERM DEBT TAKEOUT AT COD</t>
        </is>
      </c>
    </row>
    <row r="51">
      <c r="A51" s="29" t="inlineStr">
        <is>
          <t xml:space="preserve">   At COD, Construction Loan repaid by Term Debt</t>
        </is>
      </c>
    </row>
    <row r="52">
      <c r="A52" s="29" t="inlineStr">
        <is>
          <t xml:space="preserve">   Term Debt = Rate Base x Regulatory Debt % = $620mm x 50% = $310mm</t>
        </is>
      </c>
    </row>
    <row r="53">
      <c r="A53" s="29" t="inlineStr">
        <is>
          <t xml:space="preserve">   Use RATE BASE (not construction cost) for debt sizing</t>
        </is>
      </c>
    </row>
    <row r="54">
      <c r="A54" s="29" t="inlineStr"/>
    </row>
    <row r="55">
      <c r="A55" s="29" t="inlineStr">
        <is>
          <t>4. REVENUE CALCULATION (Years 3+)</t>
        </is>
      </c>
    </row>
    <row r="56">
      <c r="A56" s="29" t="inlineStr">
        <is>
          <t xml:space="preserve">   Revenue = Rate Base x (ROE + Depreciation/Life + O&amp;M/RB)</t>
        </is>
      </c>
    </row>
    <row r="57">
      <c r="A57" s="29" t="inlineStr"/>
    </row>
    <row r="58">
      <c r="A58" s="29" t="inlineStr">
        <is>
          <t>5. S&amp;U - TWO EVENTS</t>
        </is>
      </c>
    </row>
    <row r="59">
      <c r="A59" s="29" t="inlineStr">
        <is>
          <t xml:space="preserve">   At Close (Y0): Development costs, fees -&gt; Const loan, equity</t>
        </is>
      </c>
    </row>
    <row r="60">
      <c r="A60" s="29" t="inlineStr">
        <is>
          <t xml:space="preserve">   At COD (Y3): Const loan payoff -&gt; Term debt, permanent equity</t>
        </is>
      </c>
    </row>
    <row r="61">
      <c r="A61" s="29" t="inlineStr">
        <is>
          <t xml:space="preserve">   DSRA is a USE (funded by debt/equity), NOT a Source</t>
        </is>
      </c>
    </row>
    <row r="62">
      <c r="A62" s="29" t="inlineStr"/>
    </row>
    <row r="63">
      <c r="A63" s="29" t="inlineStr">
        <is>
          <t>6. SCULPTED DEBT</t>
        </is>
      </c>
    </row>
    <row r="64">
      <c r="A64" s="29" t="inlineStr">
        <is>
          <t xml:space="preserve">   Regulated cash flows support sculpted debt at 1.40x DSCR</t>
        </is>
      </c>
    </row>
    <row r="66">
      <c r="A66" s="27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7" t="inlineStr">
        <is>
          <t>--- ALTERNATIVE SCENARIOS ---</t>
        </is>
      </c>
    </row>
    <row r="78">
      <c r="A78" t="inlineStr">
        <is>
          <t>ALTERNATIVE SCENARIOS</t>
        </is>
      </c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7" t="inlineStr">
        <is>
          <t>--- QA CHECKS ---</t>
        </is>
      </c>
    </row>
    <row r="93">
      <c r="A93" t="inlineStr">
        <is>
          <t>QA CHECKS</t>
        </is>
      </c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7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7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  <row r="113">
      <c r="A113" s="31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2" t="inlineStr">
        <is>
          <t>COLD START WORKFLOW (4-Hour Test)</t>
        </is>
      </c>
    </row>
    <row r="116">
      <c r="A116" s="31" t="inlineStr">
        <is>
          <t>Phase 1: Setup (15 min)</t>
        </is>
      </c>
    </row>
    <row r="117">
      <c r="A117" s="33" t="inlineStr">
        <is>
          <t>→ Create workbook, freeze panes at E2</t>
        </is>
      </c>
    </row>
    <row r="118">
      <c r="A118" s="33" t="inlineStr">
        <is>
          <t>→ Set column widths: A=32, B=12, C=38, D-N=14</t>
        </is>
      </c>
    </row>
    <row r="119">
      <c r="A119" s="33" t="inlineStr">
        <is>
          <t>→ Build year headers: Y0 (2025), Y1 (2026), ... Y10 (2035)</t>
        </is>
      </c>
    </row>
    <row r="120">
      <c r="A120" s="33" t="inlineStr">
        <is>
          <t>→ Create section placeholders with ═══ dividers</t>
        </is>
      </c>
    </row>
    <row r="122">
      <c r="A122" s="31" t="inlineStr">
        <is>
          <t>Phase 2: Inputs &amp; S&amp;U (30 min)</t>
        </is>
      </c>
    </row>
    <row r="123">
      <c r="A123" s="33" t="inlineStr">
        <is>
          <t>→ Transaction: Entry EV, Fees %, Exit Multiple, Exit Year</t>
        </is>
      </c>
    </row>
    <row r="124">
      <c r="A124" s="33" t="inlineStr">
        <is>
          <t>→ Asset: Capacity, CF/Dispatch, Prices, Escalation</t>
        </is>
      </c>
    </row>
    <row r="125">
      <c r="A125" s="33" t="inlineStr">
        <is>
          <t>→ Financing: Leverage, Rate, Tenor, DSRA months, Sweep %</t>
        </is>
      </c>
    </row>
    <row r="126">
      <c r="A126" s="33" t="inlineStr">
        <is>
          <t>→ Build Uses first, then Sources (balancing item = equity)</t>
        </is>
      </c>
    </row>
    <row r="128">
      <c r="A128" s="31" t="inlineStr">
        <is>
          <t>Phase 3: Operating Model (45 min)</t>
        </is>
      </c>
    </row>
    <row r="129">
      <c r="A129" s="33" t="inlineStr">
        <is>
          <t>→ Generation = Capacity × CF × 8760 (baseload) OR Capacity × Dispatch × Avail (peaker)</t>
        </is>
      </c>
    </row>
    <row r="130">
      <c r="A130" s="33" t="inlineStr">
        <is>
          <t>→ Revenue = Generation × Price / 1E6  (careful: capacity $/kW needs ×1000)</t>
        </is>
      </c>
    </row>
    <row r="131">
      <c r="A131" s="33" t="inlineStr">
        <is>
          <t>→ Fuel = Gen × HR × Gas / 1E9  (CRITICAL: divide by BILLION)</t>
        </is>
      </c>
    </row>
    <row r="132">
      <c r="A132" s="33" t="inlineStr">
        <is>
          <t>→ EBITDA = Revenue - OpEx</t>
        </is>
      </c>
    </row>
    <row r="133">
      <c r="A133" s="33" t="inlineStr">
        <is>
          <t>→ Taxes = MAX(0, Taxable Income) × Rate  (no negative taxes!)</t>
        </is>
      </c>
    </row>
    <row r="135">
      <c r="A135" s="31" t="inlineStr">
        <is>
          <t>Phase 4: Debt Schedule (45 min)</t>
        </is>
      </c>
    </row>
    <row r="136">
      <c r="A136" s="33" t="inlineStr">
        <is>
          <t>→ Beginning Bal Y1 = Funded Debt; Yn = Prior Ending</t>
        </is>
      </c>
    </row>
    <row r="137">
      <c r="A137" s="33" t="inlineStr">
        <is>
          <t>→ Interest = Beg Bal × Rate</t>
        </is>
      </c>
    </row>
    <row r="138">
      <c r="A138" s="33" t="inlineStr">
        <is>
          <t>→ Principal: Straight-line OR Sculpted OR Sweep</t>
        </is>
      </c>
    </row>
    <row r="139">
      <c r="A139" s="33" t="inlineStr">
        <is>
          <t>→ DSCR = CFADS / Debt Service</t>
        </is>
      </c>
    </row>
    <row r="140">
      <c r="A140" s="33" t="inlineStr">
        <is>
          <t>→ DSRA Target = NEXT year's DS × (months/12)  [TRAP: not current year!]</t>
        </is>
      </c>
    </row>
    <row r="142">
      <c r="A142" s="31" t="inlineStr">
        <is>
          <t>Phase 5: Exit &amp; Returns (30 min)</t>
        </is>
      </c>
    </row>
    <row r="143">
      <c r="A143" s="33" t="inlineStr">
        <is>
          <t>→ Exit EV = Exit EBITDA × Multiple</t>
        </is>
      </c>
    </row>
    <row r="144">
      <c r="A144" s="33" t="inlineStr">
        <is>
          <t>→ Exit Equity = Exit EV - Debt Payoff + DSRA Release</t>
        </is>
      </c>
    </row>
    <row r="145">
      <c r="A145" s="33" t="inlineStr">
        <is>
          <t>→ Equity CF row: Y0 = -Entry Equity, Y1-n = Distributions, Exit Year += Exit Equity</t>
        </is>
      </c>
    </row>
    <row r="146">
      <c r="A146" s="33" t="inlineStr">
        <is>
          <t>→ IRR = IRR(Y0:Y10 equity CFs)</t>
        </is>
      </c>
    </row>
    <row r="147">
      <c r="A147" s="33" t="inlineStr">
        <is>
          <t>→ MOIC = (Distributions + Exit) / Entry Equity</t>
        </is>
      </c>
    </row>
    <row r="149">
      <c r="A149" s="31" t="inlineStr">
        <is>
          <t>Phase 6: QA &amp; Polish (15 min)</t>
        </is>
      </c>
    </row>
    <row r="150">
      <c r="A150" s="33" t="inlineStr">
        <is>
          <t>→ S&amp;U Balance Check = PASS</t>
        </is>
      </c>
    </row>
    <row r="151">
      <c r="A151" s="33" t="inlineStr">
        <is>
          <t>→ Debt Payoff Check = PASS (ending bal &lt; $1mm)</t>
        </is>
      </c>
    </row>
    <row r="152">
      <c r="A152" s="33" t="inlineStr">
        <is>
          <t>→ Min DSCR Check = PASS (≥1.25x merchant, ≥1.30x contracted)</t>
        </is>
      </c>
    </row>
    <row r="153">
      <c r="A153" s="33" t="inlineStr">
        <is>
          <t>→ Sanity: DSCR 1.2-2.5x, IRR 12-25%, Fuel $30-50mm (CCGT)</t>
        </is>
      </c>
    </row>
    <row r="156">
      <c r="A156" s="34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7" t="inlineStr">
        <is>
          <t>TOTAL</t>
        </is>
      </c>
      <c r="B169" s="27" t="inlineStr">
        <is>
          <t>4:00</t>
        </is>
      </c>
    </row>
    <row r="172">
      <c r="A172" s="34" t="inlineStr">
        <is>
          <t>DEBT SIZING APPROACHES</t>
        </is>
      </c>
    </row>
    <row r="174">
      <c r="A174" s="31" t="inlineStr">
        <is>
          <t>1. STRAIGHT-LINE (Simplest)</t>
        </is>
      </c>
    </row>
    <row r="175">
      <c r="A175" s="33" t="inlineStr">
        <is>
          <t xml:space="preserve">  Principal = Debt Amount / Tenor</t>
        </is>
      </c>
    </row>
    <row r="176">
      <c r="A176" s="33" t="inlineStr">
        <is>
          <t xml:space="preserve">  Best for: Quick models, Model_Quick, when told 'ignore sweep'</t>
        </is>
      </c>
    </row>
    <row r="177">
      <c r="A177" s="33" t="inlineStr">
        <is>
          <t xml:space="preserve">  Pros: No circularity, fast to build</t>
        </is>
      </c>
    </row>
    <row r="178">
      <c r="A178" s="33" t="inlineStr">
        <is>
          <t xml:space="preserve">  Cons: May not reflect economic reality</t>
        </is>
      </c>
    </row>
    <row r="180">
      <c r="A180" s="31" t="inlineStr">
        <is>
          <t>2. CASH SWEEP (Merchant)</t>
        </is>
      </c>
    </row>
    <row r="181">
      <c r="A181" s="33" t="inlineStr">
        <is>
          <t xml:space="preserve">  Sweep = Excess Cash × Sweep%  (Excess = CFADS - DS - DSRA)</t>
        </is>
      </c>
    </row>
    <row r="182">
      <c r="A182" s="33" t="inlineStr">
        <is>
          <t xml:space="preserve">  Best for: Merchant assets, volatile CFADS</t>
        </is>
      </c>
    </row>
    <row r="183">
      <c r="A183" s="33" t="inlineStr">
        <is>
          <t xml:space="preserve">  Pros: Realistic for bank debt, de-levers faster</t>
        </is>
      </c>
    </row>
    <row r="184">
      <c r="A184" s="33" t="inlineStr">
        <is>
          <t xml:space="preserve">  Cons: Requires DSRA logic, near-circular (use scheduled_ds trick)</t>
        </is>
      </c>
    </row>
    <row r="186">
      <c r="A186" s="31" t="inlineStr">
        <is>
          <t>3. SCULPTED (Contracted)</t>
        </is>
      </c>
    </row>
    <row r="187">
      <c r="A187" s="33" t="inlineStr">
        <is>
          <t xml:space="preserve">  Target DS = CFADS / Target DSCR; Principal = Target DS - Interest</t>
        </is>
      </c>
    </row>
    <row r="188">
      <c r="A188" s="33" t="inlineStr">
        <is>
          <t xml:space="preserve">  Best for: PPAs, regulated assets, predictable CFADS</t>
        </is>
      </c>
    </row>
    <row r="189">
      <c r="A189" s="33" t="inlineStr">
        <is>
          <t xml:space="preserve">  Pros: Maximizes debt capacity, matches CF profile</t>
        </is>
      </c>
    </row>
    <row r="190">
      <c r="A190" s="33" t="inlineStr">
        <is>
          <t xml:space="preserve">  Cons: More complex, requires CFADS forecast first</t>
        </is>
      </c>
    </row>
    <row r="193">
      <c r="A193" s="34" t="inlineStr">
        <is>
          <t>KEY FORMULA CONCEPTS</t>
        </is>
      </c>
    </row>
    <row r="195">
      <c r="A195" s="31" t="inlineStr">
        <is>
          <t>SPARK SPREAD (Thermal Plants)</t>
        </is>
      </c>
    </row>
    <row r="196">
      <c r="A196" s="33" t="inlineStr">
        <is>
          <t xml:space="preserve">  = Power Price ($/MWh) - Fuel Cost per MWh</t>
        </is>
      </c>
    </row>
    <row r="197">
      <c r="A197" s="33" t="inlineStr">
        <is>
          <t xml:space="preserve">  = Power Price - (Heat Rate × Gas Price / 1000)</t>
        </is>
      </c>
    </row>
    <row r="198">
      <c r="A198" s="33" t="inlineStr">
        <is>
          <t xml:space="preserve">  Example: $45/MWh - (7000 Btu/kWh × $3/mmBtu / 1000) = $45 - $21 = $24/MWh</t>
        </is>
      </c>
    </row>
    <row r="199">
      <c r="A199" s="33" t="inlineStr">
        <is>
          <t xml:space="preserve">  Core margin driver for CCGT/Peaker dispatch economics</t>
        </is>
      </c>
    </row>
    <row r="201">
      <c r="A201" s="31" t="inlineStr">
        <is>
          <t>UCAP (Unforced Capacity)</t>
        </is>
      </c>
    </row>
    <row r="202">
      <c r="A202" s="33" t="inlineStr">
        <is>
          <t xml:space="preserve">  = Nameplate Capacity × (1 - Forced Outage Rate)</t>
        </is>
      </c>
    </row>
    <row r="203">
      <c r="A203" s="33" t="inlineStr">
        <is>
          <t xml:space="preserve">  = 365 MW × (1 - 5%) = 346.75 MW</t>
        </is>
      </c>
    </row>
    <row r="204">
      <c r="A204" s="33" t="inlineStr">
        <is>
          <t xml:space="preserve">  Capacity revenue uses UCAP, not nameplate</t>
        </is>
      </c>
    </row>
    <row r="205">
      <c r="A205" s="33" t="inlineStr">
        <is>
          <t xml:space="preserve">  Capacity Price is $/kW-yr, so: UCAP × Price × 1000 / 1E6</t>
        </is>
      </c>
    </row>
    <row r="207">
      <c r="A207" s="31" t="inlineStr">
        <is>
          <t>LLCR / PLCR (Project Finance)</t>
        </is>
      </c>
    </row>
    <row r="208">
      <c r="A208" s="33" t="inlineStr">
        <is>
          <t xml:space="preserve">  LLCR = NPV(CFADS over loan life) / Debt Outstanding</t>
        </is>
      </c>
    </row>
    <row r="209">
      <c r="A209" s="33" t="inlineStr">
        <is>
          <t xml:space="preserve">  PLCR = NPV(CFADS over project life) / Debt Outstanding</t>
        </is>
      </c>
    </row>
    <row r="210">
      <c r="A210" s="33" t="inlineStr">
        <is>
          <t xml:space="preserve">  LLCR ~1.4x+ typical for investment grade</t>
        </is>
      </c>
    </row>
    <row r="211">
      <c r="A211" s="33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7" t="inlineStr">
        <is>
          <t>SITUATION</t>
        </is>
      </c>
    </row>
    <row r="6">
      <c r="A6" t="inlineStr">
        <is>
          <t>150-mile 345kV line, $180mm equity.</t>
        </is>
      </c>
    </row>
    <row r="8">
      <c r="A8" s="27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3" t="inlineStr">
        <is>
          <t>PROJECT CORRIDOR</t>
        </is>
      </c>
    </row>
    <row r="2">
      <c r="A2" s="24" t="inlineStr">
        <is>
          <t>INVESTMENT COMMITTEE MEMORANDUM</t>
        </is>
      </c>
    </row>
    <row r="3">
      <c r="A3" s="23" t="inlineStr">
        <is>
          <t>3,200 MW HVDC Transmission Line – SPP to MISO</t>
        </is>
      </c>
    </row>
    <row r="4">
      <c r="A4" s="25" t="inlineStr">
        <is>
          <t>RECOMMENDATION: Proceed to development at $585mm total investment</t>
        </is>
      </c>
    </row>
    <row r="5">
      <c r="A5" s="23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4" t="inlineStr">
        <is>
          <t>KEY METRICS</t>
        </is>
      </c>
    </row>
    <row r="7">
      <c r="A7" s="24" t="inlineStr">
        <is>
          <t>INVESTMENT THESIS</t>
        </is>
      </c>
    </row>
    <row r="8">
      <c r="A8" s="23" t="inlineStr">
        <is>
          <t>• FERC-approved tariff provides stable, regulated return on 40-year asset life</t>
        </is>
      </c>
    </row>
    <row r="9">
      <c r="A9" s="23" t="inlineStr">
        <is>
          <t>• Critical infrastructure connecting low-cost wind to high-demand load centers</t>
        </is>
      </c>
    </row>
    <row r="10">
      <c r="A10" s="23" t="inlineStr">
        <is>
          <t>• Construction interest capitalization into RAB improves economics</t>
        </is>
      </c>
    </row>
    <row r="11">
      <c r="A11" s="23" t="inlineStr">
        <is>
          <t>• Exit at 1.15x RAB to infrastructure yield vehicles seeking stable returns</t>
        </is>
      </c>
    </row>
    <row r="12">
      <c r="A12" s="24" t="inlineStr">
        <is>
          <t>KEY RISKS &amp; MITIGANTS</t>
        </is>
      </c>
    </row>
    <row r="13">
      <c r="A13" s="24" t="inlineStr">
        <is>
          <t>ANTICIPATED IC Q&amp;A</t>
        </is>
      </c>
    </row>
    <row r="14">
      <c r="A14" s="24" t="inlineStr">
        <is>
          <t>Q: Why does transmission trade at premium to RAB?</t>
        </is>
      </c>
    </row>
    <row r="15">
      <c r="A15" s="23" t="inlineStr">
        <is>
          <t>A: Scarcity value – new transmission is hard to permit. 40+ year life with stable regulated returns. Critical infrastructure status. 1.15x is conservative vs recent deals at 1.25x+.</t>
        </is>
      </c>
    </row>
    <row r="16">
      <c r="A16" s="24" t="inlineStr">
        <is>
          <t>Q: Walk me through construction financing.</t>
        </is>
      </c>
    </row>
    <row r="17">
      <c r="A17" s="23" t="inlineStr">
        <is>
          <t>A: Y0-Y1: Equity funds development ($35mm). Y2: Construction loan (85% × $550mm = $467.5mm) + equity funds construction. Y3 (COD): Refi into term debt (60% × RAB) + equity to repay construction loan.</t>
        </is>
      </c>
    </row>
    <row r="18">
      <c r="A18" s="24" t="inlineStr">
        <is>
          <t>Q: What if construction is delayed?</t>
        </is>
      </c>
    </row>
    <row r="19">
      <c r="A19" s="23" t="inlineStr">
        <is>
          <t>A: Higher capitalized interest, later revenue start. 6-month delay = ~80bps IRR reduction. Mitigated by fixed-price EPC with liquidated damages.</t>
        </is>
      </c>
    </row>
    <row r="20">
      <c r="A20" s="24" t="inlineStr">
        <is>
          <t>Q: What's the regulatory risk?</t>
        </is>
      </c>
    </row>
    <row r="21">
      <c r="A21" s="23" t="inlineStr">
        <is>
          <t>A: FERC could reduce allowed ROE. Historically stable at 10-11%. Even at 9%, returns still exceed cost of capital due to 60% leverage.</t>
        </is>
      </c>
    </row>
    <row r="22">
      <c r="A22" s="23" t="inlineStr"/>
    </row>
    <row r="23">
      <c r="A23" s="26" t="inlineStr">
        <is>
          <t>Metric | Base Case | Downside | Upside</t>
        </is>
      </c>
    </row>
    <row r="24">
      <c r="A24" s="26" t="inlineStr">
        <is>
          <t>RAB at COD | $608mm | - | -</t>
        </is>
      </c>
    </row>
    <row r="25">
      <c r="A25" s="26" t="inlineStr">
        <is>
          <t>Total Equity | $265mm | - | -</t>
        </is>
      </c>
    </row>
    <row r="26">
      <c r="A26" s="26" t="inlineStr">
        <is>
          <t>Term Debt % RAB | 60% | - | -</t>
        </is>
      </c>
    </row>
    <row r="27">
      <c r="A27" s="26" t="inlineStr">
        <is>
          <t>Levered IRR | 14.5% | 12.2% | 16.8%</t>
        </is>
      </c>
    </row>
    <row r="28">
      <c r="A28" s="26" t="inlineStr">
        <is>
          <t>MOIC | 2.05x | 1.85x | 2.25x</t>
        </is>
      </c>
    </row>
    <row r="29">
      <c r="A29" s="26" t="inlineStr">
        <is>
          <t>Min DSCR (Y3-Y10) | 1.40x | 1.32x | 1.48x</t>
        </is>
      </c>
    </row>
    <row r="30">
      <c r="A30" s="23" t="inlineStr"/>
    </row>
    <row r="31">
      <c r="A31" s="26" t="inlineStr">
        <is>
          <t>Risk | Probability | Mitigant</t>
        </is>
      </c>
    </row>
    <row r="32">
      <c r="A32" s="26" t="inlineStr">
        <is>
          <t>Construction delay/overrun | Medium | Fixed-price EPC; liquidated damages; contingency budget</t>
        </is>
      </c>
    </row>
    <row r="33">
      <c r="A33" s="26" t="inlineStr">
        <is>
          <t>Regulatory ROE reduction | Low | FERC historically stable; bipartisan transmission support</t>
        </is>
      </c>
    </row>
    <row r="34">
      <c r="A34" s="26" t="inlineStr">
        <is>
          <t>Permitting challenges | Medium | Pre-approved route; tribal and environmental clearances secured</t>
        </is>
      </c>
    </row>
    <row r="35">
      <c r="A35" s="26" t="inlineStr">
        <is>
          <t>Counterparty default | Low | Utility offtakers are investment-grade; regulatory backstop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5" t="inlineStr">
        <is>
          <t>Model_Quick - Transmission (90-min build)</t>
        </is>
      </c>
    </row>
    <row r="2">
      <c r="D2" s="27" t="inlineStr">
        <is>
          <t>Y0 (2025)</t>
        </is>
      </c>
      <c r="E2" s="27" t="inlineStr">
        <is>
          <t>Y1 (2026)</t>
        </is>
      </c>
      <c r="F2" s="27" t="inlineStr">
        <is>
          <t>Y2 (2027)</t>
        </is>
      </c>
      <c r="G2" s="27" t="inlineStr">
        <is>
          <t>Y3 (2028)</t>
        </is>
      </c>
      <c r="H2" s="27" t="inlineStr">
        <is>
          <t>Y4 (2029)</t>
        </is>
      </c>
      <c r="I2" s="27" t="inlineStr">
        <is>
          <t>Y5 (2030)</t>
        </is>
      </c>
      <c r="J2" s="27" t="inlineStr">
        <is>
          <t>Y6 (2031)</t>
        </is>
      </c>
      <c r="K2" s="27" t="inlineStr">
        <is>
          <t>Y7 (2032)</t>
        </is>
      </c>
      <c r="L2" s="27" t="inlineStr">
        <is>
          <t>Y8 (2033)</t>
        </is>
      </c>
      <c r="M2" s="27" t="inlineStr">
        <is>
          <t>Y9 (2034)</t>
        </is>
      </c>
      <c r="N2" s="27" t="inlineStr">
        <is>
          <t>Y10 (2035)</t>
        </is>
      </c>
    </row>
    <row r="4">
      <c r="A4" s="31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6">
        <f>D12</f>
        <v/>
      </c>
    </row>
    <row r="6">
      <c r="A6" t="inlineStr">
        <is>
          <t>Debt %</t>
        </is>
      </c>
      <c r="B6" t="inlineStr">
        <is>
          <t>%</t>
        </is>
      </c>
      <c r="D6" s="37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38">
        <f>E41</f>
        <v/>
      </c>
    </row>
    <row r="8">
      <c r="A8" t="inlineStr">
        <is>
          <t>Levered IRR</t>
        </is>
      </c>
      <c r="B8" t="inlineStr">
        <is>
          <t>%</t>
        </is>
      </c>
      <c r="D8" s="37">
        <f>D57</f>
        <v/>
      </c>
    </row>
    <row r="9">
      <c r="A9" t="inlineStr">
        <is>
          <t>MOIC</t>
        </is>
      </c>
      <c r="B9" t="inlineStr">
        <is>
          <t>x</t>
        </is>
      </c>
      <c r="D9" s="39">
        <f>D58</f>
        <v/>
      </c>
    </row>
    <row r="11">
      <c r="A11" s="31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0" t="n">
        <v>850</v>
      </c>
    </row>
    <row r="13">
      <c r="A13" t="inlineStr">
        <is>
          <t>Transaction Fees</t>
        </is>
      </c>
      <c r="B13" t="inlineStr">
        <is>
          <t>%</t>
        </is>
      </c>
      <c r="D13" s="40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0" t="n">
        <v>9</v>
      </c>
    </row>
    <row r="15">
      <c r="A15" t="inlineStr">
        <is>
          <t>Exit Year</t>
        </is>
      </c>
      <c r="B15" t="inlineStr">
        <is>
          <t>yr</t>
        </is>
      </c>
      <c r="D15" s="40" t="n">
        <v>20</v>
      </c>
    </row>
    <row r="17">
      <c r="A17" s="31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0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0" t="n">
        <v>0.55</v>
      </c>
    </row>
    <row r="20">
      <c r="A20" t="inlineStr">
        <is>
          <t>Y1 EBITDA</t>
        </is>
      </c>
      <c r="B20" t="inlineStr">
        <is>
          <t>$mm</t>
        </is>
      </c>
      <c r="D20" s="40" t="n">
        <v>112</v>
      </c>
    </row>
    <row r="21">
      <c r="A21" t="inlineStr">
        <is>
          <t>EBITDA Escalation</t>
        </is>
      </c>
      <c r="B21" t="inlineStr">
        <is>
          <t>%</t>
        </is>
      </c>
      <c r="D21" s="40" t="n">
        <v>0.02</v>
      </c>
    </row>
    <row r="23">
      <c r="A23" s="31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0" t="n">
        <v>0.75</v>
      </c>
    </row>
    <row r="25">
      <c r="A25" t="inlineStr">
        <is>
          <t>Interest Rate</t>
        </is>
      </c>
      <c r="B25" t="inlineStr">
        <is>
          <t>%</t>
        </is>
      </c>
      <c r="D25" s="40" t="n">
        <v>0.05</v>
      </c>
    </row>
    <row r="26">
      <c r="A26" t="inlineStr">
        <is>
          <t>Debt Tenor</t>
        </is>
      </c>
      <c r="B26" t="inlineStr">
        <is>
          <t>yrs</t>
        </is>
      </c>
      <c r="D26" s="40" t="n">
        <v>20</v>
      </c>
    </row>
    <row r="28">
      <c r="A28" s="31" t="inlineStr">
        <is>
          <t>═══ SOURCES &amp; USES ═══</t>
        </is>
      </c>
    </row>
    <row r="29">
      <c r="A29" s="27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7" t="inlineStr">
        <is>
          <t>Total Uses</t>
        </is>
      </c>
      <c r="D32" s="36">
        <f>D30+D31</f>
        <v/>
      </c>
    </row>
    <row r="34">
      <c r="A34" s="27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7" t="inlineStr">
        <is>
          <t>Total Sources</t>
        </is>
      </c>
      <c r="D37" s="36">
        <f>D35+D36</f>
        <v/>
      </c>
    </row>
    <row r="38">
      <c r="A38" t="inlineStr">
        <is>
          <t>Balance Check</t>
        </is>
      </c>
      <c r="D38" s="36">
        <f>IF(ABS(D32-D37)&lt;0.01,"PASS","FAIL")</f>
        <v/>
      </c>
    </row>
    <row r="40">
      <c r="A40" s="31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38">
        <f>$D$20*(1+$D$21)^(1-1)</f>
        <v/>
      </c>
      <c r="F41" s="38">
        <f>$D$20*(1+$D$21)^(2-1)</f>
        <v/>
      </c>
      <c r="G41" s="38">
        <f>$D$20*(1+$D$21)^(3-1)</f>
        <v/>
      </c>
      <c r="H41" s="38">
        <f>$D$20*(1+$D$21)^(4-1)</f>
        <v/>
      </c>
      <c r="I41" s="38">
        <f>$D$20*(1+$D$21)^(5-1)</f>
        <v/>
      </c>
      <c r="J41" s="38">
        <f>$D$20*(1+$D$21)^(6-1)</f>
        <v/>
      </c>
      <c r="K41" s="38">
        <f>$D$20*(1+$D$21)^(7-1)</f>
        <v/>
      </c>
      <c r="L41" s="38">
        <f>$D$20*(1+$D$21)^(8-1)</f>
        <v/>
      </c>
      <c r="M41" s="38">
        <f>$D$20*(1+$D$21)^(9-1)</f>
        <v/>
      </c>
      <c r="N41" s="38">
        <f>$D$20*(1+$D$21)^(10-1)</f>
        <v/>
      </c>
    </row>
    <row r="43">
      <c r="A43" s="31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1">
        <f>E44*$D$25</f>
        <v/>
      </c>
      <c r="F45" s="41">
        <f>F44*$D$25</f>
        <v/>
      </c>
      <c r="G45" s="41">
        <f>G44*$D$25</f>
        <v/>
      </c>
      <c r="H45" s="41">
        <f>H44*$D$25</f>
        <v/>
      </c>
      <c r="I45" s="41">
        <f>I44*$D$25</f>
        <v/>
      </c>
      <c r="J45" s="41">
        <f>J44*$D$25</f>
        <v/>
      </c>
      <c r="K45" s="41">
        <f>K44*$D$25</f>
        <v/>
      </c>
      <c r="L45" s="41">
        <f>L44*$D$25</f>
        <v/>
      </c>
      <c r="M45" s="41">
        <f>M44*$D$25</f>
        <v/>
      </c>
      <c r="N45" s="41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1">
        <f>MIN($D$35/$D$26,E44)</f>
        <v/>
      </c>
      <c r="F46" s="41">
        <f>MIN($D$35/$D$26,F44)</f>
        <v/>
      </c>
      <c r="G46" s="41">
        <f>MIN($D$35/$D$26,G44)</f>
        <v/>
      </c>
      <c r="H46" s="41">
        <f>MIN($D$35/$D$26,H44)</f>
        <v/>
      </c>
      <c r="I46" s="41">
        <f>MIN($D$35/$D$26,I44)</f>
        <v/>
      </c>
      <c r="J46" s="41">
        <f>MIN($D$35/$D$26,J44)</f>
        <v/>
      </c>
      <c r="K46" s="41">
        <f>MIN($D$35/$D$26,K44)</f>
        <v/>
      </c>
      <c r="L46" s="41">
        <f>MIN($D$35/$D$26,L44)</f>
        <v/>
      </c>
      <c r="M46" s="41">
        <f>MIN($D$35/$D$26,M44)</f>
        <v/>
      </c>
      <c r="N46" s="41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1">
        <f>MAX(0,E44-E46)</f>
        <v/>
      </c>
      <c r="F47" s="41">
        <f>MAX(0,F44-F46)</f>
        <v/>
      </c>
      <c r="G47" s="41">
        <f>MAX(0,G44-G46)</f>
        <v/>
      </c>
      <c r="H47" s="41">
        <f>MAX(0,H44-H46)</f>
        <v/>
      </c>
      <c r="I47" s="41">
        <f>MAX(0,I44-I46)</f>
        <v/>
      </c>
      <c r="J47" s="41">
        <f>MAX(0,J44-J46)</f>
        <v/>
      </c>
      <c r="K47" s="41">
        <f>MAX(0,K44-K46)</f>
        <v/>
      </c>
      <c r="L47" s="41">
        <f>MAX(0,L44-L46)</f>
        <v/>
      </c>
      <c r="M47" s="41">
        <f>MAX(0,M44-M46)</f>
        <v/>
      </c>
      <c r="N47" s="41">
        <f>MAX(0,N44-N46)</f>
        <v/>
      </c>
    </row>
    <row r="49">
      <c r="A49" s="31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1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38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1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38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1">
        <f>IF(1=$D$15,D53,0)</f>
        <v/>
      </c>
      <c r="F55" s="41">
        <f>IF(2=$D$15,D53,0)</f>
        <v/>
      </c>
      <c r="G55" s="41">
        <f>IF(3=$D$15,D53,0)</f>
        <v/>
      </c>
      <c r="H55" s="41">
        <f>IF(4=$D$15,D53,0)</f>
        <v/>
      </c>
      <c r="I55" s="41">
        <f>IF(5=$D$15,D53,0)</f>
        <v/>
      </c>
      <c r="J55" s="41">
        <f>IF(6=$D$15,D53,0)</f>
        <v/>
      </c>
      <c r="K55" s="41">
        <f>IF(7=$D$15,D53,0)</f>
        <v/>
      </c>
      <c r="L55" s="41">
        <f>IF(8=$D$15,D53,0)</f>
        <v/>
      </c>
      <c r="M55" s="41">
        <f>IF(9=$D$15,D53,0)</f>
        <v/>
      </c>
      <c r="N55" s="41">
        <f>IF(10=$D$15,D53,0)</f>
        <v/>
      </c>
    </row>
    <row r="57">
      <c r="A57" s="27" t="inlineStr">
        <is>
          <t>Levered IRR</t>
        </is>
      </c>
      <c r="B57" t="inlineStr">
        <is>
          <t>%</t>
        </is>
      </c>
      <c r="D57" s="37">
        <f>IRR(D55:N55)</f>
        <v/>
      </c>
    </row>
    <row r="58">
      <c r="A58" s="27" t="inlineStr">
        <is>
          <t>MOIC</t>
        </is>
      </c>
      <c r="B58" t="inlineStr">
        <is>
          <t>x</t>
        </is>
      </c>
      <c r="D58" s="39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$D$63</f>
        <v/>
      </c>
      <c r="M3" s="48" t="inlineStr">
        <is>
          <t>IRR Sensitivity:</t>
        </is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G80</f>
        <v/>
      </c>
      <c r="M4" s="49" t="inlineStr">
        <is>
          <t>+/- 5% Entry → ~+/- 1% IRR</t>
        </is>
      </c>
    </row>
    <row r="5">
      <c r="A5" s="31" t="inlineStr">
        <is>
          <t>═══════════ CONTROL PANEL ═══════════</t>
        </is>
      </c>
      <c r="B5" s="42" t="n"/>
      <c r="C5" s="42" t="n"/>
      <c r="D5" s="42" t="n"/>
      <c r="M5" s="49" t="inlineStr">
        <is>
          <t>+/- 0.5x Exit → ~+/- 1.5% IRR</t>
        </is>
      </c>
    </row>
    <row r="6">
      <c r="A6" s="42" t="n"/>
      <c r="B6" s="42" t="n"/>
      <c r="C6" s="42" t="n"/>
      <c r="D6" s="42" t="n"/>
    </row>
    <row r="7">
      <c r="A7" s="43" t="inlineStr">
        <is>
          <t>REVENUE</t>
        </is>
      </c>
      <c r="B7" s="42" t="n"/>
      <c r="C7" s="42" t="n"/>
      <c r="D7" s="42" t="n"/>
    </row>
    <row r="8">
      <c r="A8" s="27" t="inlineStr">
        <is>
          <t>Revenue Mode</t>
        </is>
      </c>
      <c r="B8" s="42" t="n"/>
      <c r="C8" s="6" t="inlineStr">
        <is>
          <t>Merchant / Contracted / Hybrid</t>
        </is>
      </c>
      <c r="D8" s="40" t="inlineStr">
        <is>
          <t>Merchant</t>
        </is>
      </c>
    </row>
    <row r="9">
      <c r="A9" s="27" t="inlineStr">
        <is>
          <t>Contract End Year</t>
        </is>
      </c>
      <c r="B9" s="42" t="n"/>
      <c r="C9" s="6" t="inlineStr">
        <is>
          <t>0 = pure merchant; else year PPA ends</t>
        </is>
      </c>
      <c r="D9" s="40" t="n">
        <v>0</v>
      </c>
    </row>
    <row r="10">
      <c r="A10" s="42" t="n"/>
      <c r="B10" s="42" t="n"/>
      <c r="C10" s="42" t="n"/>
      <c r="D10" s="42" t="n"/>
    </row>
    <row r="11">
      <c r="A11" s="43" t="inlineStr">
        <is>
          <t>TIMING</t>
        </is>
      </c>
      <c r="B11" s="42" t="n"/>
      <c r="C11" s="42" t="n"/>
      <c r="D11" s="42" t="n"/>
    </row>
    <row r="12">
      <c r="A12" s="27" t="inlineStr">
        <is>
          <t>Exit Year</t>
        </is>
      </c>
      <c r="B12" s="42" t="n"/>
      <c r="C12" s="6" t="inlineStr">
        <is>
          <t>5 / 7 / 10</t>
        </is>
      </c>
      <c r="D12" s="40" t="n">
        <v>7</v>
      </c>
    </row>
    <row r="13">
      <c r="A13" s="27" t="inlineStr">
        <is>
          <t>Tax Credit End Year</t>
        </is>
      </c>
      <c r="B13" s="42" t="n"/>
      <c r="C13" s="6" t="inlineStr">
        <is>
          <t>0 = N/A; else last year of PTC/ITC</t>
        </is>
      </c>
      <c r="D13" s="40" t="n">
        <v>0</v>
      </c>
    </row>
    <row r="14">
      <c r="A14" s="42" t="n"/>
      <c r="B14" s="42" t="n"/>
      <c r="C14" s="42" t="n"/>
      <c r="D14" s="42" t="n"/>
    </row>
    <row r="15">
      <c r="A15" s="43" t="inlineStr">
        <is>
          <t>DEBT</t>
        </is>
      </c>
      <c r="B15" s="42" t="n"/>
      <c r="C15" s="42" t="n"/>
      <c r="D15" s="44" t="n"/>
    </row>
    <row r="16">
      <c r="A16" s="27" t="inlineStr">
        <is>
          <t>Debt Sweep</t>
        </is>
      </c>
      <c r="B16" s="42" t="n"/>
      <c r="C16" s="6" t="inlineStr">
        <is>
          <t>ON / OFF (for sweep assets)</t>
        </is>
      </c>
      <c r="D16" s="22" t="inlineStr">
        <is>
          <t>ON</t>
        </is>
      </c>
    </row>
    <row r="17">
      <c r="A17" s="27" t="inlineStr">
        <is>
          <t>Sweep %</t>
        </is>
      </c>
      <c r="B17" s="42" t="n"/>
      <c r="C17" s="6" t="inlineStr">
        <is>
          <t>Active when Sweep = ON</t>
        </is>
      </c>
      <c r="D17" s="21" t="inlineStr">
        <is>
          <t>75%</t>
        </is>
      </c>
    </row>
    <row r="18">
      <c r="A18" s="42" t="n"/>
      <c r="B18" s="42" t="n"/>
      <c r="C18" s="42" t="n"/>
      <c r="D18" s="45" t="n"/>
    </row>
    <row r="19">
      <c r="A19" s="43" t="inlineStr">
        <is>
          <t>OTHER</t>
        </is>
      </c>
      <c r="B19" s="42" t="n"/>
      <c r="C19" s="42" t="n"/>
      <c r="D19" s="46" t="n"/>
    </row>
    <row r="20">
      <c r="A20" s="47" t="inlineStr">
        <is>
          <t>Exit Method</t>
        </is>
      </c>
      <c r="B20" s="42" t="n"/>
      <c r="C20" s="6" t="inlineStr">
        <is>
          <t>Multiple / DCF</t>
        </is>
      </c>
      <c r="D20" s="40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1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 t="n"/>
    </row>
    <row r="22">
      <c r="A22" s="5" t="inlineStr">
        <is>
          <t>Debt Payoff Y10</t>
        </is>
      </c>
      <c r="B22" s="6" t="inlineStr"/>
      <c r="C22" s="6" t="inlineStr"/>
      <c r="D22" s="10">
        <f>IF(N94&lt;1,"PASS","FAIL")</f>
        <v/>
      </c>
    </row>
    <row r="23">
      <c r="A23" s="5" t="inlineStr">
        <is>
          <t>Min DSCR ≥ 1.35x</t>
        </is>
      </c>
      <c r="B23" s="6" t="inlineStr"/>
      <c r="C23" s="6" t="inlineStr">
        <is>
          <t>CFADS / Debt Service</t>
        </is>
      </c>
      <c r="D23" s="10">
        <f>IF(MINIFS(G95:N95,G95:N95,"&gt;0")&gt;=1.35,"PASS","FAIL")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1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1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1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1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1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1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2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2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2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1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$D$29*$D$46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$D$61*$D$48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$D$27+$D$28+$D$29+$D$62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$D$63*$D$47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$D$63/$D$35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$D$27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$D$28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$D$29-$D$61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$D$61-$D$64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D68+E69+F70+G71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 t="n">
        <v>0</v>
      </c>
      <c r="F75" s="15" t="n">
        <v>0</v>
      </c>
      <c r="G75" s="15">
        <f>$D$38*(1+$D$39)^(1-1)</f>
        <v/>
      </c>
      <c r="H75" s="15">
        <f>$D$38*(1+$D$39)^(2-1)</f>
        <v/>
      </c>
      <c r="I75" s="15">
        <f>$D$38*(1+$D$39)^(3-1)</f>
        <v/>
      </c>
      <c r="J75" s="15">
        <f>$D$38*(1+$D$39)^(4-1)</f>
        <v/>
      </c>
      <c r="K75" s="15">
        <f>$D$38*(1+$D$39)^(5-1)</f>
        <v/>
      </c>
      <c r="L75" s="15">
        <f>$D$38*(1+$D$39)^(6-1)</f>
        <v/>
      </c>
      <c r="M75" s="15">
        <f>$D$38*(1+$D$39)^(7-1)</f>
        <v/>
      </c>
      <c r="N75" s="15">
        <f>$D$38*(1+$D$39)^(8-1)</f>
        <v/>
      </c>
    </row>
    <row r="76">
      <c r="E76" t="n">
        <v>0</v>
      </c>
      <c r="F76" t="n">
        <v>0</v>
      </c>
      <c r="G76">
        <f>$D$33*$D$34*G75/1000</f>
        <v/>
      </c>
      <c r="H76">
        <f>$D$33*$D$34*H75/1000</f>
        <v/>
      </c>
      <c r="I76">
        <f>$D$33*$D$34*I75/1000</f>
        <v/>
      </c>
      <c r="J76">
        <f>$D$33*$D$34*J75/1000</f>
        <v/>
      </c>
      <c r="K76">
        <f>$D$33*$D$34*K75/1000</f>
        <v/>
      </c>
      <c r="L76">
        <f>$D$33*$D$34*L75/1000</f>
        <v/>
      </c>
      <c r="M76">
        <f>$D$33*$D$34*M75/1000</f>
        <v/>
      </c>
      <c r="N76">
        <f>$D$33*$D$34*N75/1000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 t="n">
        <v>0</v>
      </c>
      <c r="F77" s="15" t="n">
        <v>0</v>
      </c>
      <c r="G77" s="15">
        <f>$D$33*$D$34*G75/1000</f>
        <v/>
      </c>
      <c r="H77" s="15">
        <f>$D$33*$D$34*H75/1000</f>
        <v/>
      </c>
      <c r="I77" s="15">
        <f>$D$33*$D$34*I75/1000</f>
        <v/>
      </c>
      <c r="J77" s="15">
        <f>$D$33*$D$34*J75/1000</f>
        <v/>
      </c>
      <c r="K77" s="15">
        <f>$D$33*$D$34*K75/1000</f>
        <v/>
      </c>
      <c r="L77" s="15">
        <f>$D$33*$D$34*L75/1000</f>
        <v/>
      </c>
      <c r="M77" s="15">
        <f>$D$33*$D$34*M75/1000</f>
        <v/>
      </c>
      <c r="N77" s="15">
        <f>$D$33*$D$34*N75/1000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 t="n">
        <v>0</v>
      </c>
      <c r="F78" s="15" t="n">
        <v>0</v>
      </c>
      <c r="G78" s="15">
        <f>$D$42*(1+$D$43)^(1-1)</f>
        <v/>
      </c>
      <c r="H78" s="15">
        <f>$D$42*(1+$D$43)^(2-1)</f>
        <v/>
      </c>
      <c r="I78" s="15">
        <f>$D$42*(1+$D$43)^(3-1)</f>
        <v/>
      </c>
      <c r="J78" s="15">
        <f>$D$42*(1+$D$43)^(4-1)</f>
        <v/>
      </c>
      <c r="K78" s="15">
        <f>$D$42*(1+$D$43)^(5-1)</f>
        <v/>
      </c>
      <c r="L78" s="15">
        <f>$D$42*(1+$D$43)^(6-1)</f>
        <v/>
      </c>
      <c r="M78" s="15">
        <f>$D$42*(1+$D$43)^(7-1)</f>
        <v/>
      </c>
      <c r="N78" s="15">
        <f>$D$42*(1+$D$43)^(8-1)</f>
        <v/>
      </c>
    </row>
    <row r="79">
      <c r="E79" t="n">
        <v>0</v>
      </c>
      <c r="F79" t="n">
        <v>0</v>
      </c>
      <c r="G79" s="50">
        <f>G76-G77</f>
        <v/>
      </c>
      <c r="H79" s="50">
        <f>H76-H77</f>
        <v/>
      </c>
      <c r="I79" s="50">
        <f>I76-I77</f>
        <v/>
      </c>
      <c r="J79" s="50">
        <f>J76-J77</f>
        <v/>
      </c>
      <c r="K79" s="50">
        <f>K76-K77</f>
        <v/>
      </c>
      <c r="L79" s="50">
        <f>L76-L77</f>
        <v/>
      </c>
      <c r="M79" s="50">
        <f>M76-M77</f>
        <v/>
      </c>
      <c r="N79" s="50">
        <f>N76-N77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 t="n">
        <v>0</v>
      </c>
      <c r="F80" s="7" t="n">
        <v>0</v>
      </c>
      <c r="G80" s="7">
        <f>G77-G78</f>
        <v/>
      </c>
      <c r="H80" s="7">
        <f>H77-H78</f>
        <v/>
      </c>
      <c r="I80" s="7">
        <f>I77-I78</f>
        <v/>
      </c>
      <c r="J80" s="7">
        <f>J77-J78</f>
        <v/>
      </c>
      <c r="K80" s="7">
        <f>K77-K78</f>
        <v/>
      </c>
      <c r="L80" s="7">
        <f>L77-L78</f>
        <v/>
      </c>
      <c r="M80" s="7">
        <f>M77-M78</f>
        <v/>
      </c>
      <c r="N80" s="7">
        <f>N77-N78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>
        <v>0</v>
      </c>
      <c r="F82" s="4" t="n">
        <v>0</v>
      </c>
      <c r="G82" s="4">
        <f>MAX(0,G79-$D$65)*$D$58</f>
        <v/>
      </c>
      <c r="H82" s="4">
        <f>MAX(0,H79-$D$65)*$D$58</f>
        <v/>
      </c>
      <c r="I82" s="4">
        <f>MAX(0,I79-$D$65)*$D$58</f>
        <v/>
      </c>
      <c r="J82" s="4">
        <f>MAX(0,J79-$D$65)*$D$58</f>
        <v/>
      </c>
      <c r="K82" s="4">
        <f>MAX(0,K79-$D$65)*$D$58</f>
        <v/>
      </c>
      <c r="L82" s="4">
        <f>MAX(0,L79-$D$65)*$D$58</f>
        <v/>
      </c>
      <c r="M82" s="4">
        <f>MAX(0,M79-$D$65)*$D$58</f>
        <v/>
      </c>
      <c r="N82" s="4">
        <f>MAX(0,N79-$D$65)*$D$58</f>
        <v/>
      </c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 t="n">
        <v>0</v>
      </c>
      <c r="F83" s="15" t="n">
        <v>0</v>
      </c>
      <c r="G83" s="7">
        <f>$D$65</f>
        <v/>
      </c>
      <c r="H83" s="7">
        <f>$D$65</f>
        <v/>
      </c>
      <c r="I83" s="7">
        <f>$D$65</f>
        <v/>
      </c>
      <c r="J83" s="7">
        <f>$D$65</f>
        <v/>
      </c>
      <c r="K83" s="7">
        <f>$D$65</f>
        <v/>
      </c>
      <c r="L83" s="7">
        <f>$D$65</f>
        <v/>
      </c>
      <c r="M83" s="7">
        <f>$D$65</f>
        <v/>
      </c>
      <c r="N83" s="7">
        <f>$D$65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 t="n">
        <v>0</v>
      </c>
      <c r="F84" s="15" t="n">
        <v>0</v>
      </c>
      <c r="G84" s="15">
        <f>G80-G83</f>
        <v/>
      </c>
      <c r="H84" s="15">
        <f>H80-H83</f>
        <v/>
      </c>
      <c r="I84" s="15">
        <f>I80-I83</f>
        <v/>
      </c>
      <c r="J84" s="15">
        <f>J80-J83</f>
        <v/>
      </c>
      <c r="K84" s="15">
        <f>K80-K83</f>
        <v/>
      </c>
      <c r="L84" s="15">
        <f>L80-L83</f>
        <v/>
      </c>
      <c r="M84" s="15">
        <f>M80-M83</f>
        <v/>
      </c>
      <c r="N84" s="15">
        <f>N80-N83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 t="n">
        <v>0</v>
      </c>
      <c r="F85" s="15" t="n">
        <v>0</v>
      </c>
      <c r="G85" s="15">
        <f>MAX(0,G84)*$D$58</f>
        <v/>
      </c>
      <c r="H85" s="15">
        <f>MAX(0,H84)*$D$58</f>
        <v/>
      </c>
      <c r="I85" s="15">
        <f>MAX(0,I84)*$D$58</f>
        <v/>
      </c>
      <c r="J85" s="15">
        <f>MAX(0,J84)*$D$58</f>
        <v/>
      </c>
      <c r="K85" s="15">
        <f>MAX(0,K84)*$D$58</f>
        <v/>
      </c>
      <c r="L85" s="15">
        <f>MAX(0,L84)*$D$58</f>
        <v/>
      </c>
      <c r="M85" s="15">
        <f>MAX(0,M84)*$D$58</f>
        <v/>
      </c>
      <c r="N85" s="15">
        <f>MAX(0,N84)*$D$58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 t="n">
        <v>0</v>
      </c>
      <c r="F86" s="7" t="n">
        <v>0</v>
      </c>
      <c r="G86" s="7">
        <f>G80-G85</f>
        <v/>
      </c>
      <c r="H86" s="7">
        <f>H80-H85</f>
        <v/>
      </c>
      <c r="I86" s="7">
        <f>I80-I85</f>
        <v/>
      </c>
      <c r="J86" s="7">
        <f>J80-J85</f>
        <v/>
      </c>
      <c r="K86" s="7">
        <f>K80-K85</f>
        <v/>
      </c>
      <c r="L86" s="7">
        <f>L80-L85</f>
        <v/>
      </c>
      <c r="M86" s="7">
        <f>M80-M85</f>
        <v/>
      </c>
      <c r="N86" s="7">
        <f>N80-N85</f>
        <v/>
      </c>
    </row>
    <row r="87">
      <c r="D87" t="n">
        <v>0</v>
      </c>
      <c r="E87" t="n">
        <v>0</v>
      </c>
      <c r="F87" t="n">
        <v>0</v>
      </c>
      <c r="G87">
        <f>$D$64</f>
        <v/>
      </c>
      <c r="H87">
        <f>G92</f>
        <v/>
      </c>
      <c r="I87">
        <f>H92</f>
        <v/>
      </c>
      <c r="J87">
        <f>I92</f>
        <v/>
      </c>
      <c r="K87">
        <f>J92</f>
        <v/>
      </c>
      <c r="L87">
        <f>K92</f>
        <v/>
      </c>
      <c r="M87">
        <f>L92</f>
        <v/>
      </c>
      <c r="N87">
        <f>M92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>
        <v>0</v>
      </c>
      <c r="F88" s="4" t="n">
        <v>0</v>
      </c>
      <c r="G88" s="4">
        <f>G87*$D$48</f>
        <v/>
      </c>
      <c r="H88" s="4">
        <f>H87*$D$48</f>
        <v/>
      </c>
      <c r="I88" s="4">
        <f>I87*$D$48</f>
        <v/>
      </c>
      <c r="J88" s="4">
        <f>J87*$D$48</f>
        <v/>
      </c>
      <c r="K88" s="4">
        <f>K87*$D$48</f>
        <v/>
      </c>
      <c r="L88" s="4">
        <f>L87*$D$48</f>
        <v/>
      </c>
      <c r="M88" s="4">
        <f>M87*$D$48</f>
        <v/>
      </c>
      <c r="N88" s="4">
        <f>N87*$D$48</f>
        <v/>
      </c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D89" t="n">
        <v>0</v>
      </c>
      <c r="E89" s="15" t="n">
        <v>0</v>
      </c>
      <c r="F89" s="15" t="n">
        <v>0</v>
      </c>
      <c r="G89" s="15">
        <f>$D$64</f>
        <v/>
      </c>
      <c r="H89" s="15">
        <f>G94</f>
        <v/>
      </c>
      <c r="I89" s="15">
        <f>H94</f>
        <v/>
      </c>
      <c r="J89" s="15">
        <f>I94</f>
        <v/>
      </c>
      <c r="K89" s="15">
        <f>J94</f>
        <v/>
      </c>
      <c r="L89" s="15">
        <f>K94</f>
        <v/>
      </c>
      <c r="M89" s="15">
        <f>L94</f>
        <v/>
      </c>
      <c r="N89" s="15">
        <f>M94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 t="n">
        <v>0</v>
      </c>
      <c r="F90" s="15" t="n">
        <v>0</v>
      </c>
      <c r="G90" s="15">
        <f>G89*$D$48</f>
        <v/>
      </c>
      <c r="H90" s="15">
        <f>H89*$D$48</f>
        <v/>
      </c>
      <c r="I90" s="15">
        <f>I89*$D$48</f>
        <v/>
      </c>
      <c r="J90" s="15">
        <f>J89*$D$48</f>
        <v/>
      </c>
      <c r="K90" s="15">
        <f>K89*$D$48</f>
        <v/>
      </c>
      <c r="L90" s="15">
        <f>L89*$D$48</f>
        <v/>
      </c>
      <c r="M90" s="15">
        <f>M89*$D$48</f>
        <v/>
      </c>
      <c r="N90" s="15">
        <f>N89*$D$48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 t="n">
        <v>0</v>
      </c>
      <c r="F91" s="15" t="n">
        <v>0</v>
      </c>
      <c r="G91" s="15">
        <f>G86/$D$50</f>
        <v/>
      </c>
      <c r="H91" s="15">
        <f>H86/$D$50</f>
        <v/>
      </c>
      <c r="I91" s="15">
        <f>I86/$D$50</f>
        <v/>
      </c>
      <c r="J91" s="15">
        <f>J86/$D$50</f>
        <v/>
      </c>
      <c r="K91" s="15">
        <f>K86/$D$50</f>
        <v/>
      </c>
      <c r="L91" s="15">
        <f>L86/$D$50</f>
        <v/>
      </c>
      <c r="M91" s="15">
        <f>M86/$D$50</f>
        <v/>
      </c>
      <c r="N91" s="15">
        <f>N86/$D$50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 t="n">
        <v>0</v>
      </c>
      <c r="F92" s="15" t="n">
        <v>0</v>
      </c>
      <c r="G92" s="15">
        <f>MIN(MAX(0,G91-G90),G89)</f>
        <v/>
      </c>
      <c r="H92" s="15">
        <f>MIN(MAX(0,H91-H90),H89)</f>
        <v/>
      </c>
      <c r="I92" s="15">
        <f>MIN(MAX(0,I91-I90),I89)</f>
        <v/>
      </c>
      <c r="J92" s="15">
        <f>MIN(MAX(0,J91-J90),J89)</f>
        <v/>
      </c>
      <c r="K92" s="15">
        <f>MIN(MAX(0,K91-K90),K89)</f>
        <v/>
      </c>
      <c r="L92" s="15">
        <f>MIN(MAX(0,L91-L90),L89)</f>
        <v/>
      </c>
      <c r="M92" s="15">
        <f>MIN(MAX(0,M91-M90),M89)</f>
        <v/>
      </c>
      <c r="N92" s="15">
        <f>MIN(MAX(0,N91-N90),N89)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 t="n">
        <v>0</v>
      </c>
      <c r="F93" s="15" t="n">
        <v>0</v>
      </c>
      <c r="G93" s="51">
        <f>G90+G92</f>
        <v/>
      </c>
      <c r="H93" s="51">
        <f>H90+H92</f>
        <v/>
      </c>
      <c r="I93" s="51">
        <f>I90+I92</f>
        <v/>
      </c>
      <c r="J93" s="51">
        <f>J90+J92</f>
        <v/>
      </c>
      <c r="K93" s="51">
        <f>K90+K92</f>
        <v/>
      </c>
      <c r="L93" s="51">
        <f>L90+L92</f>
        <v/>
      </c>
      <c r="M93" s="51">
        <f>M90+M92</f>
        <v/>
      </c>
      <c r="N93" s="51">
        <f>N90+N92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 t="n">
        <v>0</v>
      </c>
      <c r="F94" s="15" t="n">
        <v>0</v>
      </c>
      <c r="G94" s="15">
        <f>MAX(0,G89-G92)</f>
        <v/>
      </c>
      <c r="H94" s="15">
        <f>MAX(0,H89-H92)</f>
        <v/>
      </c>
      <c r="I94" s="15">
        <f>MAX(0,I89-I92)</f>
        <v/>
      </c>
      <c r="J94" s="15">
        <f>MAX(0,J89-J92)</f>
        <v/>
      </c>
      <c r="K94" s="15">
        <f>MAX(0,K89-K92)</f>
        <v/>
      </c>
      <c r="L94" s="15">
        <f>MAX(0,L89-L92)</f>
        <v/>
      </c>
      <c r="M94" s="15">
        <f>MAX(0,M89-M92)</f>
        <v/>
      </c>
      <c r="N94" s="15">
        <f>MAX(0,N89-N92)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19" t="n">
        <v>0</v>
      </c>
      <c r="F95" s="19" t="n">
        <v>0</v>
      </c>
      <c r="G95" s="19">
        <f>IF(G93&gt;0,G86/G93,0)</f>
        <v/>
      </c>
      <c r="H95" s="19">
        <f>IF(H93&gt;0,H86/H93,0)</f>
        <v/>
      </c>
      <c r="I95" s="19">
        <f>IF(I93&gt;0,I86/I93,0)</f>
        <v/>
      </c>
      <c r="J95" s="19">
        <f>IF(J93&gt;0,J86/J93,0)</f>
        <v/>
      </c>
      <c r="K95" s="19">
        <f>IF(K93&gt;0,K86/K93,0)</f>
        <v/>
      </c>
      <c r="L95" s="19">
        <f>IF(L93&gt;0,L86/L93,0)</f>
        <v/>
      </c>
      <c r="M95" s="19">
        <f>IF(M93&gt;0,M86/M93,0)</f>
        <v/>
      </c>
      <c r="N95" s="19">
        <f>IF(N93&gt;0,N86/N93,0)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>
        <v>0</v>
      </c>
      <c r="F97" s="4" t="n">
        <v>0</v>
      </c>
      <c r="G97" s="4">
        <f>H91*$D$49/12</f>
        <v/>
      </c>
      <c r="H97" s="4">
        <f>I91*$D$49/12</f>
        <v/>
      </c>
      <c r="I97" s="4">
        <f>J91*$D$49/12</f>
        <v/>
      </c>
      <c r="J97" s="4">
        <f>K91*$D$49/12</f>
        <v/>
      </c>
      <c r="K97" s="4">
        <f>L91*$D$49/12</f>
        <v/>
      </c>
      <c r="L97" s="4">
        <f>M91*$D$49/12</f>
        <v/>
      </c>
      <c r="M97" s="4">
        <f>N91*$D$49/12</f>
        <v/>
      </c>
      <c r="N97" s="4" t="n">
        <v>0</v>
      </c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 t="n">
        <v>0</v>
      </c>
      <c r="E98" s="15" t="n">
        <v>0</v>
      </c>
      <c r="F98" s="15" t="n">
        <v>0</v>
      </c>
      <c r="G98" s="15">
        <f>H93*$D$49/12</f>
        <v/>
      </c>
      <c r="H98" s="15">
        <f>I93*$D$49/12</f>
        <v/>
      </c>
      <c r="I98" s="15">
        <f>J93*$D$49/12</f>
        <v/>
      </c>
      <c r="J98" s="15">
        <f>K93*$D$49/12</f>
        <v/>
      </c>
      <c r="K98" s="15">
        <f>L93*$D$49/12</f>
        <v/>
      </c>
      <c r="L98" s="15">
        <f>M93*$D$49/12</f>
        <v/>
      </c>
      <c r="M98" s="15">
        <f>N93*$D$49/12</f>
        <v/>
      </c>
      <c r="N98" s="15" t="n">
        <v>0</v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 t="n">
        <v>0</v>
      </c>
      <c r="E99" s="15" t="n">
        <v>0</v>
      </c>
      <c r="F99" s="15" t="n">
        <v>0</v>
      </c>
      <c r="G99" s="15">
        <f>D114</f>
        <v/>
      </c>
      <c r="H99" s="15">
        <f>G101</f>
        <v/>
      </c>
      <c r="I99" s="15">
        <f>H101</f>
        <v/>
      </c>
      <c r="J99" s="15">
        <f>I101</f>
        <v/>
      </c>
      <c r="K99" s="15">
        <f>J101</f>
        <v/>
      </c>
      <c r="L99" s="15">
        <f>K101</f>
        <v/>
      </c>
      <c r="M99" s="15">
        <f>L101</f>
        <v/>
      </c>
      <c r="N99" s="15">
        <f>M101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 t="n">
        <v>0</v>
      </c>
      <c r="F100" s="15" t="n">
        <v>0</v>
      </c>
      <c r="G100" s="15">
        <f>G98-G99</f>
        <v/>
      </c>
      <c r="H100" s="15">
        <f>H98-H99</f>
        <v/>
      </c>
      <c r="I100" s="15">
        <f>I98-I99</f>
        <v/>
      </c>
      <c r="J100" s="15">
        <f>J98-J99</f>
        <v/>
      </c>
      <c r="K100" s="15">
        <f>K98-K99</f>
        <v/>
      </c>
      <c r="L100" s="15">
        <f>L98-L99</f>
        <v/>
      </c>
      <c r="M100" s="15">
        <f>M98-M99</f>
        <v/>
      </c>
      <c r="N100" s="15">
        <f>N98-N99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 t="n">
        <v>0</v>
      </c>
      <c r="F101" s="15" t="n">
        <v>0</v>
      </c>
      <c r="G101" s="15">
        <f>G99+G100</f>
        <v/>
      </c>
      <c r="H101" s="15">
        <f>H99+H100</f>
        <v/>
      </c>
      <c r="I101" s="15">
        <f>I99+I100</f>
        <v/>
      </c>
      <c r="J101" s="15">
        <f>J99+J100</f>
        <v/>
      </c>
      <c r="K101" s="15">
        <f>K99+K100</f>
        <v/>
      </c>
      <c r="L101" s="15">
        <f>L99+L100</f>
        <v/>
      </c>
      <c r="M101" s="15">
        <f>M99+M100</f>
        <v/>
      </c>
      <c r="N101" s="15">
        <f>N99+N100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>
        <v>0</v>
      </c>
      <c r="F103" s="4" t="n">
        <v>0</v>
      </c>
      <c r="G103" s="4">
        <f>G83-G91-G99</f>
        <v/>
      </c>
      <c r="H103" s="4">
        <f>H83-H91-H99</f>
        <v/>
      </c>
      <c r="I103" s="4">
        <f>I83-I91-I99</f>
        <v/>
      </c>
      <c r="J103" s="4">
        <f>J83-J91-J99</f>
        <v/>
      </c>
      <c r="K103" s="4">
        <f>K83-K91-K99</f>
        <v/>
      </c>
      <c r="L103" s="4">
        <f>L83-L91-L99</f>
        <v/>
      </c>
      <c r="M103" s="4">
        <f>M83-M91-M99</f>
        <v/>
      </c>
      <c r="N103" s="4">
        <f>N83-N91-N99</f>
        <v/>
      </c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 t="n">
        <v>0</v>
      </c>
      <c r="F104" s="15" t="n">
        <v>0</v>
      </c>
      <c r="G104" s="15">
        <f>G86-G93-G100</f>
        <v/>
      </c>
      <c r="H104" s="15">
        <f>H86-H93-H100</f>
        <v/>
      </c>
      <c r="I104" s="15">
        <f>I86-I93-I100</f>
        <v/>
      </c>
      <c r="J104" s="15">
        <f>J86-J93-J100</f>
        <v/>
      </c>
      <c r="K104" s="15">
        <f>K86-K93-K100</f>
        <v/>
      </c>
      <c r="L104" s="15">
        <f>L86-L93-L100</f>
        <v/>
      </c>
      <c r="M104" s="15">
        <f>M86-M93-M100</f>
        <v/>
      </c>
      <c r="N104" s="15">
        <f>N86-N93-N100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 t="inlineStr">
        <is>
          <t>N/A</t>
        </is>
      </c>
      <c r="F105" s="17" t="inlineStr">
        <is>
          <t>N/A</t>
        </is>
      </c>
      <c r="G105" s="17">
        <f>IF(G95&gt;=$D$51,"PASS","LOCKED")</f>
        <v/>
      </c>
      <c r="H105" s="17">
        <f>IF(H95&gt;=$D$51,"PASS","LOCKED")</f>
        <v/>
      </c>
      <c r="I105" s="17">
        <f>IF(I95&gt;=$D$51,"PASS","LOCKED")</f>
        <v/>
      </c>
      <c r="J105" s="17">
        <f>IF(J95&gt;=$D$51,"PASS","LOCKED")</f>
        <v/>
      </c>
      <c r="K105" s="17">
        <f>IF(K95&gt;=$D$51,"PASS","LOCKED")</f>
        <v/>
      </c>
      <c r="L105" s="17">
        <f>IF(L95&gt;=$D$51,"PASS","LOCKED")</f>
        <v/>
      </c>
      <c r="M105" s="17">
        <f>IF(M95&gt;=$D$51,"PASS","LOCKED")</f>
        <v/>
      </c>
      <c r="N105" s="17">
        <f>IF(N95&gt;=$D$51,"PASS","LOCKED")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 t="n">
        <v>0</v>
      </c>
      <c r="F106" s="7" t="n">
        <v>0</v>
      </c>
      <c r="G106" s="7">
        <f>IF(G105="PASS",MAX(0,G104),0)</f>
        <v/>
      </c>
      <c r="H106" s="7">
        <f>IF(H105="PASS",MAX(0,H104),0)</f>
        <v/>
      </c>
      <c r="I106" s="7">
        <f>IF(I105="PASS",MAX(0,I104),0)</f>
        <v/>
      </c>
      <c r="J106" s="7">
        <f>IF(J105="PASS",MAX(0,J104),0)</f>
        <v/>
      </c>
      <c r="K106" s="7">
        <f>IF(K105="PASS",MAX(0,K104),0)</f>
        <v/>
      </c>
      <c r="L106" s="7">
        <f>IF(L105="PASS",MAX(0,L104),0)</f>
        <v/>
      </c>
      <c r="M106" s="7">
        <f>IF(M105="PASS",MAX(0,M104),0)</f>
        <v/>
      </c>
      <c r="N106" s="7">
        <f>IF(N105="PASS",MAX(0,N104),0)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  <c r="D109">
        <f>$D$27+$D$28+$D$29+$D$62</f>
        <v/>
      </c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$D$27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$D$28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$D$29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$D$62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G98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D110+D111+D112+D113+D114</f>
        <v/>
      </c>
    </row>
    <row r="117">
      <c r="A117" s="18" t="inlineStr">
        <is>
          <t>SOURCES</t>
        </is>
      </c>
      <c r="B117" s="6" t="inlineStr"/>
      <c r="C117" s="6" t="inlineStr"/>
      <c r="D117">
        <f>IF(ABS(D111-D115)&lt;0.01,"PASS","FAIL")</f>
        <v/>
      </c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$D$61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$D$64</f>
        <v/>
      </c>
    </row>
    <row r="120">
      <c r="A120" s="5" t="inlineStr">
        <is>
          <t xml:space="preserve">  Total Equity</t>
        </is>
      </c>
      <c r="B120" s="6" t="inlineStr">
        <is>
          <t>$mm</t>
        </is>
      </c>
      <c r="C120" s="6" t="inlineStr"/>
      <c r="D120" s="15">
        <f>D115-D118-D119+D118</f>
        <v/>
      </c>
    </row>
    <row r="121">
      <c r="A121" s="5" t="inlineStr">
        <is>
          <t>Total Sources</t>
        </is>
      </c>
      <c r="B121" s="6" t="inlineStr">
        <is>
          <t>$mm</t>
        </is>
      </c>
      <c r="C121" s="6" t="inlineStr"/>
      <c r="D121" s="7">
        <f>D119+D120</f>
        <v/>
      </c>
    </row>
    <row r="122">
      <c r="A122" s="5" t="inlineStr">
        <is>
          <t>Balance Check</t>
        </is>
      </c>
      <c r="B122" s="6" t="inlineStr"/>
      <c r="C122" s="6" t="inlineStr"/>
      <c r="D122" s="10">
        <f>IF(ABS(D115-D121)&lt;0.01,"PASS","FAIL")</f>
        <v/>
      </c>
    </row>
    <row r="123">
      <c r="D123">
        <f>N100</f>
        <v/>
      </c>
    </row>
    <row r="124">
      <c r="A124" s="3" t="inlineStr">
        <is>
          <t>EXIT CALCULATIONS</t>
        </is>
      </c>
      <c r="B124" s="4" t="n"/>
      <c r="C124" s="4" t="n"/>
      <c r="D124" s="4">
        <f>D121-D122+D123</f>
        <v/>
      </c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Cumulative Depreciation</t>
        </is>
      </c>
      <c r="B125" s="6" t="inlineStr">
        <is>
          <t>$mm</t>
        </is>
      </c>
      <c r="C125" s="6" t="inlineStr">
        <is>
          <t>Dep × Operating Years</t>
        </is>
      </c>
      <c r="D125">
        <f>$D$65*(10-3+1)</f>
        <v/>
      </c>
      <c r="N125" s="15">
        <f>$D$55*8</f>
        <v/>
      </c>
    </row>
    <row r="126">
      <c r="A126" s="5" t="inlineStr">
        <is>
          <t>Exit RAB</t>
        </is>
      </c>
      <c r="B126" s="6" t="inlineStr">
        <is>
          <t>$mm</t>
        </is>
      </c>
      <c r="C126" s="6" t="inlineStr">
        <is>
          <t>RAB at COD - Cum Dep</t>
        </is>
      </c>
      <c r="D126">
        <f>$D$63-D125</f>
        <v/>
      </c>
      <c r="N126" s="15">
        <f>$D$53-N115</f>
        <v/>
      </c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RAB × xRAB Multiple</t>
        </is>
      </c>
      <c r="D127">
        <f>D126*$D$54</f>
        <v/>
      </c>
      <c r="E127">
        <f>-E69</f>
        <v/>
      </c>
      <c r="F127">
        <f>-F70</f>
        <v/>
      </c>
      <c r="G127">
        <f>-G71+G105</f>
        <v/>
      </c>
      <c r="H127">
        <f>H105</f>
        <v/>
      </c>
      <c r="I127">
        <f>I105</f>
        <v/>
      </c>
      <c r="J127">
        <f>J105</f>
        <v/>
      </c>
      <c r="K127">
        <f>K105</f>
        <v/>
      </c>
      <c r="L127">
        <f>L105</f>
        <v/>
      </c>
      <c r="M127">
        <f>M105</f>
        <v/>
      </c>
      <c r="N127" s="15">
        <f>N105+D124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D128" s="52">
        <f>N94</f>
        <v/>
      </c>
      <c r="N128" s="15">
        <f>N84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D129" s="53">
        <f>N101</f>
        <v/>
      </c>
      <c r="N129" s="15">
        <f>N91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D130">
        <f>D127-D128+D129</f>
        <v/>
      </c>
      <c r="N130" s="7">
        <f>N117-N118+N119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5">
        <f>-D68</f>
        <v/>
      </c>
      <c r="E133" s="15">
        <f>-E69</f>
        <v/>
      </c>
      <c r="F133" s="15">
        <f>-F70</f>
        <v/>
      </c>
      <c r="G133" s="15">
        <f>-G71+G106</f>
        <v/>
      </c>
      <c r="H133" s="15">
        <f>H106</f>
        <v/>
      </c>
      <c r="I133" s="15">
        <f>I106</f>
        <v/>
      </c>
      <c r="J133" s="15">
        <f>J106</f>
        <v/>
      </c>
      <c r="K133" s="15">
        <f>K106</f>
        <v/>
      </c>
      <c r="L133" s="15">
        <f>L106</f>
        <v/>
      </c>
      <c r="M133" s="15">
        <f>M106</f>
        <v/>
      </c>
      <c r="N133" s="15">
        <f>N106+D130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0">
        <f>IRR(D133:N133)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outflows</t>
        </is>
      </c>
      <c r="D135" s="19">
        <f>(SUM(G133:N133))/(D68+E69+F70+G71)</f>
        <v/>
      </c>
    </row>
    <row r="137">
      <c r="A137" s="18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5">
        <f>-$D$63</f>
        <v/>
      </c>
      <c r="E138" s="15" t="n">
        <v>0</v>
      </c>
      <c r="F138" s="15" t="n">
        <v>0</v>
      </c>
      <c r="G138" s="15">
        <f>G86</f>
        <v/>
      </c>
      <c r="H138" s="15">
        <f>H86</f>
        <v/>
      </c>
      <c r="I138" s="15">
        <f>I86</f>
        <v/>
      </c>
      <c r="J138" s="15">
        <f>J86</f>
        <v/>
      </c>
      <c r="K138" s="15">
        <f>K86</f>
        <v/>
      </c>
      <c r="L138" s="15">
        <f>L86</f>
        <v/>
      </c>
      <c r="M138" s="15">
        <f>M86</f>
        <v/>
      </c>
      <c r="N138" s="15">
        <f>N86+D127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0">
        <f>IRR(D138:N138)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G70</f>
        <v/>
      </c>
    </row>
    <row r="5">
      <c r="A5" s="31" t="inlineStr">
        <is>
          <t>═══════════ CONTROL PANEL ═══════════</t>
        </is>
      </c>
      <c r="B5" s="42" t="n"/>
      <c r="C5" s="42" t="n"/>
      <c r="D5" s="42" t="n"/>
    </row>
    <row r="6">
      <c r="A6" s="42" t="n"/>
      <c r="B6" s="42" t="n"/>
      <c r="C6" s="42" t="n"/>
      <c r="D6" s="42" t="n"/>
    </row>
    <row r="7">
      <c r="A7" s="43" t="inlineStr">
        <is>
          <t>REVENUE</t>
        </is>
      </c>
      <c r="B7" s="42" t="n"/>
      <c r="C7" s="42" t="n"/>
      <c r="D7" s="42" t="n"/>
    </row>
    <row r="8">
      <c r="A8" s="27" t="inlineStr">
        <is>
          <t>Revenue Mode</t>
        </is>
      </c>
      <c r="B8" s="42" t="n"/>
      <c r="C8" s="6" t="inlineStr">
        <is>
          <t>Merchant / Contracted / Hybrid</t>
        </is>
      </c>
      <c r="D8" s="40" t="inlineStr">
        <is>
          <t>Merchant</t>
        </is>
      </c>
    </row>
    <row r="9">
      <c r="A9" s="27" t="inlineStr">
        <is>
          <t>Contract End Year</t>
        </is>
      </c>
      <c r="B9" s="42" t="n"/>
      <c r="C9" s="6" t="inlineStr">
        <is>
          <t>0 = pure merchant; else year PPA ends</t>
        </is>
      </c>
      <c r="D9" s="40" t="n">
        <v>0</v>
      </c>
    </row>
    <row r="10">
      <c r="A10" s="42" t="n"/>
      <c r="B10" s="42" t="n"/>
      <c r="C10" s="42" t="n"/>
      <c r="D10" s="42" t="n"/>
    </row>
    <row r="11">
      <c r="A11" s="43" t="inlineStr">
        <is>
          <t>TIMING</t>
        </is>
      </c>
      <c r="B11" s="42" t="n"/>
      <c r="C11" s="42" t="n"/>
      <c r="D11" s="42" t="n"/>
    </row>
    <row r="12">
      <c r="A12" s="27" t="inlineStr">
        <is>
          <t>Exit Year</t>
        </is>
      </c>
      <c r="B12" s="42" t="n"/>
      <c r="C12" s="6" t="inlineStr">
        <is>
          <t>5 / 7 / 10</t>
        </is>
      </c>
      <c r="D12" s="40" t="n">
        <v>7</v>
      </c>
    </row>
    <row r="13">
      <c r="A13" s="27" t="inlineStr">
        <is>
          <t>Tax Credit End Year</t>
        </is>
      </c>
      <c r="B13" s="42" t="n"/>
      <c r="C13" s="6" t="inlineStr">
        <is>
          <t>0 = N/A; else last year of PTC/ITC</t>
        </is>
      </c>
      <c r="D13" s="40" t="n">
        <v>0</v>
      </c>
    </row>
    <row r="14">
      <c r="A14" s="42" t="n"/>
      <c r="B14" s="42" t="n"/>
      <c r="C14" s="42" t="n"/>
      <c r="D14" s="42" t="n"/>
    </row>
    <row r="15">
      <c r="A15" s="43" t="inlineStr">
        <is>
          <t>DEBT</t>
        </is>
      </c>
      <c r="B15" s="42" t="n"/>
      <c r="C15" s="42" t="n"/>
      <c r="D15" s="44" t="n"/>
    </row>
    <row r="16">
      <c r="A16" s="27" t="inlineStr">
        <is>
          <t>Debt Sweep</t>
        </is>
      </c>
      <c r="B16" s="42" t="n"/>
      <c r="C16" s="6" t="inlineStr">
        <is>
          <t>ON / OFF (for sweep assets)</t>
        </is>
      </c>
      <c r="D16" s="22" t="inlineStr">
        <is>
          <t>ON</t>
        </is>
      </c>
    </row>
    <row r="17">
      <c r="A17" s="27" t="inlineStr">
        <is>
          <t>Sweep %</t>
        </is>
      </c>
      <c r="B17" s="42" t="n"/>
      <c r="C17" s="6" t="inlineStr">
        <is>
          <t>Active when Sweep = ON</t>
        </is>
      </c>
      <c r="D17" s="21" t="inlineStr">
        <is>
          <t>75%</t>
        </is>
      </c>
    </row>
    <row r="18">
      <c r="A18" s="42" t="n"/>
      <c r="B18" s="42" t="n"/>
      <c r="C18" s="42" t="n"/>
      <c r="D18" s="45" t="n"/>
    </row>
    <row r="19">
      <c r="A19" s="43" t="inlineStr">
        <is>
          <t>OTHER</t>
        </is>
      </c>
      <c r="B19" s="42" t="n"/>
      <c r="C19" s="42" t="n"/>
      <c r="D19" s="46" t="n"/>
    </row>
    <row r="20">
      <c r="A20" s="47" t="inlineStr">
        <is>
          <t>Exit Method</t>
        </is>
      </c>
      <c r="B20" s="42" t="n"/>
      <c r="C20" s="6" t="inlineStr">
        <is>
          <t>Multiple / DCF</t>
        </is>
      </c>
      <c r="D20" s="40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1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>
        <is>
          <t>CFADS / Debt Service</t>
        </is>
      </c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1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1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1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1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1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1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2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2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2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1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19">
        <f>IF(E83&gt;0,E76/E83,0)</f>
        <v/>
      </c>
      <c r="F95" s="19">
        <f>IF(F83&gt;0,F76/F83,0)</f>
        <v/>
      </c>
      <c r="G95" s="19">
        <f>IF(G83&gt;0,G76/G83,0)</f>
        <v/>
      </c>
      <c r="H95" s="19">
        <f>IF(H83&gt;0,H76/H83,0)</f>
        <v/>
      </c>
      <c r="I95" s="19">
        <f>IF(I83&gt;0,I76/I83,0)</f>
        <v/>
      </c>
      <c r="J95" s="19">
        <f>IF(J83&gt;0,J76/J83,0)</f>
        <v/>
      </c>
      <c r="K95" s="19">
        <f>IF(K83&gt;0,K76/K83,0)</f>
        <v/>
      </c>
      <c r="L95" s="19">
        <f>IF(L83&gt;0,L76/L83,0)</f>
        <v/>
      </c>
      <c r="M95" s="19">
        <f>IF(M83&gt;0,M76/M83,0)</f>
        <v/>
      </c>
      <c r="N95" s="19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31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39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39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Total Equity</t>
        </is>
      </c>
      <c r="B126" s="6" t="inlineStr">
        <is>
          <t>$mm</t>
        </is>
      </c>
      <c r="C126" s="6" t="inlineStr"/>
      <c r="D126" s="15">
        <f>D62</f>
        <v/>
      </c>
    </row>
    <row r="127">
      <c r="A127" s="5" t="inlineStr">
        <is>
          <t>Total Sources</t>
        </is>
      </c>
      <c r="B127" s="6" t="inlineStr">
        <is>
          <t>$mm</t>
        </is>
      </c>
      <c r="C127" s="6" t="inlineStr"/>
      <c r="D127" s="7">
        <f>D109+D110</f>
        <v/>
      </c>
    </row>
    <row r="128">
      <c r="A128" s="5" t="inlineStr">
        <is>
          <t>Balance Check</t>
        </is>
      </c>
      <c r="B128" s="6" t="inlineStr"/>
      <c r="C128" s="6" t="inlineStr"/>
      <c r="D128" s="10">
        <f>IF(ABS(D105-D111)&lt;0.01,"PASS","FAIL")</f>
        <v/>
      </c>
    </row>
    <row r="130">
      <c r="A130" s="3" t="inlineStr">
        <is>
          <t>EXIT CALCULATIONS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5" t="inlineStr">
        <is>
          <t>Cumulative Depreciation</t>
        </is>
      </c>
      <c r="B131" s="6" t="inlineStr">
        <is>
          <t>$mm</t>
        </is>
      </c>
      <c r="C131" s="6" t="inlineStr">
        <is>
          <t>Dep × Operating Years</t>
        </is>
      </c>
      <c r="N131" s="15">
        <f>$D$55*8</f>
        <v/>
      </c>
    </row>
    <row r="132">
      <c r="A132" s="5" t="inlineStr">
        <is>
          <t>Exit RAB</t>
        </is>
      </c>
      <c r="B132" s="6" t="inlineStr">
        <is>
          <t>$mm</t>
        </is>
      </c>
      <c r="C132" s="6" t="inlineStr">
        <is>
          <t>RAB at COD - Cum Dep</t>
        </is>
      </c>
      <c r="N132" s="15">
        <f>$D$53-N115</f>
        <v/>
      </c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RAB × xRAB Multiple</t>
        </is>
      </c>
      <c r="N133" s="15">
        <f>N116*$D$44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N134" s="15">
        <f>N84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N135" s="15">
        <f>N91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N136" s="7">
        <f>N117-N118+N119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5">
        <f>-D58</f>
        <v/>
      </c>
      <c r="E139" s="15">
        <f>-E59</f>
        <v/>
      </c>
      <c r="F139" s="15">
        <f>-F60</f>
        <v/>
      </c>
      <c r="G139" s="15">
        <f>-G61-G90+G96</f>
        <v/>
      </c>
      <c r="H139" s="15">
        <f>H96</f>
        <v/>
      </c>
      <c r="I139" s="15">
        <f>I96</f>
        <v/>
      </c>
      <c r="J139" s="15">
        <f>J96</f>
        <v/>
      </c>
      <c r="K139" s="15">
        <f>K96</f>
        <v/>
      </c>
      <c r="L139" s="15">
        <f>L96</f>
        <v/>
      </c>
      <c r="M139" s="15">
        <f>M96</f>
        <v/>
      </c>
      <c r="N139" s="15">
        <f>N96+N120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>
        <is>
          <t>IRR of Equity CFs</t>
        </is>
      </c>
      <c r="D140" s="20">
        <f>IRR(D123:N123)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outflows</t>
        </is>
      </c>
      <c r="D141" s="19">
        <f>SUMIF(D123:N123,"&gt;0")/-SUMIF(D123:N123,"&lt;0")</f>
        <v/>
      </c>
    </row>
    <row r="143">
      <c r="A143" s="18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5">
        <f>-$D$17</f>
        <v/>
      </c>
      <c r="E144" s="15">
        <f>-$D$18</f>
        <v/>
      </c>
      <c r="F144" s="15">
        <f>-$D$19</f>
        <v/>
      </c>
      <c r="G144" s="15">
        <f>G76</f>
        <v/>
      </c>
      <c r="H144" s="15">
        <f>H76</f>
        <v/>
      </c>
      <c r="I144" s="15">
        <f>I76</f>
        <v/>
      </c>
      <c r="J144" s="15">
        <f>J76</f>
        <v/>
      </c>
      <c r="K144" s="15">
        <f>K76</f>
        <v/>
      </c>
      <c r="L144" s="15">
        <f>L76</f>
        <v/>
      </c>
      <c r="M144" s="15">
        <f>M76</f>
        <v/>
      </c>
      <c r="N144" s="15">
        <f>N76+N117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>
        <is>
          <t>IRR of Equity CFs</t>
        </is>
      </c>
      <c r="D145" s="20">
        <f>IRR(D128:N128)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2026-01-21T02:37:28Z</dcterms:modified>
</cp:coreProperties>
</file>