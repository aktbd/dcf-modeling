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1" authorId="0" shapeId="0">
      <text>
        <t>Mandatory prepayment from excess cash. Lenders require this for merchant assets.</t>
      </text>
    </comment>
    <comment ref="C42" authorId="0" shapeId="0">
      <text>
        <t>Debt Service Coverage Ratio. Key lender metric. Target: 1.25-1.40x.</t>
      </text>
    </comment>
    <comment ref="C62" authorId="0" shapeId="0">
      <text>
        <t>Cash earnings before financing. What is available to service debt and pay equity.</t>
      </text>
    </comment>
    <comment ref="C68" authorId="0" shapeId="0">
      <text>
        <t>Cash Flow Available for Debt Service. What remains after taxes to pay interest and principal.</t>
      </text>
    </comment>
    <comment ref="C76" authorId="0" shapeId="0">
      <text>
        <t>Mandatory prepayment from excess cash. Lenders require this for merchant assets.</t>
      </text>
    </comment>
    <comment ref="C79" authorId="0" shapeId="0">
      <text>
        <t>Debt Service Coverage Ratio. Key lender metric. Target: 1.25-1.40x.</t>
      </text>
    </comment>
    <comment ref="C80" authorId="0" shapeId="0">
      <text>
        <t>Debt service using straight-line principal only. Used for DSRA to avoid circularity.</t>
      </text>
    </comment>
    <comment ref="C83" authorId="0" shapeId="0">
      <text>
        <t>Reserve sized to cover NEXT years debt service. Uses SCHEDULED DS to avoid circular reference.</t>
      </text>
    </comment>
    <comment ref="C113" authorId="0" shapeId="0">
      <text>
        <t>Return to equity after debt service. Should exceed cost of equity (12-15% for infra).</t>
      </text>
    </comment>
    <comment ref="C114" authorId="0" shapeId="0">
      <text>
        <t>Multiple on Invested Capital. Cash-on-cash return. 2.0x = doubled money.</t>
      </text>
    </comment>
    <comment ref="C118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>
        <is>
          <t>CFADS / Debt Service</t>
        </is>
      </c>
      <c r="D6" s="22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3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2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3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4"/>
    <row r="15"/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4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25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1"/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24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24" t="n">
        <v>0.05</v>
      </c>
    </row>
    <row r="26"/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24" t="n">
        <v>0.02</v>
      </c>
    </row>
    <row r="30"/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4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5"/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24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24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24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25" t="n">
        <v>1.1</v>
      </c>
    </row>
    <row r="43"/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24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24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8"/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3"/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8"/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1"/>
    <row r="62">
      <c r="A62" s="5" t="inlineStr">
        <is>
          <t>EBITDA</t>
        </is>
      </c>
      <c r="B62" s="6" t="inlineStr">
        <is>
          <t>$mm</t>
        </is>
      </c>
      <c r="C62" s="6" t="inlineStr">
        <is>
          <t>Revenue minus OpEx</t>
        </is>
      </c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3"/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69"/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2">
        <f>IF(E74&gt;0,E68/E74,0)</f>
        <v/>
      </c>
      <c r="F79" s="22">
        <f>IF(F74&gt;0,F68/F74,0)</f>
        <v/>
      </c>
      <c r="G79" s="22">
        <f>IF(G74&gt;0,G68/G74,0)</f>
        <v/>
      </c>
      <c r="H79" s="22">
        <f>IF(H74&gt;0,H68/H74,0)</f>
        <v/>
      </c>
      <c r="I79" s="22">
        <f>IF(I74&gt;0,I68/I74,0)</f>
        <v/>
      </c>
      <c r="J79" s="22">
        <f>IF(J74&gt;0,J68/J74,0)</f>
        <v/>
      </c>
      <c r="K79" s="22">
        <f>IF(K74&gt;0,K68/K74,0)</f>
        <v/>
      </c>
      <c r="L79" s="22">
        <f>IF(L74&gt;0,L68/L74,0)</f>
        <v/>
      </c>
      <c r="M79" s="22">
        <f>IF(M74&gt;0,M68/M74,0)</f>
        <v/>
      </c>
      <c r="N79" s="22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1"/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1"/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8"/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4"/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0"/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>
        <is>
          <t>IRR of Equity CFs</t>
        </is>
      </c>
      <c r="D113" s="23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2">
        <f>SUMIF(D112:K112,"&gt;0")/ABS(D112)</f>
        <v/>
      </c>
    </row>
    <row r="115"/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>
        <is>
          <t>IRR of Equity CFs</t>
        </is>
      </c>
      <c r="D118" s="23">
        <f>IRR(D117:K117)</f>
        <v/>
      </c>
    </row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2026-01-20T03:01:59Z</dcterms:modified>
</cp:coreProperties>
</file>