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17" fillId="0" borderId="1" pivotButton="0" quotePrefix="0" xfId="0"/>
    <xf numFmtId="165" fontId="17" fillId="0" borderId="1" pivotButton="0" quotePrefix="0" xfId="0"/>
    <xf numFmtId="166" fontId="17" fillId="0" borderId="1" pivotButton="0" quotePrefix="0" xfId="0"/>
    <xf numFmtId="0" fontId="10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3" authorId="0" shapeId="0">
      <text>
        <t>Return to equity after debt service. Should exceed cost of equity (12-15% for infra).</t>
      </text>
    </comment>
    <comment ref="C124" authorId="0" shapeId="0">
      <text>
        <t>Multiple on Invested Capital. Cash-on-cash return. 2.0x = doubled money.</t>
      </text>
    </comment>
    <comment ref="C128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9" authorId="0" shapeId="0">
      <text>
        <t>Return to equity after debt service. Should exceed cost of equity (12-15% for infra).</t>
      </text>
    </comment>
    <comment ref="C130" authorId="0" shapeId="0">
      <text>
        <t>Multiple on Invested Capital. Cash-on-cash return. 2.0x = doubled money.</t>
      </text>
    </comment>
    <comment ref="C134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1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1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1" t="inlineStr">
        <is>
          <t>The seller (PE fund approaching end of fund life) is asking $85mm with
bids due by February 10, 2026.</t>
        </is>
      </c>
    </row>
    <row r="23">
      <c r="A23" s="29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MIDSTREAM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Volume-based revenue (not capacity x price)</t>
        </is>
      </c>
    </row>
    <row r="34">
      <c r="A34" s="31" t="inlineStr">
        <is>
          <t>- Producer counterparty credit risk</t>
        </is>
      </c>
    </row>
    <row r="35">
      <c r="A35" s="31" t="inlineStr">
        <is>
          <t>- Volume decline curves for existing wells</t>
        </is>
      </c>
    </row>
    <row r="36">
      <c r="A36" s="31" t="inlineStr">
        <is>
          <t>- Recontracting risk at contract expiry</t>
        </is>
      </c>
    </row>
    <row r="37">
      <c r="A37" s="31" t="inlineStr">
        <is>
          <t>- Gathering fee is $/Mcf</t>
        </is>
      </c>
    </row>
    <row r="38">
      <c r="A38" s="31" t="inlineStr"/>
    </row>
    <row r="39">
      <c r="A39" s="31" t="inlineStr">
        <is>
          <t>1. SET UP INPUTS</t>
        </is>
      </c>
    </row>
    <row r="40">
      <c r="A40" s="31" t="inlineStr">
        <is>
          <t xml:space="preserve">   - Y1 Volume: 80 MMcf/d (current throughput)</t>
        </is>
      </c>
    </row>
    <row r="41">
      <c r="A41" s="31" t="inlineStr">
        <is>
          <t xml:space="preserve">   - Gathering Fee: $0.55/Mcf</t>
        </is>
      </c>
    </row>
    <row r="42">
      <c r="A42" s="31" t="inlineStr">
        <is>
          <t xml:space="preserve">   - Growth Rate Y1-5: 3%/year</t>
        </is>
      </c>
    </row>
    <row r="43">
      <c r="A43" s="31" t="inlineStr">
        <is>
          <t xml:space="preserve">   - Decline Rate Y6-10: 5%/year</t>
        </is>
      </c>
    </row>
    <row r="44">
      <c r="A44" s="31" t="inlineStr">
        <is>
          <t xml:space="preserve">   - O&amp;M: $3.5mm/year base</t>
        </is>
      </c>
    </row>
    <row r="45">
      <c r="A45" s="31" t="inlineStr"/>
    </row>
    <row r="46">
      <c r="A46" s="31" t="inlineStr">
        <is>
          <t>2. BUILD VOLUME TRAJECTORY</t>
        </is>
      </c>
    </row>
    <row r="47">
      <c r="A47" s="31" t="inlineStr">
        <is>
          <t xml:space="preserve">   Daily Volume Y1 = 80 MMcf/d</t>
        </is>
      </c>
    </row>
    <row r="48">
      <c r="A48" s="31" t="inlineStr">
        <is>
          <t xml:space="preserve">   Daily Volume Yn = Y(n-1) x (1 + Growth/Decline Rate)</t>
        </is>
      </c>
    </row>
    <row r="49">
      <c r="A49" s="31" t="inlineStr">
        <is>
          <t xml:space="preserve">   Annual Volume (Bcf) = Daily Volume x 365 / 1000</t>
        </is>
      </c>
    </row>
    <row r="50">
      <c r="A50" s="31" t="inlineStr"/>
    </row>
    <row r="51">
      <c r="A51" s="31" t="inlineStr">
        <is>
          <t>3. BUILD REVENUE</t>
        </is>
      </c>
    </row>
    <row r="52">
      <c r="A52" s="31" t="inlineStr">
        <is>
          <t xml:space="preserve">   Revenue ($mm) = Annual Volume (Bcf) x Fee ($/Mcf)</t>
        </is>
      </c>
    </row>
    <row r="53">
      <c r="A53" s="31" t="inlineStr"/>
    </row>
    <row r="54">
      <c r="A54" s="31" t="inlineStr">
        <is>
          <t xml:space="preserve">   Why this works:</t>
        </is>
      </c>
    </row>
    <row r="55">
      <c r="A55" s="31" t="inlineStr">
        <is>
          <t xml:space="preserve">   - 1 Bcf = 1,000,000 Mcf</t>
        </is>
      </c>
    </row>
    <row r="56">
      <c r="A56" s="31" t="inlineStr">
        <is>
          <t xml:space="preserve">   - Revenue ($) = Bcf x 1,000,000 x $/Mcf</t>
        </is>
      </c>
    </row>
    <row r="57">
      <c r="A57" s="31" t="inlineStr">
        <is>
          <t xml:space="preserve">   - Revenue ($mm) = Revenue ($) / 1,000,000</t>
        </is>
      </c>
    </row>
    <row r="58">
      <c r="A58" s="31" t="inlineStr">
        <is>
          <t xml:space="preserve">   - Therefore: Revenue ($mm) = Bcf x $/Mcf (factors cancel)</t>
        </is>
      </c>
    </row>
    <row r="59">
      <c r="A59" s="31" t="inlineStr"/>
    </row>
    <row r="60">
      <c r="A60" s="31" t="inlineStr">
        <is>
          <t xml:space="preserve">   NO *1000 multiplier needed!</t>
        </is>
      </c>
    </row>
    <row r="61">
      <c r="A61" s="31" t="inlineStr"/>
    </row>
    <row r="62">
      <c r="A62" s="31" t="inlineStr">
        <is>
          <t xml:space="preserve">   Sanity Check: 29 Bcf x $0.55/Mcf = ~$16mm revenue</t>
        </is>
      </c>
    </row>
    <row r="63">
      <c r="A63" s="31" t="inlineStr">
        <is>
          <t xml:space="preserve">   This is reasonable for $85mm EV (5x EV/Revenue)</t>
        </is>
      </c>
    </row>
    <row r="64">
      <c r="A64" s="31" t="inlineStr"/>
    </row>
    <row r="65">
      <c r="A65" s="31" t="inlineStr">
        <is>
          <t>4. BUILD CFADS</t>
        </is>
      </c>
    </row>
    <row r="66">
      <c r="A66" s="31" t="inlineStr">
        <is>
          <t xml:space="preserve">   CFADS = Revenue - O&amp;M - Taxes - Growth Capex</t>
        </is>
      </c>
    </row>
    <row r="67">
      <c r="A67" s="31" t="inlineStr">
        <is>
          <t xml:space="preserve">   Growth capex (wellhead connections) is BEFORE CFADS for midstream</t>
        </is>
      </c>
    </row>
    <row r="68">
      <c r="A68" s="31" t="inlineStr"/>
    </row>
    <row r="69">
      <c r="A69" s="31" t="inlineStr">
        <is>
          <t>5. DEBT STRUCTURE</t>
        </is>
      </c>
    </row>
    <row r="70">
      <c r="A70" s="31" t="inlineStr">
        <is>
          <t xml:space="preserve">   75% cash sweep (volume uncertainty warrants sweep)</t>
        </is>
      </c>
    </row>
    <row r="71">
      <c r="A71" s="31" t="inlineStr">
        <is>
          <t xml:space="preserve">   Shorter tenor (5 years) due to recontracting risk</t>
        </is>
      </c>
    </row>
    <row r="73">
      <c r="A73" s="29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29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29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29" t="inlineStr">
        <is>
          <t>--- HINTS &amp; PITFALLS ---</t>
        </is>
      </c>
    </row>
    <row r="102">
      <c r="A102" s="32" t="inlineStr">
        <is>
          <t>* Revenue = Bcf x $/Mcf (NO conversion factor - they cancel)</t>
        </is>
      </c>
    </row>
    <row r="103">
      <c r="A103" s="32" t="inlineStr">
        <is>
          <t>* Y1 Revenue of ~$16mm on $85mm EV is ~5.3x, reasonable</t>
        </is>
      </c>
    </row>
    <row r="104">
      <c r="A104" s="32" t="inlineStr">
        <is>
          <t>* Recontracting at Year 5 is THE key risk - show sensitivity</t>
        </is>
      </c>
    </row>
    <row r="105">
      <c r="A105" s="32" t="inlineStr">
        <is>
          <t>* Take-or-pay provides 80% floor on contracted volume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PROJECT PERMIAN GATHERING</t>
        </is>
      </c>
    </row>
    <row r="2">
      <c r="A2" s="27" t="inlineStr">
        <is>
          <t>INVESTMENT COMMITTEE MEMORANDUM</t>
        </is>
      </c>
    </row>
    <row r="3">
      <c r="A3" s="26" t="inlineStr">
        <is>
          <t>80 MMcf/d Gas Gathering System – Permian Basin</t>
        </is>
      </c>
    </row>
    <row r="4">
      <c r="A4" s="27" t="inlineStr">
        <is>
          <t>RECOMMENDATION: Proceed to final bid at $85mm</t>
        </is>
      </c>
    </row>
    <row r="5">
      <c r="A5" s="26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7" t="inlineStr">
        <is>
          <t>KEY METRICS</t>
        </is>
      </c>
    </row>
    <row r="7">
      <c r="A7" s="27" t="inlineStr">
        <is>
          <t>INVESTMENT THESIS</t>
        </is>
      </c>
    </row>
    <row r="8">
      <c r="A8" s="26" t="inlineStr">
        <is>
          <t>• Fee-for-service model eliminates commodity price exposure – paid to move gas, not sell it</t>
        </is>
      </c>
    </row>
    <row r="9">
      <c r="A9" s="26" t="inlineStr">
        <is>
          <t>• Active drilling program supports 3%/year volume growth through Y5</t>
        </is>
      </c>
    </row>
    <row r="10">
      <c r="A10" s="26" t="inlineStr">
        <is>
          <t>• Aggressive 75% sweep with 5-year tenor ensures debt payoff before decline phase</t>
        </is>
      </c>
    </row>
    <row r="11">
      <c r="A11" s="26" t="inlineStr">
        <is>
          <t>• Exit to producer seeking vertical integration or larger midstream for basin consolidation</t>
        </is>
      </c>
    </row>
    <row r="12">
      <c r="A12" s="27" t="inlineStr">
        <is>
          <t>KEY RISKS &amp; MITIGANTS</t>
        </is>
      </c>
    </row>
    <row r="13">
      <c r="A13" s="27" t="inlineStr">
        <is>
          <t>ANTICIPATED IC Q&amp;A</t>
        </is>
      </c>
    </row>
    <row r="14">
      <c r="A14" s="27" t="inlineStr">
        <is>
          <t>Q: Why the growth-then-decline profile?</t>
        </is>
      </c>
    </row>
    <row r="15">
      <c r="A15" s="26" t="inlineStr">
        <is>
          <t>A: Y1-Y5: Active drilling connects new wells (3%/year growth). Y6+: Drilling slows, existing wells deplete naturally (5%/year decline). Must structure debt to pay off before decline.</t>
        </is>
      </c>
    </row>
    <row r="16">
      <c r="A16" s="27" t="inlineStr">
        <is>
          <t>Q: Why 5-year tenor vs 7 years?</t>
        </is>
      </c>
    </row>
    <row r="17">
      <c r="A17" s="26" t="inlineStr">
        <is>
          <t>A: Debt must be repaid during growth phase when CFADS is strong. Cannot service debt with declining cash flows. Short tenor + aggressive sweep = de-risked debt.</t>
        </is>
      </c>
    </row>
    <row r="18">
      <c r="A18" s="27" t="inlineStr">
        <is>
          <t>Q: What's the commodity exposure?</t>
        </is>
      </c>
    </row>
    <row r="19">
      <c r="A19" s="26" t="inlineStr">
        <is>
          <t>A: Direct: None – fee-for-service. Indirect: Low gas prices → less drilling → lower volumes. Mitigated by acreage dedication and producer economics (breakeven $2.50/mmBtu).</t>
        </is>
      </c>
    </row>
    <row r="20">
      <c r="A20" s="27" t="inlineStr">
        <is>
          <t>Q: Why compressed 6.5x exit multiple?</t>
        </is>
      </c>
    </row>
    <row r="21">
      <c r="A21" s="26" t="inlineStr">
        <is>
          <t>A: Declining asset commands lower multiple than stable/growing. At exit (Y7), asset has 3-4 years of decline remaining. Buyer pricing reflects PDP-like valuation.</t>
        </is>
      </c>
    </row>
    <row r="22">
      <c r="A22" s="26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$85mm | - | -</t>
        </is>
      </c>
    </row>
    <row r="25">
      <c r="A25" s="28" t="inlineStr">
        <is>
          <t>Entry Multiple | 5.8x Y1 EBITDA | - | -</t>
        </is>
      </c>
    </row>
    <row r="26">
      <c r="A26" s="28" t="inlineStr">
        <is>
          <t>Leverage | 30% | - | -</t>
        </is>
      </c>
    </row>
    <row r="27">
      <c r="A27" s="28" t="inlineStr">
        <is>
          <t>Levered IRR | 19.2% | 15.5% | 23.0%</t>
        </is>
      </c>
    </row>
    <row r="28">
      <c r="A28" s="28" t="inlineStr">
        <is>
          <t>MOIC | 2.05x | 1.75x | 2.35x</t>
        </is>
      </c>
    </row>
    <row r="29">
      <c r="A29" s="28" t="inlineStr">
        <is>
          <t>Min DSCR (Y1-Y5) | 1.65x | 1.45x | 1.85x</t>
        </is>
      </c>
    </row>
    <row r="30">
      <c r="A30" s="26" t="inlineStr"/>
    </row>
    <row r="31">
      <c r="A31" s="28" t="inlineStr">
        <is>
          <t>Risk | Probability | Mitigant</t>
        </is>
      </c>
    </row>
    <row r="32">
      <c r="A32" s="28" t="inlineStr">
        <is>
          <t>Producer curtails drilling | Medium | Acreage dedication provides volume floor; producer needs gatherer to monetize</t>
        </is>
      </c>
    </row>
    <row r="33">
      <c r="A33" s="28" t="inlineStr">
        <is>
          <t>Volume decline steeper than forecast | Medium | 5%/year decline is conservative for Permian; exit at Y7 before steep decline</t>
        </is>
      </c>
    </row>
    <row r="34">
      <c r="A34" s="28" t="inlineStr">
        <is>
          <t>Single counterparty concentration | Medium | Producer is well-capitalized; consider credit support</t>
        </is>
      </c>
    </row>
    <row r="35">
      <c r="A35" s="28" t="inlineStr">
        <is>
          <t>Basin differentials widen | Low | Fee-based, not commodity-based; producer bears basis risk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Midstream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7.5</v>
      </c>
    </row>
    <row r="15">
      <c r="A15" t="inlineStr">
        <is>
          <t>Exit Year</t>
        </is>
      </c>
      <c r="B15" t="inlineStr">
        <is>
          <t>yr</t>
        </is>
      </c>
      <c r="D15" s="42" t="n">
        <v>7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0.65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0.06</v>
      </c>
    </row>
    <row r="26">
      <c r="A26" t="inlineStr">
        <is>
          <t>Debt Tenor</t>
        </is>
      </c>
      <c r="B26" t="inlineStr">
        <is>
          <t>yrs</t>
        </is>
      </c>
      <c r="D26" s="42" t="n">
        <v>7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IF(E74&gt;0,E68/E74,0)</f>
        <v/>
      </c>
      <c r="F89" s="22">
        <f>IF(F74&gt;0,F68/F74,0)</f>
        <v/>
      </c>
      <c r="G89" s="22">
        <f>IF(G74&gt;0,G68/G74,0)</f>
        <v/>
      </c>
      <c r="H89" s="22">
        <f>IF(H74&gt;0,H68/H74,0)</f>
        <v/>
      </c>
      <c r="I89" s="22">
        <f>IF(I74&gt;0,I68/I74,0)</f>
        <v/>
      </c>
      <c r="J89" s="22">
        <f>IF(J74&gt;0,J68/J74,0)</f>
        <v/>
      </c>
      <c r="K89" s="22">
        <f>IF(K74&gt;0,K68/K74,0)</f>
        <v/>
      </c>
      <c r="L89" s="22">
        <f>IF(L74&gt;0,L68/L74,0)</f>
        <v/>
      </c>
      <c r="M89" s="22">
        <f>IF(M74&gt;0,M68/M74,0)</f>
        <v/>
      </c>
      <c r="N89" s="22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1">
      <c r="A121" s="3" t="inlineStr">
        <is>
          <t>EQUITY RETURNS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inlineStr"/>
      <c r="D122" s="16">
        <f>-D101</f>
        <v/>
      </c>
      <c r="E122" s="16">
        <f>E90</f>
        <v/>
      </c>
      <c r="F122" s="16">
        <f>F90</f>
        <v/>
      </c>
      <c r="G122" s="16">
        <f>G90</f>
        <v/>
      </c>
      <c r="H122" s="16">
        <f>H90</f>
        <v/>
      </c>
      <c r="I122" s="16">
        <f>I90</f>
        <v/>
      </c>
      <c r="J122" s="16">
        <f>J90</f>
        <v/>
      </c>
      <c r="K122" s="16">
        <f>K90+K109</f>
        <v/>
      </c>
      <c r="L122" s="16">
        <f>0</f>
        <v/>
      </c>
      <c r="M122" s="16">
        <f>0</f>
        <v/>
      </c>
      <c r="N122" s="16">
        <f>0</f>
        <v/>
      </c>
    </row>
    <row r="123">
      <c r="A123" s="5" t="inlineStr">
        <is>
          <t>Levered IRR</t>
        </is>
      </c>
      <c r="B123" s="6" t="inlineStr">
        <is>
          <t>%</t>
        </is>
      </c>
      <c r="C123" s="6" t="inlineStr">
        <is>
          <t>IRR of Equity CFs</t>
        </is>
      </c>
      <c r="D123" s="23">
        <f>IRR(D112:K112)</f>
        <v/>
      </c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22">
        <f>SUMIF(D112:K112,"&gt;0")/ABS(D112)</f>
        <v/>
      </c>
    </row>
    <row r="126">
      <c r="A126" s="21" t="inlineStr">
        <is>
          <t>Unlevered Returns (for reference)</t>
        </is>
      </c>
      <c r="B126" s="6" t="inlineStr"/>
      <c r="C126" s="6" t="inlineStr"/>
    </row>
    <row r="127">
      <c r="A127" s="5" t="inlineStr">
        <is>
          <t>Unlevered Cash Flow</t>
        </is>
      </c>
      <c r="B127" s="6" t="inlineStr">
        <is>
          <t>$mm</t>
        </is>
      </c>
      <c r="C127" s="6" t="inlineStr"/>
      <c r="D127" s="16">
        <f>-$D$17-D95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IRR</t>
        </is>
      </c>
      <c r="B128" s="6" t="inlineStr">
        <is>
          <t>%</t>
        </is>
      </c>
      <c r="C128" s="6" t="inlineStr">
        <is>
          <t>IRR of Equity CFs</t>
        </is>
      </c>
      <c r="D128" s="23">
        <f>IRR(D117:K117)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IF(E74&gt;0,E68/E74,0)</f>
        <v/>
      </c>
      <c r="F89" s="22">
        <f>IF(F74&gt;0,F68/F74,0)</f>
        <v/>
      </c>
      <c r="G89" s="22">
        <f>IF(G74&gt;0,G68/G74,0)</f>
        <v/>
      </c>
      <c r="H89" s="22">
        <f>IF(H74&gt;0,H68/H74,0)</f>
        <v/>
      </c>
      <c r="I89" s="22">
        <f>IF(I74&gt;0,I68/I74,0)</f>
        <v/>
      </c>
      <c r="J89" s="22">
        <f>IF(J74&gt;0,J68/J74,0)</f>
        <v/>
      </c>
      <c r="K89" s="22">
        <f>IF(K74&gt;0,K68/K74,0)</f>
        <v/>
      </c>
      <c r="L89" s="22">
        <f>IF(L74&gt;0,L68/L74,0)</f>
        <v/>
      </c>
      <c r="M89" s="22">
        <f>IF(M74&gt;0,M68/M74,0)</f>
        <v/>
      </c>
      <c r="N89" s="22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>
        <is>
          <t>IRR of Equity CFs</t>
        </is>
      </c>
      <c r="D129" s="23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2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>
        <is>
          <t>IRR of Equity CFs</t>
        </is>
      </c>
      <c r="D134" s="23">
        <f>IRR(D117:K117)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2026-01-20T22:45:39Z</dcterms:modified>
</cp:coreProperties>
</file>