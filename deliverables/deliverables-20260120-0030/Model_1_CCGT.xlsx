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4" borderId="0" pivotButton="0" quotePrefix="0" xfId="0"/>
    <xf numFmtId="0" fontId="6" fillId="3" borderId="0" pivotButton="0" quotePrefix="0" xfId="0"/>
    <xf numFmtId="166" fontId="0" fillId="4" borderId="0" pivotButton="0" quotePrefix="0" xfId="0"/>
    <xf numFmtId="165" fontId="0" fillId="4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20" fillId="0" borderId="0" pivotButton="0" quotePrefix="0" xfId="0"/>
    <xf numFmtId="0" fontId="21" fillId="0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2" t="inlineStr">
        <is>
          <t>--- SITUATION ---</t>
        </is>
      </c>
    </row>
    <row r="15">
      <c r="A15" s="34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4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4" t="inlineStr">
        <is>
          <t>GenCo is divesting non-core assets to fund renewable development. They are
seeking $520mm with final bids expected by February 15, 2026.</t>
        </is>
      </c>
    </row>
    <row r="21">
      <c r="A21" s="32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2" t="inlineStr">
        <is>
          <t>--- STEP-BY-STEP MODEL BUILDING GUIDE ---</t>
        </is>
      </c>
    </row>
    <row r="28">
      <c r="A28" s="34" t="inlineStr">
        <is>
          <t>STEP-BY-STEP MODEL BUILDING GUIDE</t>
        </is>
      </c>
    </row>
    <row r="29">
      <c r="A29" s="34" t="inlineStr"/>
    </row>
    <row r="30">
      <c r="A30" s="34" t="inlineStr">
        <is>
          <t>1. SET UP INPUTS (Column D)</t>
        </is>
      </c>
    </row>
    <row r="31">
      <c r="A31" s="34" t="inlineStr">
        <is>
          <t xml:space="preserve">   - Transaction: Entry EV ($520mm), fees (1.5%), exit multiple (7x), exit year (7)</t>
        </is>
      </c>
    </row>
    <row r="32">
      <c r="A32" s="34" t="inlineStr">
        <is>
          <t xml:space="preserve">   - Asset: Capacity (365 MW), heat rate (7,000), CF (55%), FOR (5%)</t>
        </is>
      </c>
    </row>
    <row r="33">
      <c r="A33" s="34" t="inlineStr">
        <is>
          <t xml:space="preserve">   - Pricing: Power ($48/MWh), capacity ($110/kW-yr), gas ($3/MMBtu), esc (2.5%)</t>
        </is>
      </c>
    </row>
    <row r="34">
      <c r="A34" s="34" t="inlineStr">
        <is>
          <t xml:space="preserve">   - Financing: Leverage (45%), rate (6.5%), tenor (7 yrs), DSRA (6 mo), sweep (75%)</t>
        </is>
      </c>
    </row>
    <row r="35">
      <c r="A35" s="34" t="inlineStr"/>
    </row>
    <row r="36">
      <c r="A36" s="34" t="inlineStr">
        <is>
          <t>2. BUILD CALCULATED ITEMS</t>
        </is>
      </c>
    </row>
    <row r="37">
      <c r="A37" s="34" t="inlineStr">
        <is>
          <t xml:space="preserve">   - UCAP = Capacity x (1 - FOR) = 365 x 0.95 = 346.75 MW</t>
        </is>
      </c>
    </row>
    <row r="38">
      <c r="A38" s="34" t="inlineStr">
        <is>
          <t xml:space="preserve">   - Generation = Capacity x CF x 8,760 = 1,758,900 MWh</t>
        </is>
      </c>
    </row>
    <row r="39">
      <c r="A39" s="34" t="inlineStr">
        <is>
          <t xml:space="preserve">   - Debt Amount = Entry EV x Leverage = $234mm</t>
        </is>
      </c>
    </row>
    <row r="40">
      <c r="A40" s="34" t="inlineStr"/>
    </row>
    <row r="41">
      <c r="A41" s="34" t="inlineStr">
        <is>
          <t>3. BUILD OPERATING MODEL (Columns E-N)</t>
        </is>
      </c>
    </row>
    <row r="42">
      <c r="A42" s="34" t="inlineStr">
        <is>
          <t xml:space="preserve">   - Escalate prices: Yn = Y1 x (1 + esc)^(n-1)</t>
        </is>
      </c>
    </row>
    <row r="43">
      <c r="A43" s="34" t="inlineStr">
        <is>
          <t xml:space="preserve">   - Energy Revenue = Generation x Power Price / 1,000,000</t>
        </is>
      </c>
    </row>
    <row r="44">
      <c r="A44" s="34" t="inlineStr">
        <is>
          <t xml:space="preserve">   - Capacity Revenue = UCAP x Cap Price x 1,000 / 1,000,000</t>
        </is>
      </c>
    </row>
    <row r="45">
      <c r="A45" s="34" t="inlineStr">
        <is>
          <t xml:space="preserve">   - Fuel Cost = Generation x Heat Rate x Gas / 1,000,000,000</t>
        </is>
      </c>
    </row>
    <row r="46">
      <c r="A46" s="34" t="inlineStr">
        <is>
          <t xml:space="preserve">   - EBITDA = Revenue - OpEx</t>
        </is>
      </c>
    </row>
    <row r="47">
      <c r="A47" s="34" t="inlineStr"/>
    </row>
    <row r="48">
      <c r="A48" s="34" t="inlineStr">
        <is>
          <t>4. BUILD CASH FLOW</t>
        </is>
      </c>
    </row>
    <row r="49">
      <c r="A49" s="34" t="inlineStr">
        <is>
          <t xml:space="preserve">   - EBIT = EBITDA - Depreciation</t>
        </is>
      </c>
    </row>
    <row r="50">
      <c r="A50" s="34" t="inlineStr">
        <is>
          <t xml:space="preserve">   - Taxes = MAX(0, EBIT) x Tax Rate</t>
        </is>
      </c>
    </row>
    <row r="51">
      <c r="A51" s="34" t="inlineStr">
        <is>
          <t xml:space="preserve">   - CFADS = EBITDA - Taxes</t>
        </is>
      </c>
    </row>
    <row r="52">
      <c r="A52" s="34" t="inlineStr"/>
    </row>
    <row r="53">
      <c r="A53" s="34" t="inlineStr">
        <is>
          <t>5. BUILD DEBT SCHEDULE (CASH SWEEP)</t>
        </is>
      </c>
    </row>
    <row r="54">
      <c r="A54" s="34" t="inlineStr">
        <is>
          <t xml:space="preserve">   a) Beginning Balance: Y1 = Debt; Yn = Prior End Bal</t>
        </is>
      </c>
    </row>
    <row r="55">
      <c r="A55" s="34" t="inlineStr">
        <is>
          <t xml:space="preserve">   b) Interest = Beg Bal x Rate</t>
        </is>
      </c>
    </row>
    <row r="56">
      <c r="A56" s="34" t="inlineStr">
        <is>
          <t xml:space="preserve">   c) Scheduled Principal = MIN(Debt/Tenor, Beg Bal)</t>
        </is>
      </c>
    </row>
    <row r="57">
      <c r="A57" s="34" t="inlineStr">
        <is>
          <t xml:space="preserve">   d) Debt Service (Pre-Sweep) = Interest + Sched Prin</t>
        </is>
      </c>
    </row>
    <row r="58">
      <c r="A58" s="34" t="inlineStr">
        <is>
          <t xml:space="preserve">   e) Scheduled DS (for DSRA) = Independent calc using straight-line</t>
        </is>
      </c>
    </row>
    <row r="59">
      <c r="A59" s="34" t="inlineStr">
        <is>
          <t xml:space="preserve">   f) DSRA Target = NEXT Year's Sched DS x (DSRA Mo / 12)</t>
        </is>
      </c>
    </row>
    <row r="60">
      <c r="A60" s="34" t="inlineStr">
        <is>
          <t xml:space="preserve">   g) Excess Cash = CFADS - DS - DSRA Funding</t>
        </is>
      </c>
    </row>
    <row r="61">
      <c r="A61" s="34" t="inlineStr">
        <is>
          <t xml:space="preserve">   h) Cash Sweep = MIN(Excess x 75%, Beg Bal - Sched Prin)</t>
        </is>
      </c>
    </row>
    <row r="62">
      <c r="A62" s="34" t="inlineStr">
        <is>
          <t xml:space="preserve">   i) Ending Balance = MAX(0, Beg - Total Principal)</t>
        </is>
      </c>
    </row>
    <row r="63">
      <c r="A63" s="34" t="inlineStr">
        <is>
          <t xml:space="preserve">   j) DSCR = CFADS / DS (Pre-Sweep)</t>
        </is>
      </c>
    </row>
    <row r="64">
      <c r="A64" s="34" t="inlineStr"/>
    </row>
    <row r="65">
      <c r="A65" s="34" t="inlineStr">
        <is>
          <t>6. BUILD S&amp;U, EXIT, RETURNS</t>
        </is>
      </c>
    </row>
    <row r="66">
      <c r="A66" s="34" t="inlineStr">
        <is>
          <t xml:space="preserve">   - S&amp;U must balance (Uses = Sources)</t>
        </is>
      </c>
    </row>
    <row r="67">
      <c r="A67" s="34" t="inlineStr">
        <is>
          <t xml:space="preserve">   - Exit EV = EBITDA x Multiple</t>
        </is>
      </c>
    </row>
    <row r="68">
      <c r="A68" s="34" t="inlineStr">
        <is>
          <t xml:space="preserve">   - Levered IRR = IRR of equity cash flows</t>
        </is>
      </c>
    </row>
    <row r="70">
      <c r="A70" s="32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2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2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2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2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42" t="inlineStr">
        <is>
          <t>COLD START WORKFLOW (4-Hour Test)</t>
        </is>
      </c>
    </row>
    <row r="124">
      <c r="A124" s="37" t="inlineStr">
        <is>
          <t>Phase 1: Setup (15 min)</t>
        </is>
      </c>
    </row>
    <row r="125">
      <c r="A125" s="43" t="inlineStr">
        <is>
          <t>→ Create workbook, freeze panes at E2</t>
        </is>
      </c>
    </row>
    <row r="126">
      <c r="A126" s="43" t="inlineStr">
        <is>
          <t>→ Set column widths: A=32, B=12, C=38, D-N=14</t>
        </is>
      </c>
    </row>
    <row r="127">
      <c r="A127" s="43" t="inlineStr">
        <is>
          <t>→ Build year headers: Y0 (2025), Y1 (2026), ... Y10 (2035)</t>
        </is>
      </c>
    </row>
    <row r="129">
      <c r="A129" s="37" t="inlineStr">
        <is>
          <t>Phase 2: Inputs &amp; S&amp;U (30 min)</t>
        </is>
      </c>
    </row>
    <row r="130">
      <c r="A130" s="43" t="inlineStr">
        <is>
          <t>→ Transaction: Entry EV, Fees %, Exit Multiple, Exit Year</t>
        </is>
      </c>
    </row>
    <row r="131">
      <c r="A131" s="43" t="inlineStr">
        <is>
          <t>→ Asset: Capacity, CF/Dispatch, Prices, Escalation</t>
        </is>
      </c>
    </row>
    <row r="132">
      <c r="A132" s="43" t="inlineStr">
        <is>
          <t>→ Financing: Leverage, Rate, Tenor, DSRA months, Sweep %</t>
        </is>
      </c>
    </row>
    <row r="133">
      <c r="A133" s="43" t="inlineStr">
        <is>
          <t>→ Build Uses first, then Sources (equity = balancing item)</t>
        </is>
      </c>
    </row>
    <row r="135">
      <c r="A135" s="37" t="inlineStr">
        <is>
          <t>Phase 3: Operating Model (45 min)</t>
        </is>
      </c>
    </row>
    <row r="136">
      <c r="A136" s="43" t="inlineStr">
        <is>
          <t>→ Generation = Capacity × CF × 8760 (baseload) OR Capacity × Dispatch × Avail (peaker)</t>
        </is>
      </c>
    </row>
    <row r="137">
      <c r="A137" s="43" t="inlineStr">
        <is>
          <t>→ Revenue = Generation × Price / 1E6  (capacity $/kW needs ×1000)</t>
        </is>
      </c>
    </row>
    <row r="138">
      <c r="A138" s="43" t="inlineStr">
        <is>
          <t>→ Fuel = Gen × HR × Gas / 1E9  (CRITICAL: divide by BILLION)</t>
        </is>
      </c>
    </row>
    <row r="139">
      <c r="A139" s="43" t="inlineStr">
        <is>
          <t>→ EBITDA = Revenue - OpEx; Taxes = MAX(0, Taxable Income) × Rate</t>
        </is>
      </c>
    </row>
    <row r="141">
      <c r="A141" s="37" t="inlineStr">
        <is>
          <t>Phase 4: Debt Schedule (45 min)</t>
        </is>
      </c>
    </row>
    <row r="142">
      <c r="A142" s="43" t="inlineStr">
        <is>
          <t>→ Beginning Bal Y1 = Funded Debt; Yn = Prior Ending</t>
        </is>
      </c>
    </row>
    <row r="143">
      <c r="A143" s="43" t="inlineStr">
        <is>
          <t>→ Interest = Beg Bal × Rate; Principal: Straight-line/Sculpted/Sweep</t>
        </is>
      </c>
    </row>
    <row r="144">
      <c r="A144" s="43" t="inlineStr">
        <is>
          <t>→ DSCR = CFADS / Debt Service</t>
        </is>
      </c>
    </row>
    <row r="145">
      <c r="A145" s="43" t="inlineStr">
        <is>
          <t>→ DSRA Target = NEXT year's DS × (months/12)  [TRAP: not current!]</t>
        </is>
      </c>
    </row>
    <row r="147">
      <c r="A147" s="37" t="inlineStr">
        <is>
          <t>Phase 5: Exit &amp; Returns (30 min)</t>
        </is>
      </c>
    </row>
    <row r="148">
      <c r="A148" s="43" t="inlineStr">
        <is>
          <t>→ Exit EV = Exit EBITDA × Multiple</t>
        </is>
      </c>
    </row>
    <row r="149">
      <c r="A149" s="43" t="inlineStr">
        <is>
          <t>→ Exit Equity = Exit EV - Debt Payoff + DSRA Release</t>
        </is>
      </c>
    </row>
    <row r="150">
      <c r="A150" s="43" t="inlineStr">
        <is>
          <t>→ IRR = IRR(Y0:Y10 equity CFs); MOIC = Total / Entry</t>
        </is>
      </c>
    </row>
    <row r="152">
      <c r="A152" s="37" t="inlineStr">
        <is>
          <t>Phase 6: QA &amp; Polish (15 min)</t>
        </is>
      </c>
    </row>
    <row r="153">
      <c r="A153" s="43" t="inlineStr">
        <is>
          <t>→ S&amp;U Balance Check = PASS; Debt Payoff = PASS; Min DSCR ≥1.25x</t>
        </is>
      </c>
    </row>
    <row r="156">
      <c r="A156" s="4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</row>
    <row r="159">
      <c r="A159" t="inlineStr">
        <is>
          <t>Transaction Inputs</t>
        </is>
      </c>
      <c r="B159" t="inlineStr">
        <is>
          <t>15 min</t>
        </is>
      </c>
    </row>
    <row r="160">
      <c r="A160" t="inlineStr">
        <is>
          <t>Sources &amp; Uses</t>
        </is>
      </c>
      <c r="B160" t="inlineStr">
        <is>
          <t>15 min</t>
        </is>
      </c>
    </row>
    <row r="161">
      <c r="A161" t="inlineStr">
        <is>
          <t>Operating Model</t>
        </is>
      </c>
      <c r="B161" t="inlineStr">
        <is>
          <t>45 min</t>
        </is>
      </c>
    </row>
    <row r="162">
      <c r="A162" t="inlineStr">
        <is>
          <t>Depreciation &amp; Tax</t>
        </is>
      </c>
      <c r="B162" t="inlineStr">
        <is>
          <t>15 min</t>
        </is>
      </c>
    </row>
    <row r="163">
      <c r="A163" t="inlineStr">
        <is>
          <t>Debt Schedule</t>
        </is>
      </c>
      <c r="B163" t="inlineStr">
        <is>
          <t>45 min</t>
        </is>
      </c>
    </row>
    <row r="164">
      <c r="A164" t="inlineStr">
        <is>
          <t>DSRA (if needed)</t>
        </is>
      </c>
      <c r="B164" t="inlineStr">
        <is>
          <t>15 min</t>
        </is>
      </c>
    </row>
    <row r="165">
      <c r="A165" t="inlineStr">
        <is>
          <t>Waterfall &amp; Returns</t>
        </is>
      </c>
      <c r="B165" t="inlineStr">
        <is>
          <t>30 min</t>
        </is>
      </c>
    </row>
    <row r="166">
      <c r="A166" t="inlineStr">
        <is>
          <t>Exit Mechanics</t>
        </is>
      </c>
      <c r="B166" t="inlineStr">
        <is>
          <t>15 min</t>
        </is>
      </c>
    </row>
    <row r="167">
      <c r="A167" t="inlineStr">
        <is>
          <t>QA &amp; Sanity Checks</t>
        </is>
      </c>
      <c r="B167" t="inlineStr">
        <is>
          <t>15 min</t>
        </is>
      </c>
    </row>
    <row r="168">
      <c r="A168" t="inlineStr">
        <is>
          <t>Buffer / Iterate</t>
        </is>
      </c>
      <c r="B168" t="inlineStr">
        <is>
          <t>15 min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44" t="inlineStr">
        <is>
          <t>KEY FORMULA CONCEPTS</t>
        </is>
      </c>
    </row>
    <row r="174">
      <c r="A174" s="32" t="inlineStr">
        <is>
          <t>SPARK SPREAD = Power Price - (HR × Gas / 1000)</t>
        </is>
      </c>
      <c r="C174" t="inlineStr">
        <is>
          <t>Core margin for thermal</t>
        </is>
      </c>
    </row>
    <row r="175">
      <c r="A175" s="32" t="inlineStr">
        <is>
          <t>UCAP = Nameplate × (1 - FOR)</t>
        </is>
      </c>
      <c r="C175" t="inlineStr">
        <is>
          <t>Capacity revenue basis</t>
        </is>
      </c>
    </row>
    <row r="176">
      <c r="A176" s="32" t="inlineStr">
        <is>
          <t>LLCR = NPV(CFADS loan life) / Debt</t>
        </is>
      </c>
      <c r="C176" t="inlineStr">
        <is>
          <t>Loan coverage ratio</t>
        </is>
      </c>
    </row>
    <row r="177">
      <c r="A177" s="32" t="inlineStr">
        <is>
          <t>PLCR = NPV(CFADS project life) / Debt</t>
        </is>
      </c>
      <c r="C177" t="inlineStr">
        <is>
          <t>Project coverage 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6" t="inlineStr">
        <is>
          <t>Model_Quick - Simplified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7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8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8">
        <f>D57</f>
        <v/>
      </c>
    </row>
    <row r="9">
      <c r="A9" t="inlineStr">
        <is>
          <t>MOIC</t>
        </is>
      </c>
      <c r="B9" t="inlineStr">
        <is>
          <t>x</t>
        </is>
      </c>
      <c r="D9" s="38">
        <f>D58</f>
        <v/>
      </c>
    </row>
    <row r="11">
      <c r="A11" s="37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39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39" t="inlineStr">
        <is>
          <t>1.5%</t>
        </is>
      </c>
    </row>
    <row r="14">
      <c r="A14" t="inlineStr">
        <is>
          <t>Exit Multiple</t>
        </is>
      </c>
      <c r="B14" t="inlineStr">
        <is>
          <t>x</t>
        </is>
      </c>
      <c r="D14" s="39" t="n">
        <v>7</v>
      </c>
    </row>
    <row r="15">
      <c r="A15" t="inlineStr">
        <is>
          <t>Exit Year</t>
        </is>
      </c>
      <c r="B15" t="inlineStr">
        <is>
          <t>yr</t>
        </is>
      </c>
      <c r="D15" s="39" t="n">
        <v>7</v>
      </c>
    </row>
    <row r="17">
      <c r="A17" s="37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39" t="n">
        <v>365</v>
      </c>
    </row>
    <row r="19">
      <c r="A19" t="inlineStr">
        <is>
          <t>Capacity Factor</t>
        </is>
      </c>
      <c r="B19" t="inlineStr">
        <is>
          <t>%</t>
        </is>
      </c>
      <c r="D19" s="39" t="inlineStr">
        <is>
          <t>55%</t>
        </is>
      </c>
    </row>
    <row r="20">
      <c r="A20" t="inlineStr">
        <is>
          <t>Y1 EBITDA</t>
        </is>
      </c>
      <c r="B20" t="inlineStr">
        <is>
          <t>$mm</t>
        </is>
      </c>
      <c r="D20" s="39" t="n">
        <v>78</v>
      </c>
    </row>
    <row r="21">
      <c r="A21" t="inlineStr">
        <is>
          <t>EBITDA Escalation</t>
        </is>
      </c>
      <c r="B21" t="inlineStr">
        <is>
          <t>%</t>
        </is>
      </c>
      <c r="D21" s="39" t="inlineStr">
        <is>
          <t>2.0%</t>
        </is>
      </c>
    </row>
    <row r="23">
      <c r="A23" s="37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39" t="inlineStr">
        <is>
          <t>65%</t>
        </is>
      </c>
    </row>
    <row r="25">
      <c r="A25" t="inlineStr">
        <is>
          <t>Interest Rate</t>
        </is>
      </c>
      <c r="B25" t="inlineStr">
        <is>
          <t>%</t>
        </is>
      </c>
      <c r="D25" s="39" t="inlineStr">
        <is>
          <t>6.5%</t>
        </is>
      </c>
    </row>
    <row r="26">
      <c r="A26" t="inlineStr">
        <is>
          <t>Debt Tenor</t>
        </is>
      </c>
      <c r="B26" t="inlineStr">
        <is>
          <t>yrs</t>
        </is>
      </c>
      <c r="D26" s="39" t="n">
        <v>7</v>
      </c>
    </row>
    <row r="28">
      <c r="A28" s="37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38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7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7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>
        <f>E44*$D$25</f>
        <v/>
      </c>
      <c r="F45">
        <f>F44*$D$25</f>
        <v/>
      </c>
      <c r="G45">
        <f>G44*$D$25</f>
        <v/>
      </c>
      <c r="H45">
        <f>H44*$D$25</f>
        <v/>
      </c>
      <c r="I45">
        <f>I44*$D$25</f>
        <v/>
      </c>
      <c r="J45">
        <f>J44*$D$25</f>
        <v/>
      </c>
      <c r="K45">
        <f>K44*$D$25</f>
        <v/>
      </c>
      <c r="L45">
        <f>L44*$D$25</f>
        <v/>
      </c>
      <c r="M45">
        <f>M44*$D$25</f>
        <v/>
      </c>
      <c r="N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>
        <f>MIN($D$35/$D$26,E44)</f>
        <v/>
      </c>
      <c r="F46">
        <f>MIN($D$35/$D$26,F44)</f>
        <v/>
      </c>
      <c r="G46">
        <f>MIN($D$35/$D$26,G44)</f>
        <v/>
      </c>
      <c r="H46">
        <f>MIN($D$35/$D$26,H44)</f>
        <v/>
      </c>
      <c r="I46">
        <f>MIN($D$35/$D$26,I44)</f>
        <v/>
      </c>
      <c r="J46">
        <f>MIN($D$35/$D$26,J44)</f>
        <v/>
      </c>
      <c r="K46">
        <f>MIN($D$35/$D$26,K44)</f>
        <v/>
      </c>
      <c r="L46">
        <f>MIN($D$35/$D$26,L44)</f>
        <v/>
      </c>
      <c r="M46">
        <f>MIN($D$35/$D$26,M44)</f>
        <v/>
      </c>
      <c r="N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>
        <f>MAX(0,E44-E46)</f>
        <v/>
      </c>
      <c r="F47">
        <f>MAX(0,F44-F46)</f>
        <v/>
      </c>
      <c r="G47">
        <f>MAX(0,G44-G46)</f>
        <v/>
      </c>
      <c r="H47">
        <f>MAX(0,H44-H46)</f>
        <v/>
      </c>
      <c r="I47">
        <f>MAX(0,I44-I46)</f>
        <v/>
      </c>
      <c r="J47">
        <f>MAX(0,J44-J46)</f>
        <v/>
      </c>
      <c r="K47">
        <f>MAX(0,K44-K46)</f>
        <v/>
      </c>
      <c r="L47">
        <f>MAX(0,L44-L46)</f>
        <v/>
      </c>
      <c r="M47">
        <f>MAX(0,M44-M46)</f>
        <v/>
      </c>
      <c r="N47">
        <f>MAX(0,N44-N46)</f>
        <v/>
      </c>
    </row>
    <row r="49">
      <c r="A49" s="37" t="inlineStr">
        <is>
          <t>═══ RETURNS ═══</t>
        </is>
      </c>
    </row>
    <row r="50">
      <c r="A50" t="inlineStr">
        <is>
          <t>Exit Year EBITDA</t>
        </is>
      </c>
      <c r="D50">
        <f>OFFSET(E41,0,$D$15-1)</f>
        <v/>
      </c>
    </row>
    <row r="51">
      <c r="A51" t="inlineStr">
        <is>
          <t>Exit EV</t>
        </is>
      </c>
      <c r="D51" s="38">
        <f>D50*$D$14</f>
        <v/>
      </c>
    </row>
    <row r="52">
      <c r="A52" t="inlineStr">
        <is>
          <t>Exit Debt Payoff</t>
        </is>
      </c>
      <c r="D52">
        <f>OFFSET(E47,0,$D$15-1)</f>
        <v/>
      </c>
    </row>
    <row r="53">
      <c r="A53" t="inlineStr">
        <is>
          <t>Exit Equity Proceeds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>
        <f>IF(1=$D$15,D53,0)</f>
        <v/>
      </c>
      <c r="F55">
        <f>IF(2=$D$15,D53,0)</f>
        <v/>
      </c>
      <c r="G55">
        <f>IF(3=$D$15,D53,0)</f>
        <v/>
      </c>
      <c r="H55">
        <f>IF(4=$D$15,D53,0)</f>
        <v/>
      </c>
      <c r="I55">
        <f>IF(5=$D$15,D53,0)</f>
        <v/>
      </c>
      <c r="J55">
        <f>IF(6=$D$15,D53,0)</f>
        <v/>
      </c>
      <c r="K55">
        <f>IF(7=$D$15,D53,0)</f>
        <v/>
      </c>
      <c r="L55">
        <f>IF(8=$D$15,D53,0)</f>
        <v/>
      </c>
      <c r="M55">
        <f>IF(9=$D$15,D53,0)</f>
        <v/>
      </c>
      <c r="N55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0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M3" s="53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4" t="inlineStr">
        <is>
          <t>+/- 5% Entry → ~+/- 1% IRR</t>
        </is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  <c r="M5" s="54" t="inlineStr">
        <is>
          <t>+/- 0.5x Exit → ~+/- 1.5% IRR</t>
        </is>
      </c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D132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IF(K103&lt;1,"PASS","FAIL")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IF(MIN(E104:K104)&gt;=1.25,"PASS","FAIL")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$D$65*E72/1000000</f>
        <v/>
      </c>
      <c r="F76" s="18">
        <f>$D$65*F72/1000000</f>
        <v/>
      </c>
      <c r="G76" s="18">
        <f>$D$65*G72/1000000</f>
        <v/>
      </c>
      <c r="H76" s="18">
        <f>$D$65*H72/1000000</f>
        <v/>
      </c>
      <c r="I76" s="18">
        <f>$D$65*I72/1000000</f>
        <v/>
      </c>
      <c r="J76" s="18">
        <f>$D$65*J72/1000000</f>
        <v/>
      </c>
      <c r="K76" s="18">
        <f>$D$65*K72/1000000</f>
        <v/>
      </c>
      <c r="L76" s="18">
        <f>$D$65*L72/1000000</f>
        <v/>
      </c>
      <c r="M76" s="18">
        <f>$D$65*M72/1000000</f>
        <v/>
      </c>
      <c r="N76" s="18">
        <f>$D$65*N72/1000000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$D$34*E73*1000/1000000</f>
        <v/>
      </c>
      <c r="F77" s="18">
        <f>$D$34*F73*1000/1000000</f>
        <v/>
      </c>
      <c r="G77" s="18">
        <f>$D$34*G73*1000/1000000</f>
        <v/>
      </c>
      <c r="H77" s="18">
        <f>$D$34*H73*1000/1000000</f>
        <v/>
      </c>
      <c r="I77" s="18">
        <f>$D$34*I73*1000/1000000</f>
        <v/>
      </c>
      <c r="J77" s="18">
        <f>$D$34*J73*1000/1000000</f>
        <v/>
      </c>
      <c r="K77" s="18">
        <f>$D$34*K73*1000/1000000</f>
        <v/>
      </c>
      <c r="L77" s="18">
        <f>$D$34*L73*1000/1000000</f>
        <v/>
      </c>
      <c r="M77" s="18">
        <f>$D$34*M73*1000/1000000</f>
        <v/>
      </c>
      <c r="N77" s="18">
        <f>$D$34*N73*1000/1000000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E76+E77</f>
        <v/>
      </c>
      <c r="F78" s="20">
        <f>F76+F77</f>
        <v/>
      </c>
      <c r="G78" s="20">
        <f>G76+G77</f>
        <v/>
      </c>
      <c r="H78" s="20">
        <f>H76+H77</f>
        <v/>
      </c>
      <c r="I78" s="20">
        <f>I76+I77</f>
        <v/>
      </c>
      <c r="J78" s="20">
        <f>J76+J77</f>
        <v/>
      </c>
      <c r="K78" s="20">
        <f>K76+K77</f>
        <v/>
      </c>
      <c r="L78" s="20">
        <f>L76+L77</f>
        <v/>
      </c>
      <c r="M78" s="20">
        <f>M76+M77</f>
        <v/>
      </c>
      <c r="N78" s="20">
        <f>N76+N77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$D$65*$D$35*E74/1000000000</f>
        <v/>
      </c>
      <c r="F80" s="18">
        <f>$D$65*$D$35*F74/1000000000</f>
        <v/>
      </c>
      <c r="G80" s="18">
        <f>$D$65*$D$35*G74/1000000000</f>
        <v/>
      </c>
      <c r="H80" s="18">
        <f>$D$65*$D$35*H74/1000000000</f>
        <v/>
      </c>
      <c r="I80" s="18">
        <f>$D$65*$D$35*I74/1000000000</f>
        <v/>
      </c>
      <c r="J80" s="18">
        <f>$D$65*$D$35*J74/1000000000</f>
        <v/>
      </c>
      <c r="K80" s="18">
        <f>$D$65*$D$35*K74/1000000000</f>
        <v/>
      </c>
      <c r="L80" s="18">
        <f>$D$65*$D$35*L74/1000000000</f>
        <v/>
      </c>
      <c r="M80" s="18">
        <f>$D$65*$D$35*M74/1000000000</f>
        <v/>
      </c>
      <c r="N80" s="18">
        <f>$D$65*$D$35*N74/1000000000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2">
        <f>E72-($D$35/1000)*E74</f>
        <v/>
      </c>
      <c r="F81" s="52">
        <f>F72-($D$35/1000)*F74</f>
        <v/>
      </c>
      <c r="G81" s="52">
        <f>G72-($D$35/1000)*G74</f>
        <v/>
      </c>
      <c r="H81" s="52">
        <f>H72-($D$35/1000)*H74</f>
        <v/>
      </c>
      <c r="I81" s="52">
        <f>I72-($D$35/1000)*I74</f>
        <v/>
      </c>
      <c r="J81" s="52">
        <f>J72-($D$35/1000)*J74</f>
        <v/>
      </c>
      <c r="K81" s="52">
        <f>K72-($D$35/1000)*K74</f>
        <v/>
      </c>
      <c r="L81" s="52">
        <f>L72-($D$35/1000)*L74</f>
        <v/>
      </c>
      <c r="M81" s="52">
        <f>M72-($D$35/1000)*M74</f>
        <v/>
      </c>
      <c r="N81" s="52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$D$65*$D$46/1000000</f>
        <v/>
      </c>
      <c r="F82" s="18">
        <f>$D$65*$D$46/1000000</f>
        <v/>
      </c>
      <c r="G82" s="18">
        <f>$D$65*$D$46/1000000</f>
        <v/>
      </c>
      <c r="H82" s="18">
        <f>$D$65*$D$46/1000000</f>
        <v/>
      </c>
      <c r="I82" s="18">
        <f>$D$65*$D$46/1000000</f>
        <v/>
      </c>
      <c r="J82" s="18">
        <f>$D$65*$D$46/1000000</f>
        <v/>
      </c>
      <c r="K82" s="18">
        <f>$D$65*$D$46/1000000</f>
        <v/>
      </c>
      <c r="L82" s="18">
        <f>$D$65*$D$46/1000000</f>
        <v/>
      </c>
      <c r="M82" s="18">
        <f>$D$65*$D$46/1000000</f>
        <v/>
      </c>
      <c r="N82" s="18">
        <f>$D$65*$D$46/1000000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$D$34*$D$47*1000/1000000</f>
        <v/>
      </c>
      <c r="F83" s="18">
        <f>$D$34*$D$47*1000/1000000</f>
        <v/>
      </c>
      <c r="G83" s="18">
        <f>$D$34*$D$47*1000/1000000</f>
        <v/>
      </c>
      <c r="H83" s="18">
        <f>$D$34*$D$47*1000/1000000</f>
        <v/>
      </c>
      <c r="I83" s="18">
        <f>$D$34*$D$47*1000/1000000</f>
        <v/>
      </c>
      <c r="J83" s="18">
        <f>$D$34*$D$47*1000/1000000</f>
        <v/>
      </c>
      <c r="K83" s="18">
        <f>$D$34*$D$47*1000/1000000</f>
        <v/>
      </c>
      <c r="L83" s="18">
        <f>$D$34*$D$47*1000/1000000</f>
        <v/>
      </c>
      <c r="M83" s="18">
        <f>$D$34*$D$47*1000/1000000</f>
        <v/>
      </c>
      <c r="N83" s="18">
        <f>$D$34*$D$47*1000/1000000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E80+E82+E83</f>
        <v/>
      </c>
      <c r="F84" s="18">
        <f>F80+F82+F83</f>
        <v/>
      </c>
      <c r="G84" s="18">
        <f>G80+G82+G83</f>
        <v/>
      </c>
      <c r="H84" s="18">
        <f>H80+H82+H83</f>
        <v/>
      </c>
      <c r="I84" s="18">
        <f>I80+I82+I83</f>
        <v/>
      </c>
      <c r="J84" s="18">
        <f>J80+J82+J83</f>
        <v/>
      </c>
      <c r="K84" s="18">
        <f>K80+K82+K83</f>
        <v/>
      </c>
      <c r="L84" s="18">
        <f>L80+L82+L83</f>
        <v/>
      </c>
      <c r="M84" s="18">
        <f>M80+M82+M83</f>
        <v/>
      </c>
      <c r="N84" s="18">
        <f>N80+N82+N83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E78-E84</f>
        <v/>
      </c>
      <c r="F86" s="7">
        <f>F78-F84</f>
        <v/>
      </c>
      <c r="G86" s="7">
        <f>G78-G84</f>
        <v/>
      </c>
      <c r="H86" s="7">
        <f>H78-H84</f>
        <v/>
      </c>
      <c r="I86" s="7">
        <f>I78-I84</f>
        <v/>
      </c>
      <c r="J86" s="7">
        <f>J78-J84</f>
        <v/>
      </c>
      <c r="K86" s="7">
        <f>K78-K84</f>
        <v/>
      </c>
      <c r="L86" s="7">
        <f>L78-L84</f>
        <v/>
      </c>
      <c r="M86" s="7">
        <f>M78-M84</f>
        <v/>
      </c>
      <c r="N86" s="7">
        <f>N78-N84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MAX(0,E90)*$D$58</f>
        <v/>
      </c>
      <c r="F91" s="18">
        <f>MAX(0,F90)*$D$58</f>
        <v/>
      </c>
      <c r="G91" s="18">
        <f>MAX(0,G90)*$D$58</f>
        <v/>
      </c>
      <c r="H91" s="18">
        <f>MAX(0,H90)*$D$58</f>
        <v/>
      </c>
      <c r="I91" s="18">
        <f>MAX(0,I90)*$D$58</f>
        <v/>
      </c>
      <c r="J91" s="18">
        <f>MAX(0,J90)*$D$58</f>
        <v/>
      </c>
      <c r="K91" s="18">
        <f>MAX(0,K90)*$D$58</f>
        <v/>
      </c>
      <c r="L91" s="18">
        <f>MAX(0,L90)*$D$58</f>
        <v/>
      </c>
      <c r="M91" s="18">
        <f>MAX(0,M90)*$D$58</f>
        <v/>
      </c>
      <c r="N91" s="18">
        <f>MAX(0,N90)*$D$58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E86-E91</f>
        <v/>
      </c>
      <c r="F92" s="7">
        <f>F86-F91</f>
        <v/>
      </c>
      <c r="G92" s="7">
        <f>G86-G91</f>
        <v/>
      </c>
      <c r="H92" s="7">
        <f>H86-H91</f>
        <v/>
      </c>
      <c r="I92" s="7">
        <f>I86-I91</f>
        <v/>
      </c>
      <c r="J92" s="7">
        <f>J86-J91</f>
        <v/>
      </c>
      <c r="K92" s="7">
        <f>K86-K91</f>
        <v/>
      </c>
      <c r="L92" s="7">
        <f>L86-L91</f>
        <v/>
      </c>
      <c r="M92" s="7">
        <f>M86-M91</f>
        <v/>
      </c>
      <c r="N92" s="7">
        <f>N86-N91</f>
        <v/>
      </c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D96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E96*$D$51</f>
        <v/>
      </c>
      <c r="F97" s="18">
        <f>F96*$D$51</f>
        <v/>
      </c>
      <c r="G97" s="18">
        <f>G96*$D$51</f>
        <v/>
      </c>
      <c r="H97" s="18">
        <f>H96*$D$51</f>
        <v/>
      </c>
      <c r="I97" s="18">
        <f>I96*$D$51</f>
        <v/>
      </c>
      <c r="J97" s="18">
        <f>J96*$D$51</f>
        <v/>
      </c>
      <c r="K97" s="18">
        <f>K96*$D$51</f>
        <v/>
      </c>
      <c r="L97" s="18">
        <f>L96*$D$51</f>
        <v/>
      </c>
      <c r="M97" s="18">
        <f>M96*$D$51</f>
        <v/>
      </c>
      <c r="N97" s="18">
        <f>N96*$D$51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MIN($D$68,E96)</f>
        <v/>
      </c>
      <c r="F98" s="18">
        <f>MIN($D$68,F96)</f>
        <v/>
      </c>
      <c r="G98" s="18">
        <f>MIN($D$68,G96)</f>
        <v/>
      </c>
      <c r="H98" s="18">
        <f>MIN($D$68,H96)</f>
        <v/>
      </c>
      <c r="I98" s="18">
        <f>MIN($D$68,I96)</f>
        <v/>
      </c>
      <c r="J98" s="18">
        <f>MIN($D$68,J96)</f>
        <v/>
      </c>
      <c r="K98" s="18">
        <f>MIN($D$68,K96)</f>
        <v/>
      </c>
      <c r="L98" s="18">
        <f>MIN($D$68,L96)</f>
        <v/>
      </c>
      <c r="M98" s="18">
        <f>MIN($D$68,M96)</f>
        <v/>
      </c>
      <c r="N98" s="18">
        <f>MIN($D$68,N96)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MIN(E100*$D$54,MAX(0,E96-E98))</f>
        <v/>
      </c>
      <c r="F101" s="21">
        <f>MIN(F100*$D$54,MAX(0,F96-F98))</f>
        <v/>
      </c>
      <c r="G101" s="21">
        <f>MIN(G100*$D$54,MAX(0,G96-G98))</f>
        <v/>
      </c>
      <c r="H101" s="21">
        <f>MIN(H100*$D$54,MAX(0,H96-H98))</f>
        <v/>
      </c>
      <c r="I101" s="21">
        <f>MIN(I100*$D$54,MAX(0,I96-I98))</f>
        <v/>
      </c>
      <c r="J101" s="21">
        <f>MIN(J100*$D$54,MAX(0,J96-J98))</f>
        <v/>
      </c>
      <c r="K101" s="21">
        <f>MIN(K100*$D$54,MAX(0,K96-K98))</f>
        <v/>
      </c>
      <c r="L101" s="21">
        <f>MIN(L100*$D$54,MAX(0,L96-L98))</f>
        <v/>
      </c>
      <c r="M101" s="21">
        <f>MIN(M100*$D$54,MAX(0,M96-M98))</f>
        <v/>
      </c>
      <c r="N101" s="21">
        <f>MIN(N100*$D$54,MAX(0,N96-N98))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E98+E101</f>
        <v/>
      </c>
      <c r="F102" s="18">
        <f>F98+F101</f>
        <v/>
      </c>
      <c r="G102" s="18">
        <f>G98+G101</f>
        <v/>
      </c>
      <c r="H102" s="18">
        <f>H98+H101</f>
        <v/>
      </c>
      <c r="I102" s="18">
        <f>I98+I101</f>
        <v/>
      </c>
      <c r="J102" s="18">
        <f>J98+J101</f>
        <v/>
      </c>
      <c r="K102" s="18">
        <f>K98+K101</f>
        <v/>
      </c>
      <c r="L102" s="18">
        <f>L98+L101</f>
        <v/>
      </c>
      <c r="M102" s="18">
        <f>M98+M101</f>
        <v/>
      </c>
      <c r="N102" s="18">
        <f>N98+N101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18">
        <f>MAX(0,E96-E102)</f>
        <v/>
      </c>
      <c r="F103" s="18">
        <f>MAX(0,F96-F102)</f>
        <v/>
      </c>
      <c r="G103" s="18">
        <f>MAX(0,G96-G102)</f>
        <v/>
      </c>
      <c r="H103" s="18">
        <f>MAX(0,H96-H102)</f>
        <v/>
      </c>
      <c r="I103" s="18">
        <f>MAX(0,I96-I102)</f>
        <v/>
      </c>
      <c r="J103" s="18">
        <f>MAX(0,J96-J102)</f>
        <v/>
      </c>
      <c r="K103" s="18">
        <f>MAX(0,K96-K102)</f>
        <v/>
      </c>
      <c r="L103" s="18">
        <f>MAX(0,L96-L102)</f>
        <v/>
      </c>
      <c r="M103" s="18">
        <f>MAX(0,M96-M102)</f>
        <v/>
      </c>
      <c r="N103" s="18">
        <f>MAX(0,N96-N102)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IF(E99&gt;0,E92/E99,0)</f>
        <v/>
      </c>
      <c r="F104" s="24">
        <f>IF(F99&gt;0,F92/F99,0)</f>
        <v/>
      </c>
      <c r="G104" s="24">
        <f>IF(G99&gt;0,G92/G99,0)</f>
        <v/>
      </c>
      <c r="H104" s="24">
        <f>IF(H99&gt;0,H92/H99,0)</f>
        <v/>
      </c>
      <c r="I104" s="24">
        <f>IF(I99&gt;0,I92/I99,0)</f>
        <v/>
      </c>
      <c r="J104" s="24">
        <f>IF(J99&gt;0,J92/J99,0)</f>
        <v/>
      </c>
      <c r="K104" s="24">
        <f>IF(K99&gt;0,K92/K99,0)</f>
        <v/>
      </c>
      <c r="L104" s="24">
        <f>IF(L99&gt;0,L92/L99,0)</f>
        <v/>
      </c>
      <c r="M104" s="24">
        <f>IF(M99&gt;0,M92/M99,0)</f>
        <v/>
      </c>
      <c r="N104" s="24">
        <f>IF(N99&gt;0,N92/N99,0)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E106">
        <f>MAX(0,$D$66-(1-1)*$D$68)*$D$51+$D$68</f>
        <v/>
      </c>
      <c r="F106">
        <f>MAX(0,$D$66-(2-1)*$D$68)*$D$51+$D$68</f>
        <v/>
      </c>
      <c r="G106">
        <f>MAX(0,$D$66-(3-1)*$D$68)*$D$51+$D$68</f>
        <v/>
      </c>
      <c r="H106">
        <f>MAX(0,$D$66-(4-1)*$D$68)*$D$51+$D$68</f>
        <v/>
      </c>
      <c r="I106">
        <f>MAX(0,$D$66-(5-1)*$D$68)*$D$51+$D$68</f>
        <v/>
      </c>
      <c r="J106">
        <f>MAX(0,$D$66-(6-1)*$D$68)*$D$51+$D$68</f>
        <v/>
      </c>
      <c r="K106">
        <f>MAX(0,$D$66-(7-1)*$D$68)*$D$51+$D$68</f>
        <v/>
      </c>
      <c r="L106">
        <f>MAX(0,$D$66-(8-1)*$D$68)*$D$51+$D$68</f>
        <v/>
      </c>
      <c r="M106">
        <f>MAX(0,$D$66-(9-1)*$D$68)*$D$51+$D$68</f>
        <v/>
      </c>
      <c r="N106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E109+E110</f>
        <v/>
      </c>
      <c r="F111" s="18">
        <f>F109+F110</f>
        <v/>
      </c>
      <c r="G111" s="18">
        <f>G109+G110</f>
        <v/>
      </c>
      <c r="H111" s="18">
        <f>H109+H110</f>
        <v/>
      </c>
      <c r="I111" s="18">
        <f>I109+I110</f>
        <v/>
      </c>
      <c r="J111" s="18">
        <f>J109+J110</f>
        <v/>
      </c>
      <c r="K111" s="18">
        <f>K109+K110</f>
        <v/>
      </c>
      <c r="L111" s="18">
        <f>L109+L110</f>
        <v/>
      </c>
      <c r="M111" s="18">
        <f>M109+M110</f>
        <v/>
      </c>
      <c r="N111" s="18">
        <f>N109+N110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IF(E116="PASS",MAX(0,E115),0)</f>
        <v/>
      </c>
      <c r="F117" s="7">
        <f>IF(F116="PASS",MAX(0,F115),0)</f>
        <v/>
      </c>
      <c r="G117" s="7">
        <f>IF(G116="PASS",MAX(0,G115),0)</f>
        <v/>
      </c>
      <c r="H117" s="7">
        <f>IF(H116="PASS",MAX(0,H115),0)</f>
        <v/>
      </c>
      <c r="I117" s="7">
        <f>IF(I116="PASS",MAX(0,I115),0)</f>
        <v/>
      </c>
      <c r="J117" s="7">
        <f>IF(J116="PASS",MAX(0,J115),0)</f>
        <v/>
      </c>
      <c r="K117" s="7">
        <f>IF(K116="PASS",MAX(0,K115),0)</f>
        <v/>
      </c>
      <c r="L117" s="7">
        <f>IF(L116="PASS",MAX(0,L115),0)</f>
        <v/>
      </c>
      <c r="M117" s="7">
        <f>IF(M116="PASS",MAX(0,M115),0)</f>
        <v/>
      </c>
      <c r="N117" s="7">
        <f>IF(N116="PASS",MAX(0,N115),0)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D122+D123+D124</f>
        <v/>
      </c>
    </row>
    <row r="126">
      <c r="D126">
        <f>$D$28*$D$29</f>
        <v/>
      </c>
    </row>
    <row r="127">
      <c r="A127" s="23" t="inlineStr">
        <is>
          <t>SOURCES</t>
        </is>
      </c>
      <c r="B127" s="6" t="inlineStr"/>
      <c r="C127" s="6" t="inlineStr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D128+D129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$D$28*$D$50</f>
        <v/>
      </c>
    </row>
    <row r="132">
      <c r="D132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>
        <f>D128-D133</f>
        <v/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D139">
        <f>K86</f>
        <v/>
      </c>
    </row>
    <row r="140">
      <c r="A140" s="3" t="inlineStr">
        <is>
          <t>EQUITY RETURNS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K103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K111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D140-D141+D142</f>
        <v/>
      </c>
    </row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IRR(D146:N146)</f>
        <v/>
      </c>
    </row>
    <row r="148">
      <c r="D148" s="55">
        <f>(SUM(E146:K146))/-D146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2">
        <f>E71-($D$34/1000)*E73</f>
        <v/>
      </c>
      <c r="F81" s="52">
        <f>F71-($D$34/1000)*F73</f>
        <v/>
      </c>
      <c r="G81" s="52">
        <f>G71-($D$34/1000)*G73</f>
        <v/>
      </c>
      <c r="H81" s="52">
        <f>H71-($D$34/1000)*H73</f>
        <v/>
      </c>
      <c r="I81" s="52">
        <f>I71-($D$34/1000)*I73</f>
        <v/>
      </c>
      <c r="J81" s="52">
        <f>J71-($D$34/1000)*J73</f>
        <v/>
      </c>
      <c r="K81" s="52">
        <f>K71-($D$34/1000)*K73</f>
        <v/>
      </c>
      <c r="L81" s="52">
        <f>L71-($D$34/1000)*L73</f>
        <v/>
      </c>
      <c r="M81" s="52">
        <f>M71-($D$34/1000)*M73</f>
        <v/>
      </c>
      <c r="N81" s="52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IF(E87&gt;0,E80/E87,0)</f>
        <v/>
      </c>
      <c r="F104" s="24">
        <f>IF(F87&gt;0,F80/F87,0)</f>
        <v/>
      </c>
      <c r="G104" s="24">
        <f>IF(G87&gt;0,G80/G87,0)</f>
        <v/>
      </c>
      <c r="H104" s="24">
        <f>IF(H87&gt;0,H80/H87,0)</f>
        <v/>
      </c>
      <c r="I104" s="24">
        <f>IF(I87&gt;0,I80/I87,0)</f>
        <v/>
      </c>
      <c r="J104" s="24">
        <f>IF(J87&gt;0,J80/J87,0)</f>
        <v/>
      </c>
      <c r="K104" s="24">
        <f>IF(K87&gt;0,K80/K87,0)</f>
        <v/>
      </c>
      <c r="L104" s="24">
        <f>IF(L87&gt;0,L80/L87,0)</f>
        <v/>
      </c>
      <c r="M104" s="24">
        <f>IF(M87&gt;0,M80/M87,0)</f>
        <v/>
      </c>
      <c r="N104" s="24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SUMIF(D129:K129,"&gt;0")/ABS(D129)</f>
        <v/>
      </c>
    </row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2026-01-21T00:51:58Z</dcterms:modified>
</cp:coreProperties>
</file>