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40" authorId="0" shapeId="0">
      <text>
        <t>Debt Service Coverage Ratio. Key lender metric. Target: 1.25-1.40x.</t>
      </text>
    </comment>
    <comment ref="C41" authorId="0" shapeId="0">
      <text>
        <t>Debt Service Coverage Ratio. Key lender metric. Target: 1.25-1.40x.</t>
      </text>
    </comment>
    <comment ref="C70" authorId="0" shapeId="0">
      <text>
        <t>Cash earnings before financing. What is available to service debt and pay equity.</t>
      </text>
    </comment>
    <comment ref="C76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88" authorId="0" shapeId="0">
      <text>
        <t>Reserve sized to cover NEXT years debt service. Uses SCHEDULED DS to avoid circular reference.</t>
      </text>
    </comment>
    <comment ref="C124" authorId="0" shapeId="0">
      <text>
        <t>Return to equity after debt service. Should exceed cost of equity (12-15% for infra).</t>
      </text>
    </comment>
    <comment ref="C125" authorId="0" shapeId="0">
      <text>
        <t>Multiple on Invested Capital. Cash-on-cash return. 2.0x = doubled money.</t>
      </text>
    </comment>
    <comment ref="C12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Transmission - INTUITION MAP</t>
        </is>
      </c>
    </row>
    <row r="3">
      <c r="A3" s="27" t="inlineStr">
        <is>
          <t>WHAT THIS MODEL DOES</t>
        </is>
      </c>
    </row>
    <row r="4">
      <c r="A4" t="inlineStr">
        <is>
          <t>Regulated transmission - FERC ROE on rate base.</t>
        </is>
      </c>
    </row>
    <row r="6">
      <c r="A6" s="27" t="inlineStr">
        <is>
          <t>KEY VALUE DRIVERS</t>
        </is>
      </c>
    </row>
    <row r="7">
      <c r="A7" t="inlineStr">
        <is>
          <t>1. FERC ROE</t>
        </is>
      </c>
    </row>
    <row r="8">
      <c r="A8" t="inlineStr">
        <is>
          <t>2. Rate Base</t>
        </is>
      </c>
    </row>
    <row r="9">
      <c r="A9" t="inlineStr">
        <is>
          <t>3. Construction Timing</t>
        </is>
      </c>
    </row>
    <row r="11">
      <c r="A11" s="27" t="inlineStr">
        <is>
          <t>DEBT STRUCTURE RATIONALE</t>
        </is>
      </c>
    </row>
    <row r="12">
      <c r="A12" t="inlineStr">
        <is>
          <t>Sculpted 1.40x - regulated returns.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>
        <is>
          <t>CFADS / Debt Service</t>
        </is>
      </c>
      <c r="D6" s="19">
        <f>IF(COUNTIF(G85:N85,"&gt;0")&gt;0,MINIFS(G85:N85,G85:N85,"&gt;0"),0)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0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19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0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>
        <is>
          <t>CFADS / Debt Service</t>
        </is>
      </c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1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1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1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1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1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1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2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2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2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1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>
        <is>
          <t>Revenue minus OpEx</t>
        </is>
      </c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19">
        <f>IF(E83&gt;0,E76/E83,0)</f>
        <v/>
      </c>
      <c r="F85" s="19">
        <f>IF(F83&gt;0,F76/F83,0)</f>
        <v/>
      </c>
      <c r="G85" s="19">
        <f>IF(G83&gt;0,G76/G83,0)</f>
        <v/>
      </c>
      <c r="H85" s="19">
        <f>IF(H83&gt;0,H76/H83,0)</f>
        <v/>
      </c>
      <c r="I85" s="19">
        <f>IF(I83&gt;0,I76/I83,0)</f>
        <v/>
      </c>
      <c r="J85" s="19">
        <f>IF(J83&gt;0,J76/J83,0)</f>
        <v/>
      </c>
      <c r="K85" s="19">
        <f>IF(K83&gt;0,K76/K83,0)</f>
        <v/>
      </c>
      <c r="L85" s="19">
        <f>IF(L83&gt;0,L76/L83,0)</f>
        <v/>
      </c>
      <c r="M85" s="19">
        <f>IF(M83&gt;0,M76/M83,0)</f>
        <v/>
      </c>
      <c r="N85" s="19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>
        <is>
          <t>IRR of Equity CFs</t>
        </is>
      </c>
      <c r="D124" s="20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19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>
        <is>
          <t>IRR of Equity CFs</t>
        </is>
      </c>
      <c r="D129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2026-01-20T04:30:33Z</dcterms:modified>
</cp:coreProperties>
</file>