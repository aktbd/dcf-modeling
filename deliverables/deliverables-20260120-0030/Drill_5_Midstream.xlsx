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6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7" t="inlineStr">
        <is>
          <t>Intuition Guide - 5_Midstream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32" t="inlineStr">
        <is>
          <t>--- SITUATION ---</t>
        </is>
      </c>
    </row>
    <row r="15">
      <c r="A15" s="35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5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5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5" t="inlineStr">
        <is>
          <t>The seller (PE fund approaching end of fund life) is asking $85mm with
bids due by February 10, 2026.</t>
        </is>
      </c>
    </row>
    <row r="23">
      <c r="A23" s="32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32" t="inlineStr">
        <is>
          <t>--- STEP-BY-STEP MODEL BUILDING GUIDE ---</t>
        </is>
      </c>
    </row>
    <row r="30">
      <c r="A30" s="35" t="inlineStr">
        <is>
          <t>STEP-BY-STEP MODEL BUILDING GUIDE FOR MIDSTREAM</t>
        </is>
      </c>
    </row>
    <row r="31">
      <c r="A31" s="35" t="inlineStr"/>
    </row>
    <row r="32">
      <c r="A32" s="35" t="inlineStr">
        <is>
          <t>KEY DIFFERENCES:</t>
        </is>
      </c>
    </row>
    <row r="33">
      <c r="A33" s="35" t="inlineStr">
        <is>
          <t>- Volume-based revenue (not capacity x price)</t>
        </is>
      </c>
    </row>
    <row r="34">
      <c r="A34" s="35" t="inlineStr">
        <is>
          <t>- Producer counterparty credit risk</t>
        </is>
      </c>
    </row>
    <row r="35">
      <c r="A35" s="35" t="inlineStr">
        <is>
          <t>- Volume decline curves for existing wells</t>
        </is>
      </c>
    </row>
    <row r="36">
      <c r="A36" s="35" t="inlineStr">
        <is>
          <t>- Recontracting risk at contract expiry</t>
        </is>
      </c>
    </row>
    <row r="37">
      <c r="A37" s="35" t="inlineStr">
        <is>
          <t>- Gathering fee is $/Mcf</t>
        </is>
      </c>
    </row>
    <row r="38">
      <c r="A38" s="35" t="inlineStr"/>
    </row>
    <row r="39">
      <c r="A39" s="35" t="inlineStr">
        <is>
          <t>1. SET UP INPUTS</t>
        </is>
      </c>
    </row>
    <row r="40">
      <c r="A40" s="35" t="inlineStr">
        <is>
          <t xml:space="preserve">   - Y1 Volume: 80 MMcf/d (current throughput)</t>
        </is>
      </c>
    </row>
    <row r="41">
      <c r="A41" s="35" t="inlineStr">
        <is>
          <t xml:space="preserve">   - Gathering Fee: $0.55/Mcf</t>
        </is>
      </c>
    </row>
    <row r="42">
      <c r="A42" s="35" t="inlineStr">
        <is>
          <t xml:space="preserve">   - Growth Rate Y1-5: 3%/year</t>
        </is>
      </c>
    </row>
    <row r="43">
      <c r="A43" s="35" t="inlineStr">
        <is>
          <t xml:space="preserve">   - Decline Rate Y6-10: 5%/year</t>
        </is>
      </c>
    </row>
    <row r="44">
      <c r="A44" s="35" t="inlineStr">
        <is>
          <t xml:space="preserve">   - O&amp;M: $3.5mm/year base</t>
        </is>
      </c>
    </row>
    <row r="45">
      <c r="A45" s="35" t="inlineStr"/>
    </row>
    <row r="46">
      <c r="A46" s="35" t="inlineStr">
        <is>
          <t>2. BUILD VOLUME TRAJECTORY</t>
        </is>
      </c>
    </row>
    <row r="47">
      <c r="A47" s="35" t="inlineStr">
        <is>
          <t xml:space="preserve">   Daily Volume Y1 = 80 MMcf/d</t>
        </is>
      </c>
    </row>
    <row r="48">
      <c r="A48" s="35" t="inlineStr">
        <is>
          <t xml:space="preserve">   Daily Volume Yn = Y(n-1) x (1 + Growth/Decline Rate)</t>
        </is>
      </c>
    </row>
    <row r="49">
      <c r="A49" s="35" t="inlineStr">
        <is>
          <t xml:space="preserve">   Annual Volume (Bcf) = Daily Volume x 365 / 1000</t>
        </is>
      </c>
    </row>
    <row r="50">
      <c r="A50" s="35" t="inlineStr"/>
    </row>
    <row r="51">
      <c r="A51" s="35" t="inlineStr">
        <is>
          <t>3. BUILD REVENUE</t>
        </is>
      </c>
    </row>
    <row r="52">
      <c r="A52" s="35" t="inlineStr">
        <is>
          <t xml:space="preserve">   Revenue ($mm) = Annual Volume (Bcf) x Fee ($/Mcf)</t>
        </is>
      </c>
    </row>
    <row r="53">
      <c r="A53" s="35" t="inlineStr"/>
    </row>
    <row r="54">
      <c r="A54" s="35" t="inlineStr">
        <is>
          <t xml:space="preserve">   Why this works:</t>
        </is>
      </c>
    </row>
    <row r="55">
      <c r="A55" s="35" t="inlineStr">
        <is>
          <t xml:space="preserve">   - 1 Bcf = 1,000,000 Mcf</t>
        </is>
      </c>
    </row>
    <row r="56">
      <c r="A56" s="35" t="inlineStr">
        <is>
          <t xml:space="preserve">   - Revenue ($) = Bcf x 1,000,000 x $/Mcf</t>
        </is>
      </c>
    </row>
    <row r="57">
      <c r="A57" s="35" t="inlineStr">
        <is>
          <t xml:space="preserve">   - Revenue ($mm) = Revenue ($) / 1,000,000</t>
        </is>
      </c>
    </row>
    <row r="58">
      <c r="A58" s="35" t="inlineStr">
        <is>
          <t xml:space="preserve">   - Therefore: Revenue ($mm) = Bcf x $/Mcf (factors cancel)</t>
        </is>
      </c>
    </row>
    <row r="59">
      <c r="A59" s="35" t="inlineStr"/>
    </row>
    <row r="60">
      <c r="A60" s="35" t="inlineStr">
        <is>
          <t xml:space="preserve">   NO *1000 multiplier needed!</t>
        </is>
      </c>
    </row>
    <row r="61">
      <c r="A61" s="35" t="inlineStr"/>
    </row>
    <row r="62">
      <c r="A62" s="35" t="inlineStr">
        <is>
          <t xml:space="preserve">   Sanity Check: 29 Bcf x $0.55/Mcf = ~$16mm revenue</t>
        </is>
      </c>
    </row>
    <row r="63">
      <c r="A63" s="35" t="inlineStr">
        <is>
          <t xml:space="preserve">   This is reasonable for $85mm EV (5x EV/Revenue)</t>
        </is>
      </c>
    </row>
    <row r="64">
      <c r="A64" s="35" t="inlineStr"/>
    </row>
    <row r="65">
      <c r="A65" s="35" t="inlineStr">
        <is>
          <t>4. BUILD CFADS</t>
        </is>
      </c>
    </row>
    <row r="66">
      <c r="A66" s="35" t="inlineStr">
        <is>
          <t xml:space="preserve">   CFADS = Revenue - O&amp;M - Taxes - Growth Capex</t>
        </is>
      </c>
    </row>
    <row r="67">
      <c r="A67" s="35" t="inlineStr">
        <is>
          <t xml:space="preserve">   Growth capex (wellhead connections) is BEFORE CFADS for midstream</t>
        </is>
      </c>
    </row>
    <row r="68">
      <c r="A68" s="35" t="inlineStr"/>
    </row>
    <row r="69">
      <c r="A69" s="35" t="inlineStr">
        <is>
          <t>5. DEBT STRUCTURE</t>
        </is>
      </c>
    </row>
    <row r="70">
      <c r="A70" s="35" t="inlineStr">
        <is>
          <t xml:space="preserve">   75% cash sweep (volume uncertainty warrants sweep)</t>
        </is>
      </c>
    </row>
    <row r="71">
      <c r="A71" s="35" t="inlineStr">
        <is>
          <t xml:space="preserve">   Shorter tenor (5 years) due to recontracting risk</t>
        </is>
      </c>
    </row>
    <row r="73">
      <c r="A73" s="32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32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32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32" t="inlineStr">
        <is>
          <t>--- HINTS &amp; PITFALLS ---</t>
        </is>
      </c>
    </row>
    <row r="102">
      <c r="A102" s="33" t="inlineStr">
        <is>
          <t>* Revenue = Bcf x $/Mcf (NO conversion factor - they cancel)</t>
        </is>
      </c>
    </row>
    <row r="103">
      <c r="A103" s="33" t="inlineStr">
        <is>
          <t>* Y1 Revenue of ~$16mm on $85mm EV is ~5.3x, reasonable</t>
        </is>
      </c>
    </row>
    <row r="104">
      <c r="A104" s="33" t="inlineStr">
        <is>
          <t>* Recontracting at Year 5 is THE key risk - show sensitivity</t>
        </is>
      </c>
    </row>
    <row r="105">
      <c r="A105" s="33" t="inlineStr">
        <is>
          <t>* Take-or-pay provides 80% floor on contracted volume</t>
        </is>
      </c>
    </row>
    <row r="107">
      <c r="A107" s="32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6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7" t="inlineStr">
        <is>
          <t>COLD START WORKFLOW (4-Hour Test)</t>
        </is>
      </c>
    </row>
    <row r="116">
      <c r="A116" s="36" t="inlineStr">
        <is>
          <t>Phase 1: Setup (15 min)</t>
        </is>
      </c>
    </row>
    <row r="117">
      <c r="A117" s="38" t="inlineStr">
        <is>
          <t>→ Create workbook, freeze panes at E2</t>
        </is>
      </c>
    </row>
    <row r="118">
      <c r="A118" s="38" t="inlineStr">
        <is>
          <t>→ Set column widths: A=32, B=12, C=38, D-N=14</t>
        </is>
      </c>
    </row>
    <row r="119">
      <c r="A119" s="38" t="inlineStr">
        <is>
          <t>→ Build year headers: Y0 (2025), Y1 (2026), ... Y10 (2035)</t>
        </is>
      </c>
    </row>
    <row r="120">
      <c r="A120" s="38" t="inlineStr">
        <is>
          <t>→ Create section placeholders with ═══ dividers</t>
        </is>
      </c>
    </row>
    <row r="122">
      <c r="A122" s="36" t="inlineStr">
        <is>
          <t>Phase 2: Inputs &amp; S&amp;U (30 min)</t>
        </is>
      </c>
    </row>
    <row r="123">
      <c r="A123" s="38" t="inlineStr">
        <is>
          <t>→ Transaction: Entry EV, Fees %, Exit Multiple, Exit Year</t>
        </is>
      </c>
    </row>
    <row r="124">
      <c r="A124" s="38" t="inlineStr">
        <is>
          <t>→ Asset: Capacity, CF/Dispatch, Prices, Escalation</t>
        </is>
      </c>
    </row>
    <row r="125">
      <c r="A125" s="38" t="inlineStr">
        <is>
          <t>→ Financing: Leverage, Rate, Tenor, DSRA months, Sweep %</t>
        </is>
      </c>
    </row>
    <row r="126">
      <c r="A126" s="38" t="inlineStr">
        <is>
          <t>→ Build Uses first, then Sources (balancing item = equity)</t>
        </is>
      </c>
    </row>
    <row r="128">
      <c r="A128" s="36" t="inlineStr">
        <is>
          <t>Phase 3: Operating Model (45 min)</t>
        </is>
      </c>
    </row>
    <row r="129">
      <c r="A129" s="38" t="inlineStr">
        <is>
          <t>→ Generation = Capacity × CF × 8760 (baseload) OR Capacity × Dispatch × Avail (peaker)</t>
        </is>
      </c>
    </row>
    <row r="130">
      <c r="A130" s="38" t="inlineStr">
        <is>
          <t>→ Revenue = Generation × Price / 1E6  (careful: capacity $/kW needs ×1000)</t>
        </is>
      </c>
    </row>
    <row r="131">
      <c r="A131" s="38" t="inlineStr">
        <is>
          <t>→ Fuel = Gen × HR × Gas / 1E9  (CRITICAL: divide by BILLION)</t>
        </is>
      </c>
    </row>
    <row r="132">
      <c r="A132" s="38" t="inlineStr">
        <is>
          <t>→ EBITDA = Revenue - OpEx</t>
        </is>
      </c>
    </row>
    <row r="133">
      <c r="A133" s="38" t="inlineStr">
        <is>
          <t>→ Taxes = MAX(0, Taxable Income) × Rate  (no negative taxes!)</t>
        </is>
      </c>
    </row>
    <row r="135">
      <c r="A135" s="36" t="inlineStr">
        <is>
          <t>Phase 4: Debt Schedule (45 min)</t>
        </is>
      </c>
    </row>
    <row r="136">
      <c r="A136" s="38" t="inlineStr">
        <is>
          <t>→ Beginning Bal Y1 = Funded Debt; Yn = Prior Ending</t>
        </is>
      </c>
    </row>
    <row r="137">
      <c r="A137" s="38" t="inlineStr">
        <is>
          <t>→ Interest = Beg Bal × Rate</t>
        </is>
      </c>
    </row>
    <row r="138">
      <c r="A138" s="38" t="inlineStr">
        <is>
          <t>→ Principal: Straight-line OR Sculpted OR Sweep</t>
        </is>
      </c>
    </row>
    <row r="139">
      <c r="A139" s="38" t="inlineStr">
        <is>
          <t>→ DSCR = CFADS / Debt Service</t>
        </is>
      </c>
    </row>
    <row r="140">
      <c r="A140" s="38" t="inlineStr">
        <is>
          <t>→ DSRA Target = NEXT year's DS × (months/12)  [TRAP: not current year!]</t>
        </is>
      </c>
    </row>
    <row r="142">
      <c r="A142" s="36" t="inlineStr">
        <is>
          <t>Phase 5: Exit &amp; Returns (30 min)</t>
        </is>
      </c>
    </row>
    <row r="143">
      <c r="A143" s="38" t="inlineStr">
        <is>
          <t>→ Exit EV = Exit EBITDA × Multiple</t>
        </is>
      </c>
    </row>
    <row r="144">
      <c r="A144" s="38" t="inlineStr">
        <is>
          <t>→ Exit Equity = Exit EV - Debt Payoff + DSRA Release</t>
        </is>
      </c>
    </row>
    <row r="145">
      <c r="A145" s="38" t="inlineStr">
        <is>
          <t>→ Equity CF row: Y0 = -Entry Equity, Y1-n = Distributions, Exit Year += Exit Equity</t>
        </is>
      </c>
    </row>
    <row r="146">
      <c r="A146" s="38" t="inlineStr">
        <is>
          <t>→ IRR = IRR(Y0:Y10 equity CFs)</t>
        </is>
      </c>
    </row>
    <row r="147">
      <c r="A147" s="38" t="inlineStr">
        <is>
          <t>→ MOIC = (Distributions + Exit) / Entry Equity</t>
        </is>
      </c>
    </row>
    <row r="149">
      <c r="A149" s="36" t="inlineStr">
        <is>
          <t>Phase 6: QA &amp; Polish (15 min)</t>
        </is>
      </c>
    </row>
    <row r="150">
      <c r="A150" s="38" t="inlineStr">
        <is>
          <t>→ S&amp;U Balance Check = PASS</t>
        </is>
      </c>
    </row>
    <row r="151">
      <c r="A151" s="38" t="inlineStr">
        <is>
          <t>→ Debt Payoff Check = PASS (ending bal &lt; $1mm)</t>
        </is>
      </c>
    </row>
    <row r="152">
      <c r="A152" s="38" t="inlineStr">
        <is>
          <t>→ Min DSCR Check = PASS (≥1.25x merchant, ≥1.30x contracted)</t>
        </is>
      </c>
    </row>
    <row r="153">
      <c r="A153" s="38" t="inlineStr">
        <is>
          <t>→ Sanity: DSCR 1.2-2.5x, IRR 12-25%, Fuel $30-50mm (CCGT)</t>
        </is>
      </c>
    </row>
    <row r="156">
      <c r="A156" s="39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39" t="inlineStr">
        <is>
          <t>DEBT SIZING APPROACHES</t>
        </is>
      </c>
    </row>
    <row r="174">
      <c r="A174" s="36" t="inlineStr">
        <is>
          <t>1. STRAIGHT-LINE (Simplest)</t>
        </is>
      </c>
    </row>
    <row r="175">
      <c r="A175" s="38" t="inlineStr">
        <is>
          <t xml:space="preserve">  Principal = Debt Amount / Tenor</t>
        </is>
      </c>
    </row>
    <row r="176">
      <c r="A176" s="38" t="inlineStr">
        <is>
          <t xml:space="preserve">  Best for: Quick models, Model_Quick, when told 'ignore sweep'</t>
        </is>
      </c>
    </row>
    <row r="177">
      <c r="A177" s="38" t="inlineStr">
        <is>
          <t xml:space="preserve">  Pros: No circularity, fast to build</t>
        </is>
      </c>
    </row>
    <row r="178">
      <c r="A178" s="38" t="inlineStr">
        <is>
          <t xml:space="preserve">  Cons: May not reflect economic reality</t>
        </is>
      </c>
    </row>
    <row r="180">
      <c r="A180" s="36" t="inlineStr">
        <is>
          <t>2. CASH SWEEP (Merchant)</t>
        </is>
      </c>
    </row>
    <row r="181">
      <c r="A181" s="38" t="inlineStr">
        <is>
          <t xml:space="preserve">  Sweep = Excess Cash × Sweep%  (Excess = CFADS - DS - DSRA)</t>
        </is>
      </c>
    </row>
    <row r="182">
      <c r="A182" s="38" t="inlineStr">
        <is>
          <t xml:space="preserve">  Best for: Merchant assets, volatile CFADS</t>
        </is>
      </c>
    </row>
    <row r="183">
      <c r="A183" s="38" t="inlineStr">
        <is>
          <t xml:space="preserve">  Pros: Realistic for bank debt, de-levers faster</t>
        </is>
      </c>
    </row>
    <row r="184">
      <c r="A184" s="38" t="inlineStr">
        <is>
          <t xml:space="preserve">  Cons: Requires DSRA logic, near-circular (use scheduled_ds trick)</t>
        </is>
      </c>
    </row>
    <row r="186">
      <c r="A186" s="36" t="inlineStr">
        <is>
          <t>3. SCULPTED (Contracted)</t>
        </is>
      </c>
    </row>
    <row r="187">
      <c r="A187" s="38" t="inlineStr">
        <is>
          <t xml:space="preserve">  Target DS = CFADS / Target DSCR; Principal = Target DS - Interest</t>
        </is>
      </c>
    </row>
    <row r="188">
      <c r="A188" s="38" t="inlineStr">
        <is>
          <t xml:space="preserve">  Best for: PPAs, regulated assets, predictable CFADS</t>
        </is>
      </c>
    </row>
    <row r="189">
      <c r="A189" s="38" t="inlineStr">
        <is>
          <t xml:space="preserve">  Pros: Maximizes debt capacity, matches CF profile</t>
        </is>
      </c>
    </row>
    <row r="190">
      <c r="A190" s="38" t="inlineStr">
        <is>
          <t xml:space="preserve">  Cons: More complex, requires CFADS forecast first</t>
        </is>
      </c>
    </row>
    <row r="193">
      <c r="A193" s="39" t="inlineStr">
        <is>
          <t>KEY FORMULA CONCEPTS</t>
        </is>
      </c>
    </row>
    <row r="195">
      <c r="A195" s="36" t="inlineStr">
        <is>
          <t>SPARK SPREAD (Thermal Plants)</t>
        </is>
      </c>
    </row>
    <row r="196">
      <c r="A196" s="38" t="inlineStr">
        <is>
          <t xml:space="preserve">  = Power Price ($/MWh) - Fuel Cost per MWh</t>
        </is>
      </c>
    </row>
    <row r="197">
      <c r="A197" s="38" t="inlineStr">
        <is>
          <t xml:space="preserve">  = Power Price - (Heat Rate × Gas Price / 1000)</t>
        </is>
      </c>
    </row>
    <row r="198">
      <c r="A198" s="38" t="inlineStr">
        <is>
          <t xml:space="preserve">  Example: $45/MWh - (7000 Btu/kWh × $3/mmBtu / 1000) = $45 - $21 = $24/MWh</t>
        </is>
      </c>
    </row>
    <row r="199">
      <c r="A199" s="38" t="inlineStr">
        <is>
          <t xml:space="preserve">  Core margin driver for CCGT/Peaker dispatch economics</t>
        </is>
      </c>
    </row>
    <row r="201">
      <c r="A201" s="36" t="inlineStr">
        <is>
          <t>UCAP (Unforced Capacity)</t>
        </is>
      </c>
    </row>
    <row r="202">
      <c r="A202" s="38" t="inlineStr">
        <is>
          <t xml:space="preserve">  = Nameplate Capacity × (1 - Forced Outage Rate)</t>
        </is>
      </c>
    </row>
    <row r="203">
      <c r="A203" s="38" t="inlineStr">
        <is>
          <t xml:space="preserve">  = 365 MW × (1 - 5%) = 346.75 MW</t>
        </is>
      </c>
    </row>
    <row r="204">
      <c r="A204" s="38" t="inlineStr">
        <is>
          <t xml:space="preserve">  Capacity revenue uses UCAP, not nameplate</t>
        </is>
      </c>
    </row>
    <row r="205">
      <c r="A205" s="38" t="inlineStr">
        <is>
          <t xml:space="preserve">  Capacity Price is $/kW-yr, so: UCAP × Price × 1000 / 1E6</t>
        </is>
      </c>
    </row>
    <row r="207">
      <c r="A207" s="36" t="inlineStr">
        <is>
          <t>LLCR / PLCR (Project Finance)</t>
        </is>
      </c>
    </row>
    <row r="208">
      <c r="A208" s="38" t="inlineStr">
        <is>
          <t xml:space="preserve">  LLCR = NPV(CFADS over loan life) / Debt Outstanding</t>
        </is>
      </c>
    </row>
    <row r="209">
      <c r="A209" s="38" t="inlineStr">
        <is>
          <t xml:space="preserve">  PLCR = NPV(CFADS over project life) / Debt Outstanding</t>
        </is>
      </c>
    </row>
    <row r="210">
      <c r="A210" s="38" t="inlineStr">
        <is>
          <t xml:space="preserve">  LLCR ~1.4x+ typical for investment grade</t>
        </is>
      </c>
    </row>
    <row r="211">
      <c r="A211" s="38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2" t="inlineStr">
        <is>
          <t>1. EXECUTIVE SUMMARY</t>
        </is>
      </c>
    </row>
    <row r="4">
      <c r="A4" s="33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2" t="inlineStr">
        <is>
          <t>2. TRANSACTION OVERVIEW</t>
        </is>
      </c>
    </row>
    <row r="7">
      <c r="A7" s="33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2" t="inlineStr">
        <is>
          <t>3. INVESTMENT THESIS</t>
        </is>
      </c>
    </row>
    <row r="10">
      <c r="A10" s="33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2" t="inlineStr">
        <is>
          <t>4. KEY RISKS</t>
        </is>
      </c>
    </row>
    <row r="13">
      <c r="A13" s="33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2" t="inlineStr">
        <is>
          <t>5. MITIGANTS</t>
        </is>
      </c>
    </row>
    <row r="16">
      <c r="A16" s="33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2" t="inlineStr">
        <is>
          <t>6. SENSITIVITIES</t>
        </is>
      </c>
    </row>
    <row r="19">
      <c r="A19" s="33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2" t="inlineStr">
        <is>
          <t>7. RECOMMENDATION</t>
        </is>
      </c>
    </row>
    <row r="22">
      <c r="A22" s="33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0" t="inlineStr">
        <is>
          <t>Model_Quick - Midstream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1">
        <f>D12</f>
        <v/>
      </c>
    </row>
    <row r="6">
      <c r="A6" t="inlineStr">
        <is>
          <t>Debt %</t>
        </is>
      </c>
      <c r="B6" t="inlineStr">
        <is>
          <t>%</t>
        </is>
      </c>
      <c r="D6" s="42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3">
        <f>E41</f>
        <v/>
      </c>
    </row>
    <row r="8">
      <c r="A8" t="inlineStr">
        <is>
          <t>Levered IRR</t>
        </is>
      </c>
      <c r="B8" t="inlineStr">
        <is>
          <t>%</t>
        </is>
      </c>
      <c r="D8" s="42">
        <f>D57</f>
        <v/>
      </c>
    </row>
    <row r="9">
      <c r="A9" t="inlineStr">
        <is>
          <t>MOIC</t>
        </is>
      </c>
      <c r="B9" t="inlineStr">
        <is>
          <t>x</t>
        </is>
      </c>
      <c r="D9" s="44">
        <f>D58</f>
        <v/>
      </c>
    </row>
    <row r="11">
      <c r="A11" s="36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5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5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5" t="n">
        <v>7.5</v>
      </c>
    </row>
    <row r="15">
      <c r="A15" t="inlineStr">
        <is>
          <t>Exit Year</t>
        </is>
      </c>
      <c r="B15" t="inlineStr">
        <is>
          <t>yr</t>
        </is>
      </c>
      <c r="D15" s="45" t="n">
        <v>7</v>
      </c>
    </row>
    <row r="17">
      <c r="A17" s="36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5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5" t="n">
        <v>0.55</v>
      </c>
    </row>
    <row r="20">
      <c r="A20" t="inlineStr">
        <is>
          <t>Y1 EBITDA</t>
        </is>
      </c>
      <c r="B20" t="inlineStr">
        <is>
          <t>$mm</t>
        </is>
      </c>
      <c r="D20" s="45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5" t="n">
        <v>0.02</v>
      </c>
    </row>
    <row r="23">
      <c r="A23" s="36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5" t="n">
        <v>0.65</v>
      </c>
    </row>
    <row r="25">
      <c r="A25" t="inlineStr">
        <is>
          <t>Interest Rate</t>
        </is>
      </c>
      <c r="B25" t="inlineStr">
        <is>
          <t>%</t>
        </is>
      </c>
      <c r="D25" s="45" t="n">
        <v>0.06</v>
      </c>
    </row>
    <row r="26">
      <c r="A26" t="inlineStr">
        <is>
          <t>Debt Tenor</t>
        </is>
      </c>
      <c r="B26" t="inlineStr">
        <is>
          <t>yrs</t>
        </is>
      </c>
      <c r="D26" s="45" t="n">
        <v>7</v>
      </c>
    </row>
    <row r="28">
      <c r="A28" s="36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41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41">
        <f>D35+D36</f>
        <v/>
      </c>
    </row>
    <row r="38">
      <c r="A38" t="inlineStr">
        <is>
          <t>Balance Check</t>
        </is>
      </c>
      <c r="D38" s="41">
        <f>IF(ABS(D32-D37)&lt;0.01,"PASS","FAIL")</f>
        <v/>
      </c>
    </row>
    <row r="40">
      <c r="A40" s="36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3">
        <f>$D$20*(1+$D$21)^(1-1)</f>
        <v/>
      </c>
      <c r="F41" s="43">
        <f>$D$20*(1+$D$21)^(2-1)</f>
        <v/>
      </c>
      <c r="G41" s="43">
        <f>$D$20*(1+$D$21)^(3-1)</f>
        <v/>
      </c>
      <c r="H41" s="43">
        <f>$D$20*(1+$D$21)^(4-1)</f>
        <v/>
      </c>
      <c r="I41" s="43">
        <f>$D$20*(1+$D$21)^(5-1)</f>
        <v/>
      </c>
      <c r="J41" s="43">
        <f>$D$20*(1+$D$21)^(6-1)</f>
        <v/>
      </c>
      <c r="K41" s="43">
        <f>$D$20*(1+$D$21)^(7-1)</f>
        <v/>
      </c>
      <c r="L41" s="43">
        <f>$D$20*(1+$D$21)^(8-1)</f>
        <v/>
      </c>
      <c r="M41" s="43">
        <f>$D$20*(1+$D$21)^(9-1)</f>
        <v/>
      </c>
      <c r="N41" s="43">
        <f>$D$20*(1+$D$21)^(10-1)</f>
        <v/>
      </c>
    </row>
    <row r="43">
      <c r="A43" s="36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6">
        <f>E44*$D$25</f>
        <v/>
      </c>
      <c r="F45" s="46">
        <f>F44*$D$25</f>
        <v/>
      </c>
      <c r="G45" s="46">
        <f>G44*$D$25</f>
        <v/>
      </c>
      <c r="H45" s="46">
        <f>H44*$D$25</f>
        <v/>
      </c>
      <c r="I45" s="46">
        <f>I44*$D$25</f>
        <v/>
      </c>
      <c r="J45" s="46">
        <f>J44*$D$25</f>
        <v/>
      </c>
      <c r="K45" s="46">
        <f>K44*$D$25</f>
        <v/>
      </c>
      <c r="L45" s="46">
        <f>L44*$D$25</f>
        <v/>
      </c>
      <c r="M45" s="46">
        <f>M44*$D$25</f>
        <v/>
      </c>
      <c r="N45" s="46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6">
        <f>MIN($D$35/$D$26,E44)</f>
        <v/>
      </c>
      <c r="F46" s="46">
        <f>MIN($D$35/$D$26,F44)</f>
        <v/>
      </c>
      <c r="G46" s="46">
        <f>MIN($D$35/$D$26,G44)</f>
        <v/>
      </c>
      <c r="H46" s="46">
        <f>MIN($D$35/$D$26,H44)</f>
        <v/>
      </c>
      <c r="I46" s="46">
        <f>MIN($D$35/$D$26,I44)</f>
        <v/>
      </c>
      <c r="J46" s="46">
        <f>MIN($D$35/$D$26,J44)</f>
        <v/>
      </c>
      <c r="K46" s="46">
        <f>MIN($D$35/$D$26,K44)</f>
        <v/>
      </c>
      <c r="L46" s="46">
        <f>MIN($D$35/$D$26,L44)</f>
        <v/>
      </c>
      <c r="M46" s="46">
        <f>MIN($D$35/$D$26,M44)</f>
        <v/>
      </c>
      <c r="N46" s="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6">
        <f>MAX(0,E44-E46)</f>
        <v/>
      </c>
      <c r="F47" s="46">
        <f>MAX(0,F44-F46)</f>
        <v/>
      </c>
      <c r="G47" s="46">
        <f>MAX(0,G44-G46)</f>
        <v/>
      </c>
      <c r="H47" s="46">
        <f>MAX(0,H44-H46)</f>
        <v/>
      </c>
      <c r="I47" s="46">
        <f>MAX(0,I44-I46)</f>
        <v/>
      </c>
      <c r="J47" s="46">
        <f>MAX(0,J44-J46)</f>
        <v/>
      </c>
      <c r="K47" s="46">
        <f>MAX(0,K44-K46)</f>
        <v/>
      </c>
      <c r="L47" s="46">
        <f>MAX(0,L44-L46)</f>
        <v/>
      </c>
      <c r="M47" s="46">
        <f>MAX(0,M44-M46)</f>
        <v/>
      </c>
      <c r="N47" s="46">
        <f>MAX(0,N44-N46)</f>
        <v/>
      </c>
    </row>
    <row r="49">
      <c r="A49" s="36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6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3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6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3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6">
        <f>IF(1=$D$15,D53,0)</f>
        <v/>
      </c>
      <c r="F55" s="46">
        <f>IF(2=$D$15,D53,0)</f>
        <v/>
      </c>
      <c r="G55" s="46">
        <f>IF(3=$D$15,D53,0)</f>
        <v/>
      </c>
      <c r="H55" s="46">
        <f>IF(4=$D$15,D53,0)</f>
        <v/>
      </c>
      <c r="I55" s="46">
        <f>IF(5=$D$15,D53,0)</f>
        <v/>
      </c>
      <c r="J55" s="46">
        <f>IF(6=$D$15,D53,0)</f>
        <v/>
      </c>
      <c r="K55" s="46">
        <f>IF(7=$D$15,D53,0)</f>
        <v/>
      </c>
      <c r="L55" s="46">
        <f>IF(8=$D$15,D53,0)</f>
        <v/>
      </c>
      <c r="M55" s="46">
        <f>IF(9=$D$15,D53,0)</f>
        <v/>
      </c>
      <c r="N55" s="46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2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4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6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3" t="inlineStr">
        <is>
          <t>═══ DRILL MODE - Fill in yellow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4" t="inlineStr">
        <is>
          <t>IRR Sensitivity:</t>
        </is>
      </c>
      <c r="N3" s="4" t="n"/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E72</f>
        <v/>
      </c>
      <c r="M4" s="55" t="inlineStr">
        <is>
          <t>+/- 5% Entry → ~+/- 1% IRR</t>
        </is>
      </c>
    </row>
    <row r="5">
      <c r="A5" s="36" t="inlineStr">
        <is>
          <t>═══════════ CONTROL PANEL ═══════════</t>
        </is>
      </c>
      <c r="B5" s="47" t="n"/>
      <c r="C5" s="47" t="n"/>
      <c r="D5" s="47" t="n"/>
      <c r="M5" s="55" t="inlineStr">
        <is>
          <t>+/- 0.5x Exit → ~+/- 1.5% IRR</t>
        </is>
      </c>
    </row>
    <row r="6">
      <c r="A6" s="47" t="n"/>
      <c r="B6" s="47" t="n"/>
      <c r="C6" s="47" t="n"/>
      <c r="D6" s="47" t="n"/>
    </row>
    <row r="7">
      <c r="A7" s="48" t="inlineStr">
        <is>
          <t>REVENUE</t>
        </is>
      </c>
      <c r="B7" s="47" t="n"/>
      <c r="C7" s="47" t="n"/>
      <c r="D7" s="47" t="n"/>
    </row>
    <row r="8">
      <c r="A8" s="32" t="inlineStr">
        <is>
          <t>Revenue Mode</t>
        </is>
      </c>
      <c r="B8" s="47" t="n"/>
      <c r="C8" s="6" t="inlineStr">
        <is>
          <t>Merchant / Contracted / Hybrid</t>
        </is>
      </c>
      <c r="D8" s="45" t="inlineStr">
        <is>
          <t>Merchant</t>
        </is>
      </c>
    </row>
    <row r="9">
      <c r="A9" s="32" t="inlineStr">
        <is>
          <t>Contract End Year</t>
        </is>
      </c>
      <c r="B9" s="47" t="n"/>
      <c r="C9" s="6" t="inlineStr">
        <is>
          <t>0 = pure merchant; else year PPA ends</t>
        </is>
      </c>
      <c r="D9" s="45" t="n">
        <v>0</v>
      </c>
    </row>
    <row r="10">
      <c r="A10" s="47" t="n"/>
      <c r="B10" s="47" t="n"/>
      <c r="C10" s="47" t="n"/>
      <c r="D10" s="47" t="n"/>
    </row>
    <row r="11">
      <c r="A11" s="48" t="inlineStr">
        <is>
          <t>TIMING</t>
        </is>
      </c>
      <c r="B11" s="47" t="n"/>
      <c r="C11" s="47" t="n"/>
      <c r="D11" s="47" t="n"/>
    </row>
    <row r="12">
      <c r="A12" s="32" t="inlineStr">
        <is>
          <t>Exit Year</t>
        </is>
      </c>
      <c r="B12" s="47" t="n"/>
      <c r="C12" s="6" t="inlineStr">
        <is>
          <t>5 / 7 / 10</t>
        </is>
      </c>
      <c r="D12" s="45" t="n">
        <v>7</v>
      </c>
    </row>
    <row r="13">
      <c r="A13" s="32" t="inlineStr">
        <is>
          <t>Tax Credit End Year</t>
        </is>
      </c>
      <c r="B13" s="47" t="n"/>
      <c r="C13" s="6" t="inlineStr">
        <is>
          <t>0 = N/A; else last year of PTC/ITC</t>
        </is>
      </c>
      <c r="D13" s="45" t="n">
        <v>0</v>
      </c>
    </row>
    <row r="14">
      <c r="A14" s="47" t="n"/>
      <c r="B14" s="47" t="n"/>
      <c r="C14" s="47" t="n"/>
      <c r="D14" s="47" t="n"/>
    </row>
    <row r="15">
      <c r="A15" s="48" t="inlineStr">
        <is>
          <t>DEBT</t>
        </is>
      </c>
      <c r="B15" s="47" t="n"/>
      <c r="C15" s="47" t="n"/>
      <c r="D15" s="49" t="n"/>
    </row>
    <row r="16">
      <c r="A16" s="32" t="inlineStr">
        <is>
          <t>Debt Sweep</t>
        </is>
      </c>
      <c r="B16" s="47" t="n"/>
      <c r="C16" s="6" t="inlineStr">
        <is>
          <t>ON / OFF (for sweep assets)</t>
        </is>
      </c>
      <c r="D16" s="31" t="inlineStr">
        <is>
          <t>ON</t>
        </is>
      </c>
    </row>
    <row r="17">
      <c r="A17" s="32" t="inlineStr">
        <is>
          <t>Sweep %</t>
        </is>
      </c>
      <c r="B17" s="47" t="n"/>
      <c r="C17" s="6" t="inlineStr">
        <is>
          <t>Active when Sweep = ON</t>
        </is>
      </c>
      <c r="D17" s="30" t="inlineStr">
        <is>
          <t>75%</t>
        </is>
      </c>
    </row>
    <row r="18">
      <c r="A18" s="47" t="n"/>
      <c r="B18" s="47" t="n"/>
      <c r="C18" s="47" t="n"/>
      <c r="D18" s="50" t="n"/>
    </row>
    <row r="19">
      <c r="A19" s="48" t="inlineStr">
        <is>
          <t>OTHER</t>
        </is>
      </c>
      <c r="B19" s="47" t="n"/>
      <c r="C19" s="47" t="n"/>
      <c r="D19" s="51" t="n"/>
    </row>
    <row r="20">
      <c r="A20" s="52" t="inlineStr">
        <is>
          <t>Exit Method</t>
        </is>
      </c>
      <c r="B20" s="47" t="n"/>
      <c r="C20" s="6" t="inlineStr">
        <is>
          <t>Multiple / DCF</t>
        </is>
      </c>
      <c r="D20" s="45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6" t="inlineStr">
        <is>
          <t>════════════════════════════════════</t>
        </is>
      </c>
      <c r="B21" s="6" t="n"/>
      <c r="C21" s="6" t="n"/>
      <c r="D21" s="10">
        <f>D103</f>
        <v/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5" t="inlineStr">
        <is>
          <t>Debt Payoff Y5</t>
        </is>
      </c>
      <c r="B22" s="6" t="n"/>
      <c r="C22" s="6" t="n"/>
      <c r="D22" s="10">
        <f>IF(I78&lt;1,"PASS","FAIL")</f>
        <v/>
      </c>
    </row>
    <row r="23">
      <c r="A23" s="5" t="inlineStr">
        <is>
          <t>Min DSCR ≥ 1.25x</t>
        </is>
      </c>
      <c r="B23" s="6" t="n"/>
      <c r="C23" s="6" t="inlineStr">
        <is>
          <t>CFADS / Debt Service</t>
        </is>
      </c>
      <c r="D23" s="10">
        <f>IF(D6&gt;=1.25,"PASS","FAIL")</f>
        <v/>
      </c>
    </row>
    <row r="24">
      <c r="A24" s="5" t="n"/>
      <c r="B24" s="6" t="n"/>
      <c r="C24" s="6" t="n"/>
      <c r="D24" s="10" t="n"/>
    </row>
    <row r="25"/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1">
      <c r="A31" s="5" t="n"/>
      <c r="B31" s="6" t="n"/>
      <c r="C31" s="6" t="n"/>
      <c r="D31" s="14" t="n"/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6">
      <c r="A36" s="5" t="n"/>
      <c r="B36" s="6" t="n"/>
      <c r="C36" s="6" t="n"/>
      <c r="D36" s="30" t="n"/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0">
      <c r="A40" s="5" t="n"/>
      <c r="B40" s="6" t="n"/>
      <c r="C40" s="6" t="n"/>
      <c r="D40" s="30" t="n"/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5">
      <c r="A45" s="5" t="n"/>
      <c r="B45" s="6" t="n"/>
      <c r="C45" s="6" t="n"/>
      <c r="D45" s="11" t="n"/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3">
      <c r="A53" s="5" t="n"/>
      <c r="B53" s="6" t="n"/>
      <c r="C53" s="6" t="n"/>
      <c r="D53" s="31" t="n"/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8">
      <c r="A58" s="5" t="n"/>
      <c r="B58" s="6" t="n"/>
      <c r="C58" s="6" t="n"/>
      <c r="D58" s="14" t="n"/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$D$27*$D$47</f>
        <v/>
      </c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$D$27*$D$56/$D$57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$D$60/$D$49</f>
        <v/>
      </c>
    </row>
    <row r="63">
      <c r="A63" s="5" t="n"/>
      <c r="B63" s="6" t="n"/>
      <c r="C63" s="6" t="n"/>
      <c r="D63" s="16" t="n"/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D65" s="4" t="n"/>
      <c r="E65" s="17">
        <f>$D$33*(1+$D$34)^(1-1)</f>
        <v/>
      </c>
      <c r="F65" s="17">
        <f>$D$33*(1+$D$34)^(2-1)</f>
        <v/>
      </c>
      <c r="G65" s="17">
        <f>$D$33*(1+$D$34)^(3-1)</f>
        <v/>
      </c>
      <c r="H65" s="17">
        <f>$D$33*(1+$D$34)^(4-1)</f>
        <v/>
      </c>
      <c r="I65" s="17">
        <f>$D$33*(1+$D$34)^(5-1)</f>
        <v/>
      </c>
      <c r="J65" s="17">
        <f>$D$33*(1+$D$34)^4*(1-$D$35)^(6-5)</f>
        <v/>
      </c>
      <c r="K65" s="17">
        <f>$D$33*(1+$D$34)^4*(1-$D$35)^(7-5)</f>
        <v/>
      </c>
      <c r="L65" s="17">
        <f>$D$33*(1+$D$34)^4*(1-$D$35)^(8-5)</f>
        <v/>
      </c>
      <c r="M65" s="17">
        <f>$D$33*(1+$D$34)^4*(1-$D$35)^(9-5)</f>
        <v/>
      </c>
      <c r="N65" s="17">
        <f>$D$33*(1+$D$34)^4*(1-$D$35)^(10-5)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E65*365</f>
        <v/>
      </c>
      <c r="F66" s="17">
        <f>F65*365</f>
        <v/>
      </c>
      <c r="G66" s="17">
        <f>G65*365</f>
        <v/>
      </c>
      <c r="H66" s="17">
        <f>H65*365</f>
        <v/>
      </c>
      <c r="I66" s="17">
        <f>I65*365</f>
        <v/>
      </c>
      <c r="J66" s="17">
        <f>J65*365</f>
        <v/>
      </c>
      <c r="K66" s="17">
        <f>K65*365</f>
        <v/>
      </c>
      <c r="L66" s="17">
        <f>L65*365</f>
        <v/>
      </c>
      <c r="M66" s="17">
        <f>M65*365</f>
        <v/>
      </c>
      <c r="N66" s="17">
        <f>N65*365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$D$38*(1+$D$39)^(1-1)</f>
        <v/>
      </c>
      <c r="F67" s="18">
        <f>$D$38*(1+$D$39)^(2-1)</f>
        <v/>
      </c>
      <c r="G67" s="18">
        <f>$D$38*(1+$D$39)^(3-1)</f>
        <v/>
      </c>
      <c r="H67" s="18">
        <f>$D$38*(1+$D$39)^(4-1)</f>
        <v/>
      </c>
      <c r="I67" s="18">
        <f>$D$38*(1+$D$39)^(5-1)</f>
        <v/>
      </c>
      <c r="J67" s="18">
        <f>$D$38*(1+$D$39)^(6-1)</f>
        <v/>
      </c>
      <c r="K67" s="18">
        <f>$D$38*(1+$D$39)^(7-1)</f>
        <v/>
      </c>
      <c r="L67" s="18">
        <f>$D$38*(1+$D$39)^(8-1)</f>
        <v/>
      </c>
      <c r="M67" s="18">
        <f>$D$38*(1+$D$39)^(9-1)</f>
        <v/>
      </c>
      <c r="N67" s="18">
        <f>$D$38*(1+$D$39)^(10-1)</f>
        <v/>
      </c>
    </row>
    <row r="68">
      <c r="A68" s="5" t="n"/>
      <c r="B68" s="6" t="n"/>
      <c r="C68" s="6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</row>
    <row r="71">
      <c r="A71" s="5" t="n"/>
      <c r="B71" s="6" t="n"/>
      <c r="C71" s="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</row>
    <row r="73">
      <c r="A73" s="5" t="n"/>
      <c r="B73" s="6" t="n"/>
      <c r="C73" s="6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D75" s="4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IF(1&lt;=5,$D$44,0)</f>
        <v/>
      </c>
      <c r="F76" s="16">
        <f>IF(2&lt;=5,$D$44,0)</f>
        <v/>
      </c>
      <c r="G76" s="16">
        <f>IF(3&lt;=5,$D$44,0)</f>
        <v/>
      </c>
      <c r="H76" s="16">
        <f>IF(4&lt;=5,$D$44,0)</f>
        <v/>
      </c>
      <c r="I76" s="16">
        <f>IF(5&lt;=5,$D$44,0)</f>
        <v/>
      </c>
      <c r="J76" s="16">
        <f>IF(6&lt;=5,$D$44,0)</f>
        <v/>
      </c>
      <c r="K76" s="16">
        <f>IF(7&lt;=5,$D$44,0)</f>
        <v/>
      </c>
      <c r="L76" s="16">
        <f>IF(8&lt;=5,$D$44,0)</f>
        <v/>
      </c>
      <c r="M76" s="16">
        <f>IF(9&lt;=5,$D$44,0)</f>
        <v/>
      </c>
      <c r="N76" s="16">
        <f>IF(10&lt;=5,$D$44,0)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79">
      <c r="A79" s="5" t="n"/>
      <c r="B79" s="6" t="n"/>
      <c r="C79" s="6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n"/>
      <c r="D81" s="4" t="n">
        <v>0</v>
      </c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MAX(0,E77-E84-E96)</f>
        <v/>
      </c>
      <c r="F85" s="16">
        <f>MAX(0,F77-F84-F96)</f>
        <v/>
      </c>
      <c r="G85" s="16">
        <f>MAX(0,G77-G84-G96)</f>
        <v/>
      </c>
      <c r="H85" s="16">
        <f>MAX(0,H77-H84-H96)</f>
        <v/>
      </c>
      <c r="I85" s="16">
        <f>MAX(0,I77-I84-I96)</f>
        <v/>
      </c>
      <c r="J85" s="16">
        <f>MAX(0,J77-J84-J96)</f>
        <v/>
      </c>
      <c r="K85" s="16">
        <f>MAX(0,K77-K84-K96)</f>
        <v/>
      </c>
      <c r="L85" s="16">
        <f>MAX(0,L77-L84-L96)</f>
        <v/>
      </c>
      <c r="M85" s="16">
        <f>MAX(0,M77-M84-M96)</f>
        <v/>
      </c>
      <c r="N85" s="16">
        <f>MAX(0,N77-N84-N96)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D88">
        <f>$D$60</f>
        <v/>
      </c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MAX(0,$D$60-(1-1)*$D$62)*$D$48+$D$62</f>
        <v/>
      </c>
      <c r="F90" s="16">
        <f>MAX(0,$D$60-(2-1)*$D$62)*$D$48+$D$62</f>
        <v/>
      </c>
      <c r="G90" s="16">
        <f>MAX(0,$D$60-(3-1)*$D$62)*$D$48+$D$62</f>
        <v/>
      </c>
      <c r="H90" s="16">
        <f>MAX(0,$D$60-(4-1)*$D$62)*$D$48+$D$62</f>
        <v/>
      </c>
      <c r="I90" s="16">
        <f>MAX(0,$D$60-(5-1)*$D$62)*$D$48+$D$62</f>
        <v/>
      </c>
      <c r="J90" s="16">
        <f>MAX(0,$D$60-(6-1)*$D$62)*$D$48+$D$62</f>
        <v/>
      </c>
      <c r="K90" s="16">
        <f>MAX(0,$D$60-(7-1)*$D$62)*$D$48+$D$62</f>
        <v/>
      </c>
      <c r="L90" s="16">
        <f>MAX(0,$D$60-(8-1)*$D$62)*$D$48+$D$62</f>
        <v/>
      </c>
      <c r="M90" s="16">
        <f>MAX(0,$D$60-(9-1)*$D$62)*$D$48+$D$62</f>
        <v/>
      </c>
      <c r="N90" s="16">
        <f>MAX(0,$D$60-(10-1)*$D$62)*$D$48+$D$62</f>
        <v/>
      </c>
    </row>
    <row r="91">
      <c r="A91" s="5" t="n"/>
      <c r="B91" s="6" t="n"/>
      <c r="C91" s="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n"/>
      <c r="D94" s="16">
        <f>0</f>
        <v/>
      </c>
      <c r="E94" s="16">
        <f>F90*$D$50/12</f>
        <v/>
      </c>
      <c r="F94" s="16">
        <f>G90*$D$50/12</f>
        <v/>
      </c>
      <c r="G94" s="16">
        <f>H90*$D$50/12</f>
        <v/>
      </c>
      <c r="H94" s="16">
        <f>I90*$D$50/12</f>
        <v/>
      </c>
      <c r="I94" s="16">
        <f>J90*$D$50/12</f>
        <v/>
      </c>
      <c r="J94" s="16">
        <f>K90*$D$50/12</f>
        <v/>
      </c>
      <c r="K94" s="16">
        <f>L90*$D$50/12</f>
        <v/>
      </c>
      <c r="L94" s="16">
        <f>M90*$D$50/12</f>
        <v/>
      </c>
      <c r="M94" s="16">
        <f>N90*$D$50/12</f>
        <v/>
      </c>
      <c r="N94" s="16" t="n">
        <v>0</v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 t="n">
        <v>0</v>
      </c>
      <c r="E95" s="16">
        <f>D108</f>
        <v/>
      </c>
      <c r="F95" s="16">
        <f>E97</f>
        <v/>
      </c>
      <c r="G95" s="16">
        <f>F97</f>
        <v/>
      </c>
      <c r="H95" s="16">
        <f>G97</f>
        <v/>
      </c>
      <c r="I95" s="16">
        <f>H97</f>
        <v/>
      </c>
      <c r="J95" s="16">
        <f>I97</f>
        <v/>
      </c>
      <c r="K95" s="16">
        <f>J97</f>
        <v/>
      </c>
      <c r="L95" s="16">
        <f>K97</f>
        <v/>
      </c>
      <c r="M95" s="16">
        <f>L97</f>
        <v/>
      </c>
      <c r="N95" s="16">
        <f>M97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E94-E95</f>
        <v/>
      </c>
      <c r="F96" s="16">
        <f>F94-F95</f>
        <v/>
      </c>
      <c r="G96" s="16">
        <f>G94-G95</f>
        <v/>
      </c>
      <c r="H96" s="16">
        <f>H94-H95</f>
        <v/>
      </c>
      <c r="I96" s="16">
        <f>I94-I95</f>
        <v/>
      </c>
      <c r="J96" s="16">
        <f>J94-J95</f>
        <v/>
      </c>
      <c r="K96" s="16">
        <f>K94-K95</f>
        <v/>
      </c>
      <c r="L96" s="16">
        <f>L94-L95</f>
        <v/>
      </c>
      <c r="M96" s="16">
        <f>M94-M95</f>
        <v/>
      </c>
      <c r="N96" s="16">
        <f>N94-N95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>
        <f>E95+E96</f>
        <v/>
      </c>
      <c r="F97" s="4">
        <f>F95+F96</f>
        <v/>
      </c>
      <c r="G97" s="4">
        <f>G95+G96</f>
        <v/>
      </c>
      <c r="H97" s="4">
        <f>H95+H96</f>
        <v/>
      </c>
      <c r="I97" s="4">
        <f>I95+I96</f>
        <v/>
      </c>
      <c r="J97" s="4">
        <f>J95+J96</f>
        <v/>
      </c>
      <c r="K97" s="4">
        <f>K95+K96</f>
        <v/>
      </c>
      <c r="L97" s="4">
        <f>L95+L96</f>
        <v/>
      </c>
      <c r="M97" s="4">
        <f>M95+M96</f>
        <v/>
      </c>
      <c r="N97" s="4">
        <f>N95+N96</f>
        <v/>
      </c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D98" s="4" t="n"/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n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E77-E82-E87-E96</f>
        <v/>
      </c>
      <c r="F100" s="7">
        <f>F77-F82-F87-F96</f>
        <v/>
      </c>
      <c r="G100" s="7">
        <f>G77-G82-G87-G96</f>
        <v/>
      </c>
      <c r="H100" s="7">
        <f>H77-H82-H87-H96</f>
        <v/>
      </c>
      <c r="I100" s="7">
        <f>I77-I82-I87-I96</f>
        <v/>
      </c>
      <c r="J100" s="7">
        <f>J77-J82-J87-J96</f>
        <v/>
      </c>
      <c r="K100" s="7">
        <f>K77-K82-K87-K96</f>
        <v/>
      </c>
      <c r="L100" s="7">
        <f>L77-L82-L87-L96</f>
        <v/>
      </c>
      <c r="M100" s="7">
        <f>M77-M82-M87-M96</f>
        <v/>
      </c>
      <c r="N100" s="7">
        <f>N77-N82-N87-N96</f>
        <v/>
      </c>
    </row>
    <row r="101">
      <c r="A101" s="5" t="n"/>
      <c r="B101" s="6" t="n"/>
      <c r="C101" s="6" t="n"/>
      <c r="E101" s="7">
        <f>IF(E89&gt;=$D$52,"PASS","LOCKED")</f>
        <v/>
      </c>
      <c r="F101" s="7">
        <f>IF(F89&gt;=$D$52,"PASS","LOCKED")</f>
        <v/>
      </c>
      <c r="G101" s="7">
        <f>IF(G89&gt;=$D$52,"PASS","LOCKED")</f>
        <v/>
      </c>
      <c r="H101" s="7">
        <f>IF(H89&gt;=$D$52,"PASS","LOCKED")</f>
        <v/>
      </c>
      <c r="I101" s="7">
        <f>IF(I89&gt;=$D$52,"PASS","LOCKED")</f>
        <v/>
      </c>
      <c r="J101" s="7">
        <f>IF(J89&gt;=$D$52,"PASS","LOCKED")</f>
        <v/>
      </c>
      <c r="K101" s="7">
        <f>IF(K89&gt;=$D$52,"PASS","LOCKED")</f>
        <v/>
      </c>
      <c r="L101" s="7">
        <f>IF(L89&gt;=$D$52,"PASS","LOCKED")</f>
        <v/>
      </c>
      <c r="M101" s="7">
        <f>IF(M89&gt;=$D$52,"PASS","LOCKED")</f>
        <v/>
      </c>
      <c r="N101" s="7">
        <f>IF(N89&gt;=$D$52,"PASS","LOCKED")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>
        <f>IF(E101="PASS",MAX(0,E100),0)</f>
        <v/>
      </c>
      <c r="F102" s="4">
        <f>IF(F101="PASS",MAX(0,F100),0)</f>
        <v/>
      </c>
      <c r="G102" s="4">
        <f>IF(G101="PASS",MAX(0,G100),0)</f>
        <v/>
      </c>
      <c r="H102" s="4">
        <f>IF(H101="PASS",MAX(0,H100),0)</f>
        <v/>
      </c>
      <c r="I102" s="4">
        <f>IF(I101="PASS",MAX(0,I100),0)</f>
        <v/>
      </c>
      <c r="J102" s="4">
        <f>IF(J101="PASS",MAX(0,J100),0)</f>
        <v/>
      </c>
      <c r="K102" s="4">
        <f>IF(K101="PASS",MAX(0,K100),0)</f>
        <v/>
      </c>
      <c r="L102" s="4">
        <f>IF(L101="PASS",MAX(0,L100),0)</f>
        <v/>
      </c>
      <c r="M102" s="4">
        <f>IF(M101="PASS",MAX(0,M100),0)</f>
        <v/>
      </c>
      <c r="N102" s="4">
        <f>IF(N101="PASS",MAX(0,N100),0)</f>
        <v/>
      </c>
    </row>
    <row r="103">
      <c r="A103" s="21" t="inlineStr">
        <is>
          <t>USES</t>
        </is>
      </c>
      <c r="B103" s="6" t="n"/>
      <c r="C103" s="6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n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n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n"/>
      <c r="D106" s="16">
        <f>$D$27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n"/>
      <c r="D107" s="7">
        <f>$D$27*$D$28</f>
        <v/>
      </c>
    </row>
    <row r="108">
      <c r="A108" s="5" t="n"/>
      <c r="B108" s="6" t="n"/>
      <c r="C108" s="6" t="n"/>
      <c r="D108" s="7">
        <f>E94</f>
        <v/>
      </c>
    </row>
    <row r="109">
      <c r="A109" s="21" t="inlineStr">
        <is>
          <t>SOURCES</t>
        </is>
      </c>
      <c r="B109" s="6" t="n"/>
      <c r="C109" s="6" t="n"/>
      <c r="D109">
        <f>D106+D107+D108</f>
        <v/>
      </c>
    </row>
    <row r="110">
      <c r="A110" s="5" t="inlineStr">
        <is>
          <t xml:space="preserve">  Debt</t>
        </is>
      </c>
      <c r="B110" s="6" t="inlineStr">
        <is>
          <t>$mm</t>
        </is>
      </c>
      <c r="C110" s="6" t="n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n"/>
      <c r="D112" s="7">
        <f>$D$27*$D$47</f>
        <v/>
      </c>
    </row>
    <row r="113">
      <c r="A113" s="5" t="inlineStr">
        <is>
          <t>Balance Check</t>
        </is>
      </c>
      <c r="B113" s="6" t="n"/>
      <c r="C113" s="6" t="n"/>
      <c r="D113" s="10">
        <f>D109-D112</f>
        <v/>
      </c>
    </row>
    <row r="114">
      <c r="A114" s="5" t="n"/>
      <c r="B114" s="6" t="n"/>
      <c r="C114" s="6" t="n"/>
      <c r="D114" s="10">
        <f>D112+D113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D116" s="4">
        <f>IF(ABS(D109-D114)&lt;0.01,"PASS","FAIL")</f>
        <v/>
      </c>
      <c r="E116" s="4" t="n"/>
      <c r="F116" s="4" t="n"/>
      <c r="G116" s="4" t="n"/>
      <c r="H116" s="4" t="n"/>
      <c r="I116" s="4" t="n"/>
      <c r="J116" s="4" t="n"/>
      <c r="K116" s="16">
        <f>$D$19*K62</f>
        <v/>
      </c>
      <c r="L116" s="4" t="n"/>
      <c r="M116" s="4" t="n"/>
      <c r="N116" s="4" t="n"/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D119">
        <f>K72</f>
        <v/>
      </c>
      <c r="K119" s="7">
        <f>K106-K107+K108</f>
        <v/>
      </c>
    </row>
    <row r="120">
      <c r="A120" s="5" t="n"/>
      <c r="B120" s="6" t="n"/>
      <c r="C120" s="6" t="n"/>
      <c r="D120">
        <f>D119*$D$29</f>
        <v/>
      </c>
      <c r="K120" s="7" t="n"/>
    </row>
    <row r="121">
      <c r="A121" s="3" t="inlineStr">
        <is>
          <t>EQUITY RETURNS</t>
        </is>
      </c>
      <c r="B121" s="4" t="n"/>
      <c r="C121" s="4" t="n"/>
      <c r="D121" s="4">
        <f>K88</f>
        <v/>
      </c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n"/>
      <c r="D122" s="16">
        <f>K97</f>
        <v/>
      </c>
      <c r="E122" s="16">
        <f>E90</f>
        <v/>
      </c>
      <c r="F122" s="16">
        <f>F90</f>
        <v/>
      </c>
      <c r="G122" s="16">
        <f>G90</f>
        <v/>
      </c>
      <c r="H122" s="16">
        <f>H90</f>
        <v/>
      </c>
      <c r="I122" s="16">
        <f>I90</f>
        <v/>
      </c>
      <c r="J122" s="16">
        <f>J90</f>
        <v/>
      </c>
      <c r="K122" s="16">
        <f>K90+K109</f>
        <v/>
      </c>
      <c r="L122" s="16">
        <f>0</f>
        <v/>
      </c>
      <c r="M122" s="16">
        <f>0</f>
        <v/>
      </c>
      <c r="N122" s="16">
        <f>0</f>
        <v/>
      </c>
    </row>
    <row r="123">
      <c r="A123" s="5" t="inlineStr">
        <is>
          <t>Levered IRR</t>
        </is>
      </c>
      <c r="B123" s="6" t="inlineStr">
        <is>
          <t>%</t>
        </is>
      </c>
      <c r="C123" s="6" t="inlineStr">
        <is>
          <t>IRR of Equity CFs</t>
        </is>
      </c>
      <c r="D123" s="29">
        <f>D120-D121+D122</f>
        <v/>
      </c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28">
        <f>SUMIF(D112:K112,"&gt;0")/ABS(D112)</f>
        <v/>
      </c>
    </row>
    <row r="125">
      <c r="A125" s="5" t="n"/>
      <c r="B125" s="6" t="n"/>
      <c r="C125" s="6" t="n"/>
      <c r="D125" s="28" t="n"/>
    </row>
    <row r="126">
      <c r="A126" s="21" t="inlineStr">
        <is>
          <t>Unlevered Returns (for reference)</t>
        </is>
      </c>
      <c r="B126" s="6" t="n"/>
      <c r="C126" s="6" t="n"/>
      <c r="D126">
        <f>-D113</f>
        <v/>
      </c>
      <c r="E126">
        <f>E102</f>
        <v/>
      </c>
      <c r="F126">
        <f>F102</f>
        <v/>
      </c>
      <c r="G126">
        <f>G102</f>
        <v/>
      </c>
      <c r="H126">
        <f>H102</f>
        <v/>
      </c>
      <c r="I126">
        <f>I102</f>
        <v/>
      </c>
      <c r="J126">
        <f>J102</f>
        <v/>
      </c>
      <c r="K126">
        <f>K102+D123</f>
        <v/>
      </c>
      <c r="L126" t="n">
        <v>0</v>
      </c>
      <c r="M126" t="n">
        <v>0</v>
      </c>
      <c r="N126" t="n">
        <v>0</v>
      </c>
    </row>
    <row r="127">
      <c r="A127" s="5" t="inlineStr">
        <is>
          <t>Unlevered Cash Flow</t>
        </is>
      </c>
      <c r="B127" s="6" t="inlineStr">
        <is>
          <t>$mm</t>
        </is>
      </c>
      <c r="C127" s="6" t="n"/>
      <c r="D127" s="29" t="n"/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IRR</t>
        </is>
      </c>
      <c r="B128" s="6" t="inlineStr">
        <is>
          <t>%</t>
        </is>
      </c>
      <c r="C128" s="6" t="inlineStr">
        <is>
          <t>IRR of Equity CFs</t>
        </is>
      </c>
      <c r="D128" s="28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</row>
    <row r="129">
      <c r="A129" s="5" t="n"/>
      <c r="B129" s="6" t="n"/>
      <c r="C129" s="6" t="n"/>
      <c r="D129" s="29" t="n"/>
    </row>
    <row r="130"/>
    <row r="131">
      <c r="D131">
        <f>-$D$27-D107</f>
        <v/>
      </c>
      <c r="E131">
        <f>E77</f>
        <v/>
      </c>
      <c r="F131">
        <f>F77</f>
        <v/>
      </c>
      <c r="G131">
        <f>G77</f>
        <v/>
      </c>
      <c r="H131">
        <f>H77</f>
        <v/>
      </c>
      <c r="I131">
        <f>I77</f>
        <v/>
      </c>
      <c r="J131">
        <f>J77</f>
        <v/>
      </c>
      <c r="K131">
        <f>K77+D120</f>
        <v/>
      </c>
      <c r="L131" t="n">
        <v>0</v>
      </c>
      <c r="M131" t="n">
        <v>0</v>
      </c>
      <c r="N131" t="n">
        <v>0</v>
      </c>
    </row>
    <row r="132">
      <c r="D132" s="56">
        <f>IRR(D131:N131)</f>
        <v/>
      </c>
    </row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36" t="inlineStr">
        <is>
          <t>═══════════ CONTROL PANEL ═══════════</t>
        </is>
      </c>
      <c r="B5" s="47" t="n"/>
      <c r="C5" s="47" t="n"/>
      <c r="D5" s="47" t="n"/>
    </row>
    <row r="6">
      <c r="A6" s="47" t="n"/>
      <c r="B6" s="47" t="n"/>
      <c r="C6" s="47" t="n"/>
      <c r="D6" s="47" t="n"/>
    </row>
    <row r="7">
      <c r="A7" s="48" t="inlineStr">
        <is>
          <t>REVENUE</t>
        </is>
      </c>
      <c r="B7" s="47" t="n"/>
      <c r="C7" s="47" t="n"/>
      <c r="D7" s="47" t="n"/>
    </row>
    <row r="8">
      <c r="A8" s="32" t="inlineStr">
        <is>
          <t>Revenue Mode</t>
        </is>
      </c>
      <c r="B8" s="47" t="n"/>
      <c r="C8" s="6" t="inlineStr">
        <is>
          <t>Merchant / Contracted / Hybrid</t>
        </is>
      </c>
      <c r="D8" s="45" t="inlineStr">
        <is>
          <t>Merchant</t>
        </is>
      </c>
    </row>
    <row r="9">
      <c r="A9" s="32" t="inlineStr">
        <is>
          <t>Contract End Year</t>
        </is>
      </c>
      <c r="B9" s="47" t="n"/>
      <c r="C9" s="6" t="inlineStr">
        <is>
          <t>0 = pure merchant; else year PPA ends</t>
        </is>
      </c>
      <c r="D9" s="45" t="n">
        <v>0</v>
      </c>
    </row>
    <row r="10">
      <c r="A10" s="47" t="n"/>
      <c r="B10" s="47" t="n"/>
      <c r="C10" s="47" t="n"/>
      <c r="D10" s="47" t="n"/>
    </row>
    <row r="11">
      <c r="A11" s="48" t="inlineStr">
        <is>
          <t>TIMING</t>
        </is>
      </c>
      <c r="B11" s="47" t="n"/>
      <c r="C11" s="47" t="n"/>
      <c r="D11" s="47" t="n"/>
    </row>
    <row r="12">
      <c r="A12" s="32" t="inlineStr">
        <is>
          <t>Exit Year</t>
        </is>
      </c>
      <c r="B12" s="47" t="n"/>
      <c r="C12" s="6" t="inlineStr">
        <is>
          <t>5 / 7 / 10</t>
        </is>
      </c>
      <c r="D12" s="45" t="n">
        <v>7</v>
      </c>
    </row>
    <row r="13">
      <c r="A13" s="32" t="inlineStr">
        <is>
          <t>Tax Credit End Year</t>
        </is>
      </c>
      <c r="B13" s="47" t="n"/>
      <c r="C13" s="6" t="inlineStr">
        <is>
          <t>0 = N/A; else last year of PTC/ITC</t>
        </is>
      </c>
      <c r="D13" s="45" t="n">
        <v>0</v>
      </c>
    </row>
    <row r="14">
      <c r="A14" s="47" t="n"/>
      <c r="B14" s="47" t="n"/>
      <c r="C14" s="47" t="n"/>
      <c r="D14" s="47" t="n"/>
    </row>
    <row r="15">
      <c r="A15" s="48" t="inlineStr">
        <is>
          <t>DEBT</t>
        </is>
      </c>
      <c r="B15" s="47" t="n"/>
      <c r="C15" s="47" t="n"/>
      <c r="D15" s="49" t="n"/>
    </row>
    <row r="16">
      <c r="A16" s="32" t="inlineStr">
        <is>
          <t>Debt Sweep</t>
        </is>
      </c>
      <c r="B16" s="47" t="n"/>
      <c r="C16" s="6" t="inlineStr">
        <is>
          <t>ON / OFF (for sweep assets)</t>
        </is>
      </c>
      <c r="D16" s="31" t="inlineStr">
        <is>
          <t>ON</t>
        </is>
      </c>
    </row>
    <row r="17">
      <c r="A17" s="32" t="inlineStr">
        <is>
          <t>Sweep %</t>
        </is>
      </c>
      <c r="B17" s="47" t="n"/>
      <c r="C17" s="6" t="inlineStr">
        <is>
          <t>Active when Sweep = ON</t>
        </is>
      </c>
      <c r="D17" s="30" t="inlineStr">
        <is>
          <t>75%</t>
        </is>
      </c>
    </row>
    <row r="18">
      <c r="A18" s="47" t="n"/>
      <c r="B18" s="47" t="n"/>
      <c r="C18" s="47" t="n"/>
      <c r="D18" s="50" t="n"/>
    </row>
    <row r="19">
      <c r="A19" s="48" t="inlineStr">
        <is>
          <t>OTHER</t>
        </is>
      </c>
      <c r="B19" s="47" t="n"/>
      <c r="C19" s="47" t="n"/>
      <c r="D19" s="51" t="n"/>
    </row>
    <row r="20">
      <c r="A20" s="52" t="inlineStr">
        <is>
          <t>Exit Method</t>
        </is>
      </c>
      <c r="B20" s="47" t="n"/>
      <c r="C20" s="6" t="inlineStr">
        <is>
          <t>Multiple / DCF</t>
        </is>
      </c>
      <c r="D20" s="45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6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/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/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8">
        <f>IF(E74&gt;0,E68/E74,0)</f>
        <v/>
      </c>
      <c r="F89" s="28">
        <f>IF(F74&gt;0,F68/F74,0)</f>
        <v/>
      </c>
      <c r="G89" s="28">
        <f>IF(G74&gt;0,G68/G74,0)</f>
        <v/>
      </c>
      <c r="H89" s="28">
        <f>IF(H74&gt;0,H68/H74,0)</f>
        <v/>
      </c>
      <c r="I89" s="28">
        <f>IF(I74&gt;0,I68/I74,0)</f>
        <v/>
      </c>
      <c r="J89" s="28">
        <f>IF(J74&gt;0,J68/J74,0)</f>
        <v/>
      </c>
      <c r="K89" s="28">
        <f>IF(K74&gt;0,K68/K74,0)</f>
        <v/>
      </c>
      <c r="L89" s="28">
        <f>IF(L74&gt;0,L68/L74,0)</f>
        <v/>
      </c>
      <c r="M89" s="28">
        <f>IF(M74&gt;0,M68/M74,0)</f>
        <v/>
      </c>
      <c r="N89" s="28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6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4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4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/>
      <c r="D129" s="29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8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/>
      <c r="D134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2026-01-21T01:03:32Z</dcterms:modified>
</cp:coreProperties>
</file>