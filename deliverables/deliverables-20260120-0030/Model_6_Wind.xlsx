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 Prompt" sheetId="2" state="visible" r:id="rId2"/>
    <sheet xmlns:r="http://schemas.openxmlformats.org/officeDocument/2006/relationships" name="IC Memo" sheetId="3" state="visible" r:id="rId3"/>
    <sheet xmlns:r="http://schemas.openxmlformats.org/officeDocument/2006/relationships" name="Model_Quick" sheetId="4" state="visible" r:id="rId4"/>
    <sheet xmlns:r="http://schemas.openxmlformats.org/officeDocument/2006/relationships" name="Model_Standard" sheetId="5" state="visible" r:id="rId5"/>
    <sheet xmlns:r="http://schemas.openxmlformats.org/officeDocument/2006/relationships" name="Model_Fu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0&quot;x&quot;"/>
    <numFmt numFmtId="167" formatCode="#,##0.0_);(#,##0.0)"/>
  </numFmts>
  <fonts count="1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2"/>
    </font>
    <font>
      <b val="1"/>
      <color rgb="001F4E79"/>
      <sz val="11"/>
    </font>
    <font>
      <b val="1"/>
      <color rgb="00C00000"/>
      <sz val="11"/>
    </font>
    <font>
      <b val="1"/>
    </font>
    <font>
      <b val="1"/>
      <sz val="11"/>
    </font>
    <font>
      <b val="1"/>
      <color rgb="000000FF"/>
    </font>
    <font>
      <b val="1"/>
      <i val="1"/>
      <color rgb="00666666"/>
    </font>
    <font>
      <b val="1"/>
      <color rgb="00006400"/>
    </font>
    <font>
      <b val="1"/>
      <sz val="9"/>
    </font>
    <font>
      <color rgb="00666666"/>
      <sz val="9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FC7"/>
        <bgColor rgb="00FFF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7" fillId="3" borderId="0" pivotButton="0" quotePrefix="0" xfId="0"/>
    <xf numFmtId="165" fontId="0" fillId="2" borderId="0" pivotButton="0" quotePrefix="0" xfId="0"/>
    <xf numFmtId="165" fontId="0" fillId="0" borderId="0" pivotButton="0" quotePrefix="0" xfId="0"/>
    <xf numFmtId="166" fontId="0" fillId="2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2" borderId="0" pivotButton="0" quotePrefix="0" xfId="0"/>
    <xf numFmtId="165" fontId="0" fillId="2" borderId="0" pivotButton="0" quotePrefix="0" xfId="0"/>
    <xf numFmtId="165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7" fontId="12" fillId="2" borderId="0" pivotButton="0" quotePrefix="0" xfId="0"/>
    <xf numFmtId="165" fontId="12" fillId="2" borderId="0" pivotButton="0" quotePrefix="0" xfId="0"/>
    <xf numFmtId="166" fontId="0" fillId="0" borderId="0" pivotButton="0" quotePrefix="0" xfId="0"/>
    <xf numFmtId="164" fontId="12" fillId="2" borderId="0" pivotButton="0" quotePrefix="0" xfId="0"/>
    <xf numFmtId="166" fontId="1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2">
      <c r="A2" s="1" t="inlineStr">
        <is>
          <t>LOTUS INFRASTRUCTURE PARTNERS</t>
        </is>
      </c>
    </row>
    <row r="3">
      <c r="A3" s="2" t="inlineStr">
        <is>
          <t>CASE STUDY: WIND FARM ACQUISITION</t>
        </is>
      </c>
    </row>
    <row r="4">
      <c r="A4" t="inlineStr">
        <is>
          <t>TIME: 4 Hours | DELIVERABLES: Model + IC Memo</t>
        </is>
      </c>
    </row>
    <row r="6">
      <c r="A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8">
      <c r="A8" s="3" t="inlineStr">
        <is>
          <t>TIMELINE</t>
        </is>
      </c>
    </row>
    <row r="9">
      <c r="A9" t="inlineStr">
        <is>
          <t>Y0 (2025): Close acquisition</t>
        </is>
      </c>
    </row>
    <row r="10">
      <c r="A10" t="inlineStr">
        <is>
          <t>Y5 (2030): PTC expires</t>
        </is>
      </c>
    </row>
    <row r="11">
      <c r="A11" t="inlineStr">
        <is>
          <t>Y7 (2032): Exit / Sale</t>
        </is>
      </c>
    </row>
    <row r="12">
      <c r="A12" t="inlineStr">
        <is>
          <t>Y12 (2037): PPA expires (new owner's problem)</t>
        </is>
      </c>
    </row>
    <row r="14">
      <c r="A14" s="3" t="inlineStr">
        <is>
          <t>SITUATION</t>
        </is>
      </c>
    </row>
    <row r="15">
      <c r="A15" t="inlineStr">
        <is>
          <t>100 MW wind farm in SPP (Oklahoma). 40 turbines × 2.5 MW. COD 2018.</t>
        </is>
      </c>
    </row>
    <row r="16">
      <c r="A16" t="inlineStr">
        <is>
          <t>15-year PPA at $45/MWh with investment-grade offtaker (12 years remaining).</t>
        </is>
      </c>
    </row>
    <row r="17">
      <c r="A17" t="inlineStr">
        <is>
          <t>Post-PPA: Merchant exposure to SPP wholesale prices (~$35/MWh).</t>
        </is>
      </c>
    </row>
    <row r="18">
      <c r="A18" t="inlineStr">
        <is>
          <t>PTC at $27.50/MWh (5 years remaining from COD).</t>
        </is>
      </c>
    </row>
    <row r="19">
      <c r="A19" t="inlineStr">
        <is>
          <t>Net Capacity Factor: 38% (strong for onshore wind).</t>
        </is>
      </c>
    </row>
    <row r="20">
      <c r="A20" t="inlineStr">
        <is>
          <t>Seller seeking $180mm for 100% equity interest.</t>
        </is>
      </c>
    </row>
    <row r="22">
      <c r="A22" s="3" t="inlineStr">
        <is>
          <t>KEY VALUE DRIVERS</t>
        </is>
      </c>
    </row>
    <row r="23">
      <c r="A23" t="inlineStr">
        <is>
          <t>1. PPA Revenue: $45/MWh × 333 GWh = ~$15mm/yr (contracted, low risk)</t>
        </is>
      </c>
    </row>
    <row r="24">
      <c r="A24" t="inlineStr">
        <is>
          <t>2. PTC Tax Shield: $27.50/MWh × 333 GWh = ~$9mm/yr (5 years remaining)</t>
        </is>
      </c>
    </row>
    <row r="25">
      <c r="A25" t="inlineStr">
        <is>
          <t>3. Strong CF: 38% is above-average for onshore wind</t>
        </is>
      </c>
    </row>
    <row r="26">
      <c r="A26" t="inlineStr">
        <is>
          <t>4. Post-PPA Risk: Conservative merchant pricing critical for exit value</t>
        </is>
      </c>
    </row>
    <row r="28">
      <c r="A28" s="4" t="inlineStr">
        <is>
          <t>═══ PTC MECHANICS (CRITICAL) ═══</t>
        </is>
      </c>
    </row>
    <row r="29">
      <c r="A29" t="inlineStr">
        <is>
          <t>PTC is a TAX CREDIT, not revenue. It does NOT increase EBITDA.</t>
        </is>
      </c>
    </row>
    <row r="31">
      <c r="A31" t="inlineStr">
        <is>
          <t>Tax Calculation with PTC:</t>
        </is>
      </c>
    </row>
    <row r="32">
      <c r="A32" t="inlineStr">
        <is>
          <t xml:space="preserve">  1. Calculate Pre-PTC Tax = MAX(0, EBIT) × Tax Rate</t>
        </is>
      </c>
    </row>
    <row r="33">
      <c r="A33" t="inlineStr">
        <is>
          <t xml:space="preserve">  2. Calculate Gross PTC = Generation × $27.50/MWh</t>
        </is>
      </c>
    </row>
    <row r="34">
      <c r="A34" t="inlineStr">
        <is>
          <t xml:space="preserve">  3. Apply PTC = MIN(Gross PTC, Pre-PTC Tax)  ← CAPPED at tax owed!</t>
        </is>
      </c>
    </row>
    <row r="35">
      <c r="A35" t="inlineStr">
        <is>
          <t xml:space="preserve">  4. Net Tax = Pre-PTC Tax - PTC Applied</t>
        </is>
      </c>
    </row>
    <row r="37">
      <c r="A37" t="inlineStr">
        <is>
          <t>TRAP: PTC cannot create negative taxes. Always use MIN().</t>
        </is>
      </c>
    </row>
    <row r="38">
      <c r="A38" t="inlineStr">
        <is>
          <t>TRAP: PTC is production-based (wind). ITC is cost-based (solar).</t>
        </is>
      </c>
    </row>
    <row r="40">
      <c r="A40" s="3" t="inlineStr">
        <is>
          <t>MODEL BUILDING GUIDE</t>
        </is>
      </c>
    </row>
    <row r="41">
      <c r="A41" t="inlineStr">
        <is>
          <t>Revenue: =Gen × PPA Price / 1E6 (during contract)</t>
        </is>
      </c>
    </row>
    <row r="42">
      <c r="A42" t="inlineStr">
        <is>
          <t xml:space="preserve">        =Gen × Merchant Price / 1E6 (post-contract)</t>
        </is>
      </c>
    </row>
    <row r="43">
      <c r="A43" t="inlineStr">
        <is>
          <t>O&amp;M: =$D$OM × $D$Capacity × (1+$D$Esc)^(year-1) / 1E6</t>
        </is>
      </c>
    </row>
    <row r="44">
      <c r="A44" t="inlineStr">
        <is>
          <t>EBITDA: =Revenue - O&amp;M - Land - Insurance</t>
        </is>
      </c>
    </row>
    <row r="45">
      <c r="A45" t="inlineStr">
        <is>
          <t>Depreciation: =Depreciable Basis × EV / Depr Life</t>
        </is>
      </c>
    </row>
    <row r="46">
      <c r="A46" t="inlineStr">
        <is>
          <t>Pre-PTC Tax: =MAX(0, EBITDA - Depr) × Tax Rate</t>
        </is>
      </c>
    </row>
    <row r="47">
      <c r="A47" t="inlineStr">
        <is>
          <t>PTC Applied: =MIN(Gross PTC, Pre-PTC Tax)  ← CRITICAL</t>
        </is>
      </c>
    </row>
    <row r="48">
      <c r="A48" t="inlineStr">
        <is>
          <t>CFADS: =EBITDA - Net Taxes</t>
        </is>
      </c>
    </row>
    <row r="49">
      <c r="A49" t="inlineStr">
        <is>
          <t>Debt: Sculpted to Target DSCR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INVESTMENT THESIS PROMPT</t>
        </is>
      </c>
    </row>
    <row r="3">
      <c r="A3" t="inlineStr">
        <is>
          <t>You are an Associate at Lotus Infrastructure Partners evaluating a wind farm acquisition.</t>
        </is>
      </c>
    </row>
    <row r="5">
      <c r="A5" t="inlineStr">
        <is>
          <t>The asset is a 100 MW onshore wind farm in SPP (Oklahoma) with:</t>
        </is>
      </c>
    </row>
    <row r="6">
      <c r="A6" t="inlineStr">
        <is>
          <t>- 12 years remaining on a $45/MWh PPA</t>
        </is>
      </c>
    </row>
    <row r="7">
      <c r="A7" t="inlineStr">
        <is>
          <t>- 5 years remaining of PTC ($27.50/MWh)</t>
        </is>
      </c>
    </row>
    <row r="8">
      <c r="A8" t="inlineStr">
        <is>
          <t>- 38% capacity factor</t>
        </is>
      </c>
    </row>
    <row r="10">
      <c r="A10" t="inlineStr">
        <is>
          <t>Key Questions:</t>
        </is>
      </c>
    </row>
    <row r="11">
      <c r="A11" t="inlineStr">
        <is>
          <t>1. What is the appropriate entry valuation?</t>
        </is>
      </c>
    </row>
    <row r="12">
      <c r="A12" t="inlineStr">
        <is>
          <t>2. How should we structure the debt (sweep vs sculpt)?</t>
        </is>
      </c>
    </row>
    <row r="13">
      <c r="A13" t="inlineStr">
        <is>
          <t>3. What are the key risks to the investment thesis?</t>
        </is>
      </c>
    </row>
    <row r="14">
      <c r="A14" t="inlineStr">
        <is>
          <t>4. What exit multiple is achievable given PPA runoff?</t>
        </is>
      </c>
    </row>
    <row r="16">
      <c r="A16" t="inlineStr">
        <is>
          <t>Build a full LBO model and prepare an IC memo with your recommendation.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INVESTMENT COMMITTEE MEMORANDUM</t>
        </is>
      </c>
    </row>
    <row r="3">
      <c r="A3" t="inlineStr">
        <is>
          <t>TO: Investment Committee</t>
        </is>
      </c>
    </row>
    <row r="4">
      <c r="A4" t="inlineStr">
        <is>
          <t>FROM: Infrastructure Team</t>
        </is>
      </c>
    </row>
    <row r="5">
      <c r="A5" t="inlineStr">
        <is>
          <t>RE: Wind Farm Acquisition Opportunity</t>
        </is>
      </c>
    </row>
    <row r="6">
      <c r="A6" t="inlineStr">
        <is>
          <t>DATE: January 2026</t>
        </is>
      </c>
    </row>
    <row r="8">
      <c r="A8" t="inlineStr">
        <is>
          <t>EXECUTIVE SUMMARY</t>
        </is>
      </c>
    </row>
    <row r="9">
      <c r="A9" t="inlineStr">
        <is>
          <t>We recommend acquiring 100% of the equity in a 100 MW wind farm in SPP for $180mm,</t>
        </is>
      </c>
    </row>
    <row r="10">
      <c r="A10" t="inlineStr">
        <is>
          <t>representing a 7.5x entry multiple on $24mm Y1 EBITDA.</t>
        </is>
      </c>
    </row>
    <row r="12">
      <c r="A12" t="inlineStr">
        <is>
          <t>INVESTMENT HIGHLIGHTS</t>
        </is>
      </c>
    </row>
    <row r="13">
      <c r="A13" t="inlineStr">
        <is>
          <t>• 12-year PPA at $45/MWh provides revenue certainty</t>
        </is>
      </c>
    </row>
    <row r="14">
      <c r="A14" t="inlineStr">
        <is>
          <t>• 5 years of PTC ($27.50/MWh) creates significant tax shield</t>
        </is>
      </c>
    </row>
    <row r="15">
      <c r="A15" t="inlineStr">
        <is>
          <t>• Strong 38% capacity factor indicates quality wind resource</t>
        </is>
      </c>
    </row>
    <row r="16">
      <c r="A16" t="inlineStr">
        <is>
          <t>• Sculpted debt at 1.35x DSCR supports 65% leverage</t>
        </is>
      </c>
    </row>
    <row r="18">
      <c r="A18" t="inlineStr">
        <is>
          <t>KEY RISKS</t>
        </is>
      </c>
    </row>
    <row r="19">
      <c r="A19" t="inlineStr">
        <is>
          <t>• Post-PPA merchant exposure (mitigated by conservative pricing)</t>
        </is>
      </c>
    </row>
    <row r="20">
      <c r="A20" t="inlineStr">
        <is>
          <t>• PTC monetization depends on sufficient taxable income</t>
        </is>
      </c>
    </row>
    <row r="21">
      <c r="A21" t="inlineStr">
        <is>
          <t>• Turbine technology risk (2018 vintage, 7 years into life)</t>
        </is>
      </c>
    </row>
    <row r="23">
      <c r="A23" t="inlineStr">
        <is>
          <t>RETURNS ANALYSIS</t>
        </is>
      </c>
    </row>
    <row r="24">
      <c r="A24" t="inlineStr">
        <is>
          <t>• Levered IRR: ~18%</t>
        </is>
      </c>
    </row>
    <row r="25">
      <c r="A25" t="inlineStr">
        <is>
          <t>• MOIC: ~2.0x</t>
        </is>
      </c>
    </row>
    <row r="26">
      <c r="A26" t="inlineStr">
        <is>
          <t>• Exit at 8.5x Y7 EBITDA (reflects PPA runoff)</t>
        </is>
      </c>
    </row>
    <row r="28">
      <c r="A28" t="inlineStr">
        <is>
          <t>RECOMMENDATION: PROCEED with acquisition at $180mm entry.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Model_Quick - Wind Farm (90-min build)</t>
        </is>
      </c>
    </row>
    <row r="2">
      <c r="D2" s="5" t="inlineStr">
        <is>
          <t>Y0 (2025)</t>
        </is>
      </c>
      <c r="E2" s="5" t="inlineStr">
        <is>
          <t>Y1 (2026)</t>
        </is>
      </c>
      <c r="F2" s="5" t="inlineStr">
        <is>
          <t>Y2 (2027)</t>
        </is>
      </c>
      <c r="G2" s="5" t="inlineStr">
        <is>
          <t>Y3 (2028)</t>
        </is>
      </c>
      <c r="H2" s="5" t="inlineStr">
        <is>
          <t>Y4 (2029)</t>
        </is>
      </c>
      <c r="I2" s="5" t="inlineStr">
        <is>
          <t>Y5 (2030)</t>
        </is>
      </c>
      <c r="J2" s="5" t="inlineStr">
        <is>
          <t>Y6 (2031)</t>
        </is>
      </c>
      <c r="K2" s="5" t="inlineStr">
        <is>
          <t>Y7 (2032)</t>
        </is>
      </c>
      <c r="L2" s="5" t="inlineStr">
        <is>
          <t>Y8 (2033)</t>
        </is>
      </c>
      <c r="M2" s="5" t="inlineStr">
        <is>
          <t>Y9 (2034)</t>
        </is>
      </c>
      <c r="N2" s="5" t="inlineStr">
        <is>
          <t>Y10 (2035)</t>
        </is>
      </c>
    </row>
    <row r="4">
      <c r="A4" s="6" t="inlineStr">
        <is>
          <t>═══ KEY METRICS ═══</t>
        </is>
      </c>
    </row>
    <row r="5">
      <c r="A5" t="inlineStr">
        <is>
          <t>Entry EV</t>
        </is>
      </c>
      <c r="B5" t="inlineStr">
        <is>
          <t>$mm</t>
        </is>
      </c>
      <c r="D5" s="7">
        <f>D12</f>
        <v/>
      </c>
    </row>
    <row r="6">
      <c r="A6" t="inlineStr">
        <is>
          <t>Debt %</t>
        </is>
      </c>
      <c r="B6" t="inlineStr">
        <is>
          <t>%</t>
        </is>
      </c>
      <c r="D6" s="17">
        <f>D36/D12</f>
        <v/>
      </c>
    </row>
    <row r="7">
      <c r="A7" t="inlineStr">
        <is>
          <t>Y1 EBITDA</t>
        </is>
      </c>
      <c r="B7" t="inlineStr">
        <is>
          <t>$mm</t>
        </is>
      </c>
      <c r="D7" s="7">
        <f>E42</f>
        <v/>
      </c>
    </row>
    <row r="8">
      <c r="A8" t="inlineStr">
        <is>
          <t>Levered IRR</t>
        </is>
      </c>
      <c r="B8" t="inlineStr">
        <is>
          <t>%</t>
        </is>
      </c>
      <c r="D8" s="7">
        <f>D58</f>
        <v/>
      </c>
    </row>
    <row r="9">
      <c r="A9" t="inlineStr">
        <is>
          <t>MOIC</t>
        </is>
      </c>
      <c r="B9" t="inlineStr">
        <is>
          <t>x</t>
        </is>
      </c>
      <c r="D9" s="7">
        <f>D59</f>
        <v/>
      </c>
    </row>
    <row r="11">
      <c r="A11" s="6" t="inlineStr">
        <is>
          <t>═══ TRANSACTION ═══</t>
        </is>
      </c>
    </row>
    <row r="12">
      <c r="A12" t="inlineStr">
        <is>
          <t>Entry EV</t>
        </is>
      </c>
      <c r="B12" t="inlineStr">
        <is>
          <t>$mm</t>
        </is>
      </c>
      <c r="D12" s="9" t="n">
        <v>180</v>
      </c>
    </row>
    <row r="13">
      <c r="A13" t="inlineStr">
        <is>
          <t>Transaction Fees</t>
        </is>
      </c>
      <c r="B13" t="inlineStr">
        <is>
          <t>%</t>
        </is>
      </c>
      <c r="D13" s="9" t="n">
        <v>0.015</v>
      </c>
    </row>
    <row r="14">
      <c r="A14" t="inlineStr">
        <is>
          <t>Exit Multiple</t>
        </is>
      </c>
      <c r="B14" t="inlineStr">
        <is>
          <t>x</t>
        </is>
      </c>
      <c r="D14" s="9" t="n">
        <v>8.5</v>
      </c>
    </row>
    <row r="15">
      <c r="A15" t="inlineStr">
        <is>
          <t>Exit Year</t>
        </is>
      </c>
      <c r="B15" t="inlineStr">
        <is>
          <t>yr</t>
        </is>
      </c>
      <c r="D15" s="9" t="n">
        <v>7</v>
      </c>
    </row>
    <row r="17">
      <c r="A17" s="6" t="inlineStr">
        <is>
          <t>═══ ASSET ═══</t>
        </is>
      </c>
    </row>
    <row r="18">
      <c r="A18" t="inlineStr">
        <is>
          <t>Capacity</t>
        </is>
      </c>
      <c r="B18" t="inlineStr">
        <is>
          <t>MW</t>
        </is>
      </c>
      <c r="D18" s="9" t="n">
        <v>100</v>
      </c>
    </row>
    <row r="19">
      <c r="A19" t="inlineStr">
        <is>
          <t>Capacity Factor</t>
        </is>
      </c>
      <c r="B19" t="inlineStr">
        <is>
          <t>%</t>
        </is>
      </c>
      <c r="D19" s="9" t="n">
        <v>0.38</v>
      </c>
    </row>
    <row r="20">
      <c r="A20" t="inlineStr">
        <is>
          <t>Degradation</t>
        </is>
      </c>
      <c r="B20" t="inlineStr">
        <is>
          <t>%/yr</t>
        </is>
      </c>
      <c r="D20" s="9" t="n">
        <v>0.003</v>
      </c>
    </row>
    <row r="21">
      <c r="A21" t="inlineStr">
        <is>
          <t>Y1 EBITDA</t>
        </is>
      </c>
      <c r="B21" t="inlineStr">
        <is>
          <t>$mm</t>
        </is>
      </c>
      <c r="D21" s="9" t="n">
        <v>24</v>
      </c>
    </row>
    <row r="22">
      <c r="A22" t="inlineStr">
        <is>
          <t>EBITDA Escalation</t>
        </is>
      </c>
      <c r="B22" t="inlineStr">
        <is>
          <t>%</t>
        </is>
      </c>
      <c r="D22" s="9" t="n">
        <v>0.02</v>
      </c>
    </row>
    <row r="24">
      <c r="A24" s="6" t="inlineStr">
        <is>
          <t>═══ FINANCING ═══</t>
        </is>
      </c>
    </row>
    <row r="25">
      <c r="A25" t="inlineStr">
        <is>
          <t>Leverage</t>
        </is>
      </c>
      <c r="B25" t="inlineStr">
        <is>
          <t>%</t>
        </is>
      </c>
      <c r="D25" s="9" t="n">
        <v>0.65</v>
      </c>
    </row>
    <row r="26">
      <c r="A26" t="inlineStr">
        <is>
          <t>Interest Rate</t>
        </is>
      </c>
      <c r="B26" t="inlineStr">
        <is>
          <t>%</t>
        </is>
      </c>
      <c r="D26" s="9" t="n">
        <v>0.055</v>
      </c>
    </row>
    <row r="27">
      <c r="A27" t="inlineStr">
        <is>
          <t>Debt Tenor</t>
        </is>
      </c>
      <c r="B27" t="inlineStr">
        <is>
          <t>yrs</t>
        </is>
      </c>
      <c r="D27" s="9" t="n">
        <v>7</v>
      </c>
    </row>
    <row r="29">
      <c r="A29" s="6" t="inlineStr">
        <is>
          <t>═══ SOURCES &amp; USES ═══</t>
        </is>
      </c>
    </row>
    <row r="30">
      <c r="A30" s="5" t="inlineStr">
        <is>
          <t>USES:</t>
        </is>
      </c>
    </row>
    <row r="31">
      <c r="A31" t="inlineStr">
        <is>
          <t>Purchase Price</t>
        </is>
      </c>
      <c r="D31">
        <f>D12</f>
        <v/>
      </c>
    </row>
    <row r="32">
      <c r="A32" t="inlineStr">
        <is>
          <t>Transaction Fees</t>
        </is>
      </c>
      <c r="D32">
        <f>D12*D13</f>
        <v/>
      </c>
    </row>
    <row r="33">
      <c r="A33" s="5" t="inlineStr">
        <is>
          <t>Total Uses</t>
        </is>
      </c>
      <c r="D33" s="7">
        <f>D31+D32</f>
        <v/>
      </c>
    </row>
    <row r="35">
      <c r="A35" s="5" t="inlineStr">
        <is>
          <t>SOURCES:</t>
        </is>
      </c>
    </row>
    <row r="36">
      <c r="A36" t="inlineStr">
        <is>
          <t>Funded Debt</t>
        </is>
      </c>
      <c r="D36">
        <f>D12*D25</f>
        <v/>
      </c>
    </row>
    <row r="37">
      <c r="A37" t="inlineStr">
        <is>
          <t>Entry Equity</t>
        </is>
      </c>
      <c r="D37">
        <f>D33-D36</f>
        <v/>
      </c>
    </row>
    <row r="38">
      <c r="A38" s="5" t="inlineStr">
        <is>
          <t>Total Sources</t>
        </is>
      </c>
      <c r="D38" s="7">
        <f>D36+D37</f>
        <v/>
      </c>
    </row>
    <row r="39">
      <c r="A39" t="inlineStr">
        <is>
          <t>Balance Check</t>
        </is>
      </c>
      <c r="D39" s="7">
        <f>IF(ABS(D33-D38)&lt;0.01,"PASS","FAIL")</f>
        <v/>
      </c>
    </row>
    <row r="41">
      <c r="A41" s="6" t="inlineStr">
        <is>
          <t>═══ OPERATING MODEL ═══</t>
        </is>
      </c>
    </row>
    <row r="42">
      <c r="A42" t="inlineStr">
        <is>
          <t>EBITDA</t>
        </is>
      </c>
      <c r="B42" t="inlineStr">
        <is>
          <t>$mm</t>
        </is>
      </c>
      <c r="E42" s="18">
        <f>$D$21*(1+$D$22)^(1-1)</f>
        <v/>
      </c>
      <c r="F42" s="18">
        <f>$D$21*(1+$D$22)^(2-1)</f>
        <v/>
      </c>
      <c r="G42" s="18">
        <f>$D$21*(1+$D$22)^(3-1)</f>
        <v/>
      </c>
      <c r="H42" s="18">
        <f>$D$21*(1+$D$22)^(4-1)</f>
        <v/>
      </c>
      <c r="I42" s="18">
        <f>$D$21*(1+$D$22)^(5-1)</f>
        <v/>
      </c>
      <c r="J42" s="18">
        <f>$D$21*(1+$D$22)^(6-1)</f>
        <v/>
      </c>
      <c r="K42" s="18">
        <f>$D$21*(1+$D$22)^(7-1)</f>
        <v/>
      </c>
      <c r="L42" s="18">
        <f>$D$21*(1+$D$22)^(8-1)</f>
        <v/>
      </c>
      <c r="M42" s="18">
        <f>$D$21*(1+$D$22)^(9-1)</f>
        <v/>
      </c>
      <c r="N42" s="18">
        <f>$D$21*(1+$D$22)^(10-1)</f>
        <v/>
      </c>
    </row>
    <row r="44">
      <c r="A44" s="6" t="inlineStr">
        <is>
          <t>═══ DEBT (Straight-Line) ═══</t>
        </is>
      </c>
    </row>
    <row r="45">
      <c r="A45" t="inlineStr">
        <is>
          <t>Beginning Balance</t>
        </is>
      </c>
      <c r="B45" t="inlineStr">
        <is>
          <t>$mm</t>
        </is>
      </c>
      <c r="E45">
        <f>D36</f>
        <v/>
      </c>
      <c r="F45">
        <f>E48</f>
        <v/>
      </c>
      <c r="G45">
        <f>F48</f>
        <v/>
      </c>
      <c r="H45">
        <f>G48</f>
        <v/>
      </c>
      <c r="I45">
        <f>H48</f>
        <v/>
      </c>
      <c r="J45">
        <f>I48</f>
        <v/>
      </c>
      <c r="K45">
        <f>J48</f>
        <v/>
      </c>
      <c r="L45">
        <f>K48</f>
        <v/>
      </c>
      <c r="M45">
        <f>L48</f>
        <v/>
      </c>
      <c r="N45">
        <f>M48</f>
        <v/>
      </c>
    </row>
    <row r="46">
      <c r="A46" t="inlineStr">
        <is>
          <t>Interest</t>
        </is>
      </c>
      <c r="B46" t="inlineStr">
        <is>
          <t>$mm</t>
        </is>
      </c>
      <c r="E46" s="19">
        <f>E45*$D$26</f>
        <v/>
      </c>
      <c r="F46" s="19">
        <f>F45*$D$26</f>
        <v/>
      </c>
      <c r="G46" s="19">
        <f>G45*$D$26</f>
        <v/>
      </c>
      <c r="H46" s="19">
        <f>H45*$D$26</f>
        <v/>
      </c>
      <c r="I46" s="19">
        <f>I45*$D$26</f>
        <v/>
      </c>
      <c r="J46" s="19">
        <f>J45*$D$26</f>
        <v/>
      </c>
      <c r="K46" s="19">
        <f>K45*$D$26</f>
        <v/>
      </c>
      <c r="L46" s="19">
        <f>L45*$D$26</f>
        <v/>
      </c>
      <c r="M46" s="19">
        <f>M45*$D$26</f>
        <v/>
      </c>
      <c r="N46" s="19">
        <f>N45*$D$26</f>
        <v/>
      </c>
    </row>
    <row r="47">
      <c r="A47" t="inlineStr">
        <is>
          <t>Principal</t>
        </is>
      </c>
      <c r="B47" t="inlineStr">
        <is>
          <t>$mm</t>
        </is>
      </c>
      <c r="E47" s="19">
        <f>MIN($D$36/$D$27,E45)</f>
        <v/>
      </c>
      <c r="F47" s="19">
        <f>MIN($D$36/$D$27,F45)</f>
        <v/>
      </c>
      <c r="G47" s="19">
        <f>MIN($D$36/$D$27,G45)</f>
        <v/>
      </c>
      <c r="H47" s="19">
        <f>MIN($D$36/$D$27,H45)</f>
        <v/>
      </c>
      <c r="I47" s="19">
        <f>MIN($D$36/$D$27,I45)</f>
        <v/>
      </c>
      <c r="J47" s="19">
        <f>MIN($D$36/$D$27,J45)</f>
        <v/>
      </c>
      <c r="K47" s="19">
        <f>MIN($D$36/$D$27,K45)</f>
        <v/>
      </c>
      <c r="L47" s="19">
        <f>MIN($D$36/$D$27,L45)</f>
        <v/>
      </c>
      <c r="M47" s="19">
        <f>MIN($D$36/$D$27,M45)</f>
        <v/>
      </c>
      <c r="N47" s="19">
        <f>MIN($D$36/$D$27,N45)</f>
        <v/>
      </c>
    </row>
    <row r="48">
      <c r="A48" t="inlineStr">
        <is>
          <t>Ending Balance</t>
        </is>
      </c>
      <c r="B48" t="inlineStr">
        <is>
          <t>$mm</t>
        </is>
      </c>
      <c r="E48" s="19">
        <f>MAX(0,E45-E47)</f>
        <v/>
      </c>
      <c r="F48" s="19">
        <f>MAX(0,F45-F47)</f>
        <v/>
      </c>
      <c r="G48" s="19">
        <f>MAX(0,G45-G47)</f>
        <v/>
      </c>
      <c r="H48" s="19">
        <f>MAX(0,H45-H47)</f>
        <v/>
      </c>
      <c r="I48" s="19">
        <f>MAX(0,I45-I47)</f>
        <v/>
      </c>
      <c r="J48" s="19">
        <f>MAX(0,J45-J47)</f>
        <v/>
      </c>
      <c r="K48" s="19">
        <f>MAX(0,K45-K47)</f>
        <v/>
      </c>
      <c r="L48" s="19">
        <f>MAX(0,L45-L47)</f>
        <v/>
      </c>
      <c r="M48" s="19">
        <f>MAX(0,M45-M47)</f>
        <v/>
      </c>
      <c r="N48" s="19">
        <f>MAX(0,N45-N47)</f>
        <v/>
      </c>
    </row>
    <row r="50">
      <c r="A50" s="6" t="inlineStr">
        <is>
          <t>═══ RETURNS ═══</t>
        </is>
      </c>
    </row>
    <row r="51">
      <c r="A51" t="inlineStr">
        <is>
          <t>Exit EBITDA</t>
        </is>
      </c>
      <c r="D51" s="19">
        <f>OFFSET(E42,0,$D$15-1)</f>
        <v/>
      </c>
    </row>
    <row r="52">
      <c r="A52" t="inlineStr">
        <is>
          <t>Exit EV</t>
        </is>
      </c>
      <c r="D52" s="18">
        <f>D51*$D$14</f>
        <v/>
      </c>
    </row>
    <row r="53">
      <c r="A53" t="inlineStr">
        <is>
          <t>Exit Debt</t>
        </is>
      </c>
      <c r="D53" s="19">
        <f>OFFSET(E48,0,$D$15-1)</f>
        <v/>
      </c>
    </row>
    <row r="54">
      <c r="A54" t="inlineStr">
        <is>
          <t>Exit Equity</t>
        </is>
      </c>
      <c r="D54" s="18">
        <f>D52-D53</f>
        <v/>
      </c>
    </row>
    <row r="56">
      <c r="A56" t="inlineStr">
        <is>
          <t>Equity Cash Flow</t>
        </is>
      </c>
      <c r="B56" t="inlineStr">
        <is>
          <t>$mm</t>
        </is>
      </c>
      <c r="D56">
        <f>-D37</f>
        <v/>
      </c>
      <c r="E56" s="19">
        <f>IF(1=$D$15,D54,0)</f>
        <v/>
      </c>
      <c r="F56" s="19">
        <f>IF(2=$D$15,D54,0)</f>
        <v/>
      </c>
      <c r="G56" s="19">
        <f>IF(3=$D$15,D54,0)</f>
        <v/>
      </c>
      <c r="H56" s="19">
        <f>IF(4=$D$15,D54,0)</f>
        <v/>
      </c>
      <c r="I56" s="19">
        <f>IF(5=$D$15,D54,0)</f>
        <v/>
      </c>
      <c r="J56" s="19">
        <f>IF(6=$D$15,D54,0)</f>
        <v/>
      </c>
      <c r="K56" s="19">
        <f>IF(7=$D$15,D54,0)</f>
        <v/>
      </c>
      <c r="L56" s="19">
        <f>IF(8=$D$15,D54,0)</f>
        <v/>
      </c>
      <c r="M56" s="19">
        <f>IF(9=$D$15,D54,0)</f>
        <v/>
      </c>
      <c r="N56" s="19">
        <f>IF(10=$D$15,D54,0)</f>
        <v/>
      </c>
    </row>
    <row r="58">
      <c r="A58" s="5" t="inlineStr">
        <is>
          <t>Levered IRR</t>
        </is>
      </c>
      <c r="D58" s="17">
        <f>IRR(D56:N56)</f>
        <v/>
      </c>
    </row>
    <row r="59">
      <c r="A59" s="5" t="inlineStr">
        <is>
          <t>MOIC</t>
        </is>
      </c>
      <c r="D59" s="12">
        <f>D54/D37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D1" s="5" t="inlineStr">
        <is>
          <t>Y0 (2025)</t>
        </is>
      </c>
      <c r="E1" s="5" t="inlineStr">
        <is>
          <t>Y1 (2026)</t>
        </is>
      </c>
      <c r="F1" s="5" t="inlineStr">
        <is>
          <t>Y2 (2027)</t>
        </is>
      </c>
      <c r="G1" s="5" t="inlineStr">
        <is>
          <t>Y3 (2028)</t>
        </is>
      </c>
      <c r="H1" s="5" t="inlineStr">
        <is>
          <t>Y4 (2029)</t>
        </is>
      </c>
      <c r="I1" s="5" t="inlineStr">
        <is>
          <t>Y5 (2030)</t>
        </is>
      </c>
      <c r="J1" s="5" t="inlineStr">
        <is>
          <t>Y6 (2031)</t>
        </is>
      </c>
      <c r="K1" s="5" t="inlineStr">
        <is>
          <t>Y7 (2032)</t>
        </is>
      </c>
      <c r="L1" s="5" t="inlineStr">
        <is>
          <t>Y8 (2033)</t>
        </is>
      </c>
      <c r="M1" s="5" t="inlineStr">
        <is>
          <t>Y9 (2034)</t>
        </is>
      </c>
      <c r="N1" s="5" t="inlineStr">
        <is>
          <t>Y10 (2035)</t>
        </is>
      </c>
    </row>
    <row r="3">
      <c r="A3" s="6" t="inlineStr">
        <is>
          <t>═══ AUDIT STRIP ═══</t>
        </is>
      </c>
      <c r="D3">
        <f>$D$35</f>
        <v/>
      </c>
      <c r="M3" s="20" t="inlineStr">
        <is>
          <t>IRR Sensitivity:</t>
        </is>
      </c>
    </row>
    <row r="4">
      <c r="A4" t="inlineStr">
        <is>
          <t>Entry EV</t>
        </is>
      </c>
      <c r="B4" t="inlineStr">
        <is>
          <t>$mm</t>
        </is>
      </c>
      <c r="D4" s="7">
        <f>E74</f>
        <v/>
      </c>
      <c r="M4" s="21" t="inlineStr">
        <is>
          <t>+/- 5% Entry → ~+/- 1% IRR</t>
        </is>
      </c>
    </row>
    <row r="5">
      <c r="A5" t="inlineStr">
        <is>
          <t>Y1 EBITDA</t>
        </is>
      </c>
      <c r="B5" t="inlineStr">
        <is>
          <t>$mm</t>
        </is>
      </c>
      <c r="D5" s="7">
        <f>E71</f>
        <v/>
      </c>
      <c r="M5" s="21" t="inlineStr">
        <is>
          <t>+/- 0.5x Exit → ~+/- 1.5% IRR</t>
        </is>
      </c>
    </row>
    <row r="6">
      <c r="A6" t="inlineStr">
        <is>
          <t>Avg CFADS</t>
        </is>
      </c>
      <c r="B6" t="inlineStr">
        <is>
          <t>$mm</t>
        </is>
      </c>
      <c r="D6" s="7">
        <f>AVERAGE(E81:K81)</f>
        <v/>
      </c>
    </row>
    <row r="7">
      <c r="A7" t="inlineStr">
        <is>
          <t>Min DSCR</t>
        </is>
      </c>
      <c r="B7" t="inlineStr">
        <is>
          <t>x</t>
        </is>
      </c>
      <c r="D7" s="12">
        <f>MINIFS(E93:K93,E86:K86,"&gt;0")</f>
        <v/>
      </c>
    </row>
    <row r="8">
      <c r="A8" t="inlineStr">
        <is>
          <t>Levered IRR</t>
        </is>
      </c>
      <c r="B8" t="inlineStr">
        <is>
          <t>%</t>
        </is>
      </c>
      <c r="D8" s="7">
        <f>D128</f>
        <v/>
      </c>
    </row>
    <row r="9">
      <c r="A9" t="inlineStr">
        <is>
          <t>MOIC</t>
        </is>
      </c>
      <c r="B9" t="inlineStr">
        <is>
          <t>x</t>
        </is>
      </c>
      <c r="D9" s="7">
        <f>D129</f>
        <v/>
      </c>
    </row>
    <row r="11">
      <c r="A11" t="inlineStr">
        <is>
          <t>Unlevered CF</t>
        </is>
      </c>
      <c r="B11" t="inlineStr">
        <is>
          <t>$mm</t>
        </is>
      </c>
      <c r="C11" t="inlineStr">
        <is>
          <t>Y0: -Entry EV, Y1-n: CFADS, Exit: +Exit EV</t>
        </is>
      </c>
      <c r="D11" s="19">
        <f>-D4</f>
        <v/>
      </c>
      <c r="E11" s="19">
        <f>E6+IF(1=$D$26,D121,0)</f>
        <v/>
      </c>
      <c r="F11" s="19">
        <f>F6+IF(2=$D$26,D121,0)</f>
        <v/>
      </c>
      <c r="G11" s="19">
        <f>G6+IF(3=$D$26,D121,0)</f>
        <v/>
      </c>
      <c r="H11" s="19">
        <f>H6+IF(4=$D$26,D121,0)</f>
        <v/>
      </c>
      <c r="I11" s="19">
        <f>I6+IF(5=$D$26,D121,0)</f>
        <v/>
      </c>
      <c r="J11" s="19">
        <f>J6+IF(6=$D$26,D121,0)</f>
        <v/>
      </c>
      <c r="K11" s="19">
        <f>K6+IF(7=$D$26,D121,0)</f>
        <v/>
      </c>
      <c r="L11" s="19">
        <f>L6+IF(8=$D$26,D121,0)</f>
        <v/>
      </c>
      <c r="M11" s="19">
        <f>M6+IF(9=$D$26,D121,0)</f>
        <v/>
      </c>
      <c r="N11" s="19">
        <f>N6+IF(10=$D$26,D121,0)</f>
        <v/>
      </c>
    </row>
    <row r="12">
      <c r="A12" s="5" t="inlineStr">
        <is>
          <t>Unlevered IRR</t>
        </is>
      </c>
      <c r="B12" t="inlineStr">
        <is>
          <t>%</t>
        </is>
      </c>
      <c r="C12" t="inlineStr">
        <is>
          <t>Asset return before financing; typical 8-12%</t>
        </is>
      </c>
      <c r="D12" s="17">
        <f>IRR(D11:N11)</f>
        <v/>
      </c>
    </row>
    <row r="14">
      <c r="A14" s="6" t="inlineStr">
        <is>
          <t>═══ QA CHECKS ═══</t>
        </is>
      </c>
    </row>
    <row r="15">
      <c r="A15" t="inlineStr">
        <is>
          <t>S&amp;U Balance</t>
        </is>
      </c>
      <c r="D15" s="7">
        <f>IF(ABS(D111-D116)&lt;0.01,"PASS","FAIL")</f>
        <v/>
      </c>
    </row>
    <row r="16">
      <c r="A16" t="inlineStr">
        <is>
          <t>Debt Payoff</t>
        </is>
      </c>
      <c r="D16" s="7">
        <f>IF(OFFSET(E90,0,$D$59-1)&lt;1,"PASS","FAIL")</f>
        <v/>
      </c>
    </row>
    <row r="17">
      <c r="A17" t="inlineStr">
        <is>
          <t>Min DSCR Check</t>
        </is>
      </c>
      <c r="D17" s="7">
        <f>IF(D7&gt;=1.3,"PASS","FAIL")</f>
        <v/>
      </c>
    </row>
    <row r="19">
      <c r="A19" s="6" t="inlineStr">
        <is>
          <t>═══════════ CONTROL PANEL ═══════════</t>
        </is>
      </c>
    </row>
    <row r="21">
      <c r="A21" s="13" t="inlineStr">
        <is>
          <t>REVENUE</t>
        </is>
      </c>
    </row>
    <row r="22">
      <c r="A22" t="inlineStr">
        <is>
          <t>Revenue Mode</t>
        </is>
      </c>
      <c r="C22" t="inlineStr">
        <is>
          <t>Contracted / Merchant / Hybrid</t>
        </is>
      </c>
      <c r="D22" s="9" t="inlineStr">
        <is>
          <t>Contracted</t>
        </is>
      </c>
    </row>
    <row r="23">
      <c r="A23" t="inlineStr">
        <is>
          <t>Contract End Year</t>
        </is>
      </c>
      <c r="C23" t="inlineStr">
        <is>
          <t>Year PPA expires</t>
        </is>
      </c>
      <c r="D23" s="9" t="n">
        <v>12</v>
      </c>
    </row>
    <row r="25">
      <c r="A25" s="13" t="inlineStr">
        <is>
          <t>TIMING</t>
        </is>
      </c>
    </row>
    <row r="26">
      <c r="A26" t="inlineStr">
        <is>
          <t>Exit Year</t>
        </is>
      </c>
      <c r="C26" t="inlineStr">
        <is>
          <t>5 / 7 / 10</t>
        </is>
      </c>
      <c r="D26" s="9" t="n">
        <v>7</v>
      </c>
    </row>
    <row r="27">
      <c r="A27" t="inlineStr">
        <is>
          <t>PTC End Year</t>
        </is>
      </c>
      <c r="C27" t="inlineStr">
        <is>
          <t>Last year of PTC</t>
        </is>
      </c>
      <c r="D27" s="9" t="n">
        <v>5</v>
      </c>
    </row>
    <row r="29">
      <c r="A29" s="13" t="inlineStr">
        <is>
          <t>DEBT</t>
        </is>
      </c>
    </row>
    <row r="30">
      <c r="A30" t="inlineStr">
        <is>
          <t>Debt Type</t>
        </is>
      </c>
      <c r="C30" t="inlineStr">
        <is>
          <t>Sculpted (contracted assets)</t>
        </is>
      </c>
      <c r="D30" s="9" t="inlineStr">
        <is>
          <t>Sculpted</t>
        </is>
      </c>
    </row>
    <row r="32">
      <c r="A32" s="6" t="inlineStr">
        <is>
          <t>════════════════════════════════════</t>
        </is>
      </c>
    </row>
    <row r="34">
      <c r="A34" s="6" t="inlineStr">
        <is>
          <t>═══ TRANSACTION INPUTS ═══</t>
        </is>
      </c>
    </row>
    <row r="35">
      <c r="A35" t="inlineStr">
        <is>
          <t>Entry EV</t>
        </is>
      </c>
      <c r="B35" t="inlineStr">
        <is>
          <t>$mm</t>
        </is>
      </c>
      <c r="C35" t="inlineStr">
        <is>
          <t>Purchase price</t>
        </is>
      </c>
      <c r="D35" s="9" t="n">
        <v>180</v>
      </c>
    </row>
    <row r="36">
      <c r="A36" t="inlineStr">
        <is>
          <t>Transaction Fees</t>
        </is>
      </c>
      <c r="B36" t="inlineStr">
        <is>
          <t>%</t>
        </is>
      </c>
      <c r="C36" t="inlineStr">
        <is>
          <t>Legal, advisory</t>
        </is>
      </c>
      <c r="D36" s="9" t="n">
        <v>0.015</v>
      </c>
    </row>
    <row r="37">
      <c r="A37" t="inlineStr">
        <is>
          <t>Exit Multiple</t>
        </is>
      </c>
      <c r="B37" t="inlineStr">
        <is>
          <t>x</t>
        </is>
      </c>
      <c r="C37" t="inlineStr">
        <is>
          <t>Reflects PPA runoff</t>
        </is>
      </c>
      <c r="D37" s="9" t="n">
        <v>8.5</v>
      </c>
    </row>
    <row r="39">
      <c r="A39" s="6" t="inlineStr">
        <is>
          <t>═══ ASSET INPUTS ═══</t>
        </is>
      </c>
    </row>
    <row r="40">
      <c r="A40" t="inlineStr">
        <is>
          <t>Nameplate Capacity</t>
        </is>
      </c>
      <c r="B40" t="inlineStr">
        <is>
          <t>MW</t>
        </is>
      </c>
      <c r="C40" t="inlineStr">
        <is>
          <t>40 turbines × 2.5 MW</t>
        </is>
      </c>
      <c r="D40" s="9" t="n">
        <v>100</v>
      </c>
    </row>
    <row r="41">
      <c r="A41" t="inlineStr">
        <is>
          <t>Net Capacity Factor</t>
        </is>
      </c>
      <c r="B41" t="inlineStr">
        <is>
          <t>%</t>
        </is>
      </c>
      <c r="C41" t="inlineStr">
        <is>
          <t>Strong for onshore wind</t>
        </is>
      </c>
      <c r="D41" s="9" t="n">
        <v>0.38</v>
      </c>
    </row>
    <row r="42">
      <c r="A42" t="inlineStr">
        <is>
          <t>Annual Degradation</t>
        </is>
      </c>
      <c r="B42" t="inlineStr">
        <is>
          <t>%</t>
        </is>
      </c>
      <c r="C42" t="inlineStr">
        <is>
          <t>0.3%/yr blade erosion</t>
        </is>
      </c>
      <c r="D42" s="9" t="n">
        <v>0.003</v>
      </c>
    </row>
    <row r="43">
      <c r="A43" t="inlineStr">
        <is>
          <t>PPA Price</t>
        </is>
      </c>
      <c r="B43" t="inlineStr">
        <is>
          <t>$/MWh</t>
        </is>
      </c>
      <c r="C43" t="inlineStr">
        <is>
          <t>12 years remaining</t>
        </is>
      </c>
      <c r="D43" s="9" t="n">
        <v>45</v>
      </c>
    </row>
    <row r="44">
      <c r="A44" t="inlineStr">
        <is>
          <t>Post-PPA Merchant</t>
        </is>
      </c>
      <c r="B44" t="inlineStr">
        <is>
          <t>$/MWh</t>
        </is>
      </c>
      <c r="C44" t="inlineStr">
        <is>
          <t>Conservative SPP pricing</t>
        </is>
      </c>
      <c r="D44" s="9" t="n">
        <v>35</v>
      </c>
    </row>
    <row r="45">
      <c r="A45" t="inlineStr">
        <is>
          <t>Price Escalation</t>
        </is>
      </c>
      <c r="B45" t="inlineStr">
        <is>
          <t>%</t>
        </is>
      </c>
      <c r="C45" t="inlineStr">
        <is>
          <t>Both PPA and merchant</t>
        </is>
      </c>
      <c r="D45" s="9" t="n">
        <v>0.02</v>
      </c>
    </row>
    <row r="47">
      <c r="A47" s="6" t="inlineStr">
        <is>
          <t>═══ COST INPUTS ═══</t>
        </is>
      </c>
    </row>
    <row r="48">
      <c r="A48" t="inlineStr">
        <is>
          <t>O&amp;M</t>
        </is>
      </c>
      <c r="B48" t="inlineStr">
        <is>
          <t>$/kW-yr</t>
        </is>
      </c>
      <c r="C48" t="inlineStr">
        <is>
          <t>Higher than solar</t>
        </is>
      </c>
      <c r="D48" s="9" t="n">
        <v>35</v>
      </c>
    </row>
    <row r="49">
      <c r="A49" t="inlineStr">
        <is>
          <t>O&amp;M Escalation</t>
        </is>
      </c>
      <c r="B49" t="inlineStr">
        <is>
          <t>%</t>
        </is>
      </c>
      <c r="C49" t="inlineStr">
        <is>
          <t>Labor + parts inflation</t>
        </is>
      </c>
      <c r="D49" s="9" t="n">
        <v>0.025</v>
      </c>
    </row>
    <row r="50">
      <c r="A50" t="inlineStr">
        <is>
          <t>Land Lease</t>
        </is>
      </c>
      <c r="B50" t="inlineStr">
        <is>
          <t>$mm/yr</t>
        </is>
      </c>
      <c r="C50" t="inlineStr">
        <is>
          <t>Fixed annual</t>
        </is>
      </c>
      <c r="D50" s="9" t="n">
        <v>0.5</v>
      </c>
    </row>
    <row r="51">
      <c r="A51" t="inlineStr">
        <is>
          <t>Insurance</t>
        </is>
      </c>
      <c r="B51" t="inlineStr">
        <is>
          <t>% EV</t>
        </is>
      </c>
      <c r="C51" t="inlineStr">
        <is>
          <t>0.3% of EV</t>
        </is>
      </c>
      <c r="D51" s="9" t="n">
        <v>0.003</v>
      </c>
    </row>
    <row r="53">
      <c r="A53" s="6" t="inlineStr">
        <is>
          <t>═══ TAX INPUTS ═══</t>
        </is>
      </c>
    </row>
    <row r="54">
      <c r="A54" t="inlineStr">
        <is>
          <t>Tax Rate</t>
        </is>
      </c>
      <c r="B54" t="inlineStr">
        <is>
          <t>%</t>
        </is>
      </c>
      <c r="C54" t="inlineStr">
        <is>
          <t>Federal + state blended</t>
        </is>
      </c>
      <c r="D54" s="9" t="n">
        <v>0.25</v>
      </c>
    </row>
    <row r="55">
      <c r="A55" t="inlineStr">
        <is>
          <t>PTC Rate</t>
        </is>
      </c>
      <c r="B55" t="inlineStr">
        <is>
          <t>$/MWh</t>
        </is>
      </c>
      <c r="C55" t="inlineStr">
        <is>
          <t>Inflation-adjusted 2024</t>
        </is>
      </c>
      <c r="D55" s="9" t="n">
        <v>27.5</v>
      </c>
    </row>
    <row r="56">
      <c r="A56" t="inlineStr">
        <is>
          <t>Depreciable Basis</t>
        </is>
      </c>
      <c r="B56" t="inlineStr">
        <is>
          <t>%</t>
        </is>
      </c>
      <c r="C56" t="inlineStr">
        <is>
          <t>85% of EV</t>
        </is>
      </c>
      <c r="D56" s="9" t="n">
        <v>0.85</v>
      </c>
    </row>
    <row r="57">
      <c r="A57" t="inlineStr">
        <is>
          <t>Depreciation Life</t>
        </is>
      </c>
      <c r="B57" t="inlineStr">
        <is>
          <t>yrs</t>
        </is>
      </c>
      <c r="C57" t="inlineStr">
        <is>
          <t>MACRS wind</t>
        </is>
      </c>
      <c r="D57" s="9" t="n">
        <v>20</v>
      </c>
    </row>
    <row r="59">
      <c r="A59" s="6" t="inlineStr">
        <is>
          <t>═══ FINANCING INPUTS ═══</t>
        </is>
      </c>
    </row>
    <row r="60">
      <c r="A60" t="inlineStr">
        <is>
          <t>Leverage</t>
        </is>
      </c>
      <c r="B60" t="inlineStr">
        <is>
          <t>%</t>
        </is>
      </c>
      <c r="C60" t="inlineStr">
        <is>
          <t>Debt / EV</t>
        </is>
      </c>
      <c r="D60" s="9" t="n">
        <v>0.65</v>
      </c>
    </row>
    <row r="61">
      <c r="A61" t="inlineStr">
        <is>
          <t>Interest Rate</t>
        </is>
      </c>
      <c r="B61" t="inlineStr">
        <is>
          <t>%</t>
        </is>
      </c>
      <c r="C61" t="inlineStr">
        <is>
          <t>SOFR + 250bp</t>
        </is>
      </c>
      <c r="D61" s="9" t="n">
        <v>0.055</v>
      </c>
    </row>
    <row r="62">
      <c r="A62" t="inlineStr">
        <is>
          <t>Debt Tenor</t>
        </is>
      </c>
      <c r="B62" t="inlineStr">
        <is>
          <t>yrs</t>
        </is>
      </c>
      <c r="C62" t="inlineStr">
        <is>
          <t>Matches hold period</t>
        </is>
      </c>
      <c r="D62" s="9" t="n">
        <v>7</v>
      </c>
    </row>
    <row r="63">
      <c r="A63" t="inlineStr">
        <is>
          <t>Target DSCR</t>
        </is>
      </c>
      <c r="B63" t="inlineStr">
        <is>
          <t>x</t>
        </is>
      </c>
      <c r="C63" t="inlineStr">
        <is>
          <t>Sculpting target</t>
        </is>
      </c>
      <c r="D63" s="9" t="n">
        <v>1.35</v>
      </c>
    </row>
    <row r="64">
      <c r="A64" t="inlineStr">
        <is>
          <t>DSRA Months</t>
        </is>
      </c>
      <c r="B64" t="inlineStr">
        <is>
          <t>months</t>
        </is>
      </c>
      <c r="C64" t="inlineStr">
        <is>
          <t>6 months DS coverage</t>
        </is>
      </c>
      <c r="D64" s="9" t="n">
        <v>6</v>
      </c>
    </row>
    <row r="67">
      <c r="A67" s="6" t="inlineStr">
        <is>
          <t>═══ OPERATING MODEL ═══</t>
        </is>
      </c>
    </row>
    <row r="68">
      <c r="A68" t="inlineStr">
        <is>
          <t>Generation</t>
        </is>
      </c>
      <c r="B68" t="inlineStr">
        <is>
          <t>MWh</t>
        </is>
      </c>
      <c r="C68" t="inlineStr">
        <is>
          <t>[WHAT] Capacity × CF × 8760 × (1-Degrad)^(yr-1)</t>
        </is>
      </c>
      <c r="D68">
        <f>$D$40*$D$41*8760</f>
        <v/>
      </c>
      <c r="E68" s="14">
        <f>$D$40*$D$41*8760*(1-$D$42)^(1-1)</f>
        <v/>
      </c>
      <c r="F68" s="14">
        <f>$D$40*$D$41*8760*(1-$D$42)^(2-1)</f>
        <v/>
      </c>
      <c r="G68" s="14">
        <f>$D$40*$D$41*8760*(1-$D$42)^(3-1)</f>
        <v/>
      </c>
      <c r="H68" s="14">
        <f>$D$40*$D$41*8760*(1-$D$42)^(4-1)</f>
        <v/>
      </c>
      <c r="I68" s="14">
        <f>$D$40*$D$41*8760*(1-$D$42)^(5-1)</f>
        <v/>
      </c>
      <c r="J68" s="14">
        <f>$D$40*$D$41*8760*(1-$D$42)^(6-1)</f>
        <v/>
      </c>
      <c r="K68" s="14">
        <f>$D$40*$D$41*8760*(1-$D$42)^(7-1)</f>
        <v/>
      </c>
      <c r="L68" s="14">
        <f>$D$40*$D$41*8760*(1-$D$42)^(8-1)</f>
        <v/>
      </c>
      <c r="M68" s="14">
        <f>$D$40*$D$41*8760*(1-$D$42)^(9-1)</f>
        <v/>
      </c>
      <c r="N68" s="14">
        <f>$D$40*$D$41*8760*(1-$D$42)^(10-1)</f>
        <v/>
      </c>
    </row>
    <row r="69">
      <c r="A69" t="inlineStr">
        <is>
          <t>Revenue</t>
        </is>
      </c>
      <c r="B69" t="inlineStr">
        <is>
          <t>$mm</t>
        </is>
      </c>
      <c r="C69" t="inlineStr">
        <is>
          <t>[WHAT] PPA price during contract, merchant after</t>
        </is>
      </c>
      <c r="D69">
        <f>$D$35*$D$60</f>
        <v/>
      </c>
      <c r="E69" s="18">
        <f>E68*$D$43*(1+$D$45)^(1-1)/1000000</f>
        <v/>
      </c>
      <c r="F69" s="18">
        <f>F68*$D$43*(1+$D$45)^(2-1)/1000000</f>
        <v/>
      </c>
      <c r="G69" s="18">
        <f>G68*$D$43*(1+$D$45)^(3-1)/1000000</f>
        <v/>
      </c>
      <c r="H69" s="18">
        <f>H68*$D$43*(1+$D$45)^(4-1)/1000000</f>
        <v/>
      </c>
      <c r="I69" s="18">
        <f>I68*$D$43*(1+$D$45)^(5-1)/1000000</f>
        <v/>
      </c>
      <c r="J69" s="18">
        <f>J68*$D$43*(1+$D$45)^(6-1)/1000000</f>
        <v/>
      </c>
      <c r="K69" s="18">
        <f>K68*$D$43*(1+$D$45)^(7-1)/1000000</f>
        <v/>
      </c>
      <c r="L69" s="18">
        <f>L68*$D$43*(1+$D$45)^(8-1)/1000000</f>
        <v/>
      </c>
      <c r="M69" s="18">
        <f>M68*$D$43*(1+$D$45)^(9-1)/1000000</f>
        <v/>
      </c>
      <c r="N69" s="18">
        <f>N68*$D$43*(1+$D$45)^(10-1)/1000000</f>
        <v/>
      </c>
    </row>
    <row r="70">
      <c r="D70">
        <f>$D$35*$D$56/$D$57</f>
        <v/>
      </c>
    </row>
    <row r="71">
      <c r="A71" t="inlineStr">
        <is>
          <t>O&amp;M Expense</t>
        </is>
      </c>
      <c r="B71" t="inlineStr">
        <is>
          <t>$mm</t>
        </is>
      </c>
      <c r="E71" s="19">
        <f>$D$40*$D$48*(1+$D$49)^(1-1)/1000</f>
        <v/>
      </c>
      <c r="F71" s="19">
        <f>$D$40*$D$48*(1+$D$49)^(2-1)/1000</f>
        <v/>
      </c>
      <c r="G71" s="19">
        <f>$D$40*$D$48*(1+$D$49)^(3-1)/1000</f>
        <v/>
      </c>
      <c r="H71" s="19">
        <f>$D$40*$D$48*(1+$D$49)^(4-1)/1000</f>
        <v/>
      </c>
      <c r="I71" s="19">
        <f>$D$40*$D$48*(1+$D$49)^(5-1)/1000</f>
        <v/>
      </c>
      <c r="J71" s="19">
        <f>$D$40*$D$48*(1+$D$49)^(6-1)/1000</f>
        <v/>
      </c>
      <c r="K71" s="19">
        <f>$D$40*$D$48*(1+$D$49)^(7-1)/1000</f>
        <v/>
      </c>
      <c r="L71" s="19">
        <f>$D$40*$D$48*(1+$D$49)^(8-1)/1000</f>
        <v/>
      </c>
      <c r="M71" s="19">
        <f>$D$40*$D$48*(1+$D$49)^(9-1)/1000</f>
        <v/>
      </c>
      <c r="N71" s="19">
        <f>$D$40*$D$48*(1+$D$49)^(10-1)/1000</f>
        <v/>
      </c>
    </row>
    <row r="72">
      <c r="A72" t="inlineStr">
        <is>
          <t>Land Lease</t>
        </is>
      </c>
      <c r="B72" t="inlineStr">
        <is>
          <t>$mm</t>
        </is>
      </c>
      <c r="E72" s="19">
        <f>$D$50*(1+$D$45)^(1-1)</f>
        <v/>
      </c>
      <c r="F72" s="19">
        <f>$D$50*(1+$D$45)^(2-1)</f>
        <v/>
      </c>
      <c r="G72" s="19">
        <f>$D$50*(1+$D$45)^(3-1)</f>
        <v/>
      </c>
      <c r="H72" s="19">
        <f>$D$50*(1+$D$45)^(4-1)</f>
        <v/>
      </c>
      <c r="I72" s="19">
        <f>$D$50*(1+$D$45)^(5-1)</f>
        <v/>
      </c>
      <c r="J72" s="19">
        <f>$D$50*(1+$D$45)^(6-1)</f>
        <v/>
      </c>
      <c r="K72" s="19">
        <f>$D$50*(1+$D$45)^(7-1)</f>
        <v/>
      </c>
      <c r="L72" s="19">
        <f>$D$50*(1+$D$45)^(8-1)</f>
        <v/>
      </c>
      <c r="M72" s="19">
        <f>$D$50*(1+$D$45)^(9-1)</f>
        <v/>
      </c>
      <c r="N72" s="19">
        <f>$D$50*(1+$D$45)^(10-1)</f>
        <v/>
      </c>
    </row>
    <row r="73">
      <c r="A73" t="inlineStr">
        <is>
          <t>Insurance</t>
        </is>
      </c>
      <c r="B73" t="inlineStr">
        <is>
          <t>$mm</t>
        </is>
      </c>
      <c r="E73" s="19">
        <f>$D$35*$D$51</f>
        <v/>
      </c>
      <c r="F73" s="19">
        <f>$D$35*$D$51</f>
        <v/>
      </c>
      <c r="G73" s="19">
        <f>$D$35*$D$51</f>
        <v/>
      </c>
      <c r="H73" s="19">
        <f>$D$35*$D$51</f>
        <v/>
      </c>
      <c r="I73" s="19">
        <f>$D$35*$D$51</f>
        <v/>
      </c>
      <c r="J73" s="19">
        <f>$D$35*$D$51</f>
        <v/>
      </c>
      <c r="K73" s="19">
        <f>$D$35*$D$51</f>
        <v/>
      </c>
      <c r="L73" s="19">
        <f>$D$35*$D$51</f>
        <v/>
      </c>
      <c r="M73" s="19">
        <f>$D$35*$D$51</f>
        <v/>
      </c>
      <c r="N73" s="19">
        <f>$D$35*$D$51</f>
        <v/>
      </c>
    </row>
    <row r="74">
      <c r="A74" s="5" t="inlineStr">
        <is>
          <t>EBITDA</t>
        </is>
      </c>
      <c r="B74" t="inlineStr">
        <is>
          <t>$mm</t>
        </is>
      </c>
      <c r="E74" s="22">
        <f>E69-E71-E72-E73</f>
        <v/>
      </c>
      <c r="F74" s="22">
        <f>F69-F71-F72-F73</f>
        <v/>
      </c>
      <c r="G74" s="22">
        <f>G69-G71-G72-G73</f>
        <v/>
      </c>
      <c r="H74" s="22">
        <f>H69-H71-H72-H73</f>
        <v/>
      </c>
      <c r="I74" s="22">
        <f>I69-I71-I72-I73</f>
        <v/>
      </c>
      <c r="J74" s="22">
        <f>J69-J71-J72-J73</f>
        <v/>
      </c>
      <c r="K74" s="22">
        <f>K69-K71-K72-K73</f>
        <v/>
      </c>
      <c r="L74" s="22">
        <f>L69-L71-L72-L73</f>
        <v/>
      </c>
      <c r="M74" s="22">
        <f>M69-M71-M72-M73</f>
        <v/>
      </c>
      <c r="N74" s="22">
        <f>N69-N71-N72-N73</f>
        <v/>
      </c>
    </row>
    <row r="75">
      <c r="E75">
        <f>$D$44*(1+$D$45)^(1-1)</f>
        <v/>
      </c>
      <c r="F75">
        <f>$D$44*(1+$D$45)^(2-1)</f>
        <v/>
      </c>
      <c r="G75">
        <f>$D$44*(1+$D$45)^(3-1)</f>
        <v/>
      </c>
      <c r="H75">
        <f>$D$44*(1+$D$45)^(4-1)</f>
        <v/>
      </c>
      <c r="I75">
        <f>$D$44*(1+$D$45)^(5-1)</f>
        <v/>
      </c>
      <c r="J75">
        <f>$D$44*(1+$D$45)^(6-1)</f>
        <v/>
      </c>
      <c r="K75">
        <f>$D$44*(1+$D$45)^(7-1)</f>
        <v/>
      </c>
      <c r="L75">
        <f>$D$44*(1+$D$45)^(8-1)</f>
        <v/>
      </c>
      <c r="M75">
        <f>$D$44*(1+$D$45)^(9-1)</f>
        <v/>
      </c>
      <c r="N75">
        <f>$D$44*(1+$D$45)^(10-1)</f>
        <v/>
      </c>
    </row>
    <row r="76">
      <c r="A76" s="6" t="inlineStr">
        <is>
          <t>═══ DEPRECIATION &amp; TAX ═══</t>
        </is>
      </c>
    </row>
    <row r="77">
      <c r="A77" t="inlineStr">
        <is>
          <t>Depreciation</t>
        </is>
      </c>
      <c r="B77" t="inlineStr">
        <is>
          <t>$mm</t>
        </is>
      </c>
      <c r="E77" s="19">
        <f>$D$35*$D$56/$D$57</f>
        <v/>
      </c>
      <c r="F77" s="19">
        <f>$D$35*$D$56/$D$57</f>
        <v/>
      </c>
      <c r="G77" s="19">
        <f>$D$35*$D$56/$D$57</f>
        <v/>
      </c>
      <c r="H77" s="19">
        <f>$D$35*$D$56/$D$57</f>
        <v/>
      </c>
      <c r="I77" s="19">
        <f>$D$35*$D$56/$D$57</f>
        <v/>
      </c>
      <c r="J77" s="19">
        <f>$D$35*$D$56/$D$57</f>
        <v/>
      </c>
      <c r="K77" s="19">
        <f>$D$35*$D$56/$D$57</f>
        <v/>
      </c>
      <c r="L77" s="19">
        <f>$D$35*$D$56/$D$57</f>
        <v/>
      </c>
      <c r="M77" s="19">
        <f>$D$35*$D$56/$D$57</f>
        <v/>
      </c>
      <c r="N77" s="19">
        <f>$D$35*$D$56/$D$57</f>
        <v/>
      </c>
    </row>
    <row r="78">
      <c r="A78" t="inlineStr">
        <is>
          <t>EBIT</t>
        </is>
      </c>
      <c r="B78" t="inlineStr">
        <is>
          <t>$mm</t>
        </is>
      </c>
      <c r="E78" s="19">
        <f>E74-E77</f>
        <v/>
      </c>
      <c r="F78" s="19">
        <f>F74-F77</f>
        <v/>
      </c>
      <c r="G78" s="19">
        <f>G74-G77</f>
        <v/>
      </c>
      <c r="H78" s="19">
        <f>H74-H77</f>
        <v/>
      </c>
      <c r="I78" s="19">
        <f>I74-I77</f>
        <v/>
      </c>
      <c r="J78" s="19">
        <f>J74-J77</f>
        <v/>
      </c>
      <c r="K78" s="19">
        <f>K74-K77</f>
        <v/>
      </c>
      <c r="L78" s="19">
        <f>L74-L77</f>
        <v/>
      </c>
      <c r="M78" s="19">
        <f>M74-M77</f>
        <v/>
      </c>
      <c r="N78" s="19">
        <f>N74-N77</f>
        <v/>
      </c>
    </row>
    <row r="79">
      <c r="A79" t="inlineStr">
        <is>
          <t>Pre-PTC Tax</t>
        </is>
      </c>
      <c r="B79" t="inlineStr">
        <is>
          <t>$mm</t>
        </is>
      </c>
      <c r="C79" t="inlineStr">
        <is>
          <t>[WHAT] MAX(0, EBIT) × Rate</t>
        </is>
      </c>
      <c r="E79" s="19">
        <f>MAX(0,E78)*$D$54</f>
        <v/>
      </c>
      <c r="F79" s="19">
        <f>MAX(0,F78)*$D$54</f>
        <v/>
      </c>
      <c r="G79" s="19">
        <f>MAX(0,G78)*$D$54</f>
        <v/>
      </c>
      <c r="H79" s="19">
        <f>MAX(0,H78)*$D$54</f>
        <v/>
      </c>
      <c r="I79" s="19">
        <f>MAX(0,I78)*$D$54</f>
        <v/>
      </c>
      <c r="J79" s="19">
        <f>MAX(0,J78)*$D$54</f>
        <v/>
      </c>
      <c r="K79" s="19">
        <f>MAX(0,K78)*$D$54</f>
        <v/>
      </c>
      <c r="L79" s="19">
        <f>MAX(0,L78)*$D$54</f>
        <v/>
      </c>
      <c r="M79" s="19">
        <f>MAX(0,M78)*$D$54</f>
        <v/>
      </c>
      <c r="N79" s="19">
        <f>MAX(0,N78)*$D$54</f>
        <v/>
      </c>
    </row>
    <row r="80">
      <c r="A80" t="inlineStr">
        <is>
          <t>Gross PTC</t>
        </is>
      </c>
      <c r="B80" t="inlineStr">
        <is>
          <t>$mm</t>
        </is>
      </c>
      <c r="C80" t="inlineStr">
        <is>
          <t>[WHAT] Gen × PTC Rate (if in PTC period)</t>
        </is>
      </c>
      <c r="E80" s="19">
        <f>IF(1&lt;=$D$27,E68*$D$55/1000000,0)</f>
        <v/>
      </c>
      <c r="F80" s="19">
        <f>IF(2&lt;=$D$27,F68*$D$55/1000000,0)</f>
        <v/>
      </c>
      <c r="G80" s="19">
        <f>IF(3&lt;=$D$27,G68*$D$55/1000000,0)</f>
        <v/>
      </c>
      <c r="H80" s="19">
        <f>IF(4&lt;=$D$27,H68*$D$55/1000000,0)</f>
        <v/>
      </c>
      <c r="I80" s="19">
        <f>IF(5&lt;=$D$27,I68*$D$55/1000000,0)</f>
        <v/>
      </c>
      <c r="J80" s="19">
        <f>IF(6&lt;=$D$27,J68*$D$55/1000000,0)</f>
        <v/>
      </c>
      <c r="K80" s="19">
        <f>IF(7&lt;=$D$27,K68*$D$55/1000000,0)</f>
        <v/>
      </c>
      <c r="L80" s="19">
        <f>IF(8&lt;=$D$27,L68*$D$55/1000000,0)</f>
        <v/>
      </c>
      <c r="M80" s="19">
        <f>IF(9&lt;=$D$27,M68*$D$55/1000000,0)</f>
        <v/>
      </c>
      <c r="N80" s="19">
        <f>IF(10&lt;=$D$27,N68*$D$55/1000000,0)</f>
        <v/>
      </c>
    </row>
    <row r="81">
      <c r="A81" s="15" t="inlineStr">
        <is>
          <t>PTC Applied</t>
        </is>
      </c>
      <c r="B81" t="inlineStr">
        <is>
          <t>$mm</t>
        </is>
      </c>
      <c r="C81" s="16" t="inlineStr">
        <is>
          <t>[WHAT] PTC Applied = MIN(Gross PTC, Pre-PTC Tax)
[WHY] PTC is a tax CREDIT. Cannot create negative taxes.
[KEY] If Gross PTC &gt; Tax Owed, excess is lost (unless tax equity structure).
[TRAP] Never let PTC create negative taxes. Always use MIN().</t>
        </is>
      </c>
      <c r="E81" s="18">
        <f>MIN(E80,E79)</f>
        <v/>
      </c>
      <c r="F81" s="18">
        <f>MIN(F80,F79)</f>
        <v/>
      </c>
      <c r="G81" s="18">
        <f>MIN(G80,G79)</f>
        <v/>
      </c>
      <c r="H81" s="18">
        <f>MIN(H80,H79)</f>
        <v/>
      </c>
      <c r="I81" s="18">
        <f>MIN(I80,I79)</f>
        <v/>
      </c>
      <c r="J81" s="18">
        <f>MIN(J80,J79)</f>
        <v/>
      </c>
      <c r="K81" s="18">
        <f>MIN(K80,K79)</f>
        <v/>
      </c>
      <c r="L81" s="18">
        <f>MIN(L80,L79)</f>
        <v/>
      </c>
      <c r="M81" s="18">
        <f>MIN(M80,M79)</f>
        <v/>
      </c>
      <c r="N81" s="18">
        <f>MIN(N80,N79)</f>
        <v/>
      </c>
    </row>
    <row r="82">
      <c r="A82" t="inlineStr">
        <is>
          <t>Net Taxes</t>
        </is>
      </c>
      <c r="B82" t="inlineStr">
        <is>
          <t>$mm</t>
        </is>
      </c>
      <c r="E82" s="19">
        <f>E79-E81</f>
        <v/>
      </c>
      <c r="F82" s="19">
        <f>F79-F81</f>
        <v/>
      </c>
      <c r="G82" s="19">
        <f>G79-G81</f>
        <v/>
      </c>
      <c r="H82" s="19">
        <f>H79-H81</f>
        <v/>
      </c>
      <c r="I82" s="19">
        <f>I79-I81</f>
        <v/>
      </c>
      <c r="J82" s="19">
        <f>J79-J81</f>
        <v/>
      </c>
      <c r="K82" s="19">
        <f>K79-K81</f>
        <v/>
      </c>
      <c r="L82" s="19">
        <f>L79-L81</f>
        <v/>
      </c>
      <c r="M82" s="19">
        <f>M79-M81</f>
        <v/>
      </c>
      <c r="N82" s="19">
        <f>N79-N81</f>
        <v/>
      </c>
    </row>
    <row r="83">
      <c r="E83" s="22">
        <f>E77-E79-E80-E81</f>
        <v/>
      </c>
      <c r="F83" s="22">
        <f>F77-F79-F80-F81</f>
        <v/>
      </c>
      <c r="G83" s="22">
        <f>G77-G79-G80-G81</f>
        <v/>
      </c>
      <c r="H83" s="22">
        <f>H77-H79-H80-H81</f>
        <v/>
      </c>
      <c r="I83" s="22">
        <f>I77-I79-I80-I81</f>
        <v/>
      </c>
      <c r="J83" s="22">
        <f>J77-J79-J80-J81</f>
        <v/>
      </c>
      <c r="K83" s="22">
        <f>K77-K79-K80-K81</f>
        <v/>
      </c>
      <c r="L83" s="22">
        <f>L77-L79-L80-L81</f>
        <v/>
      </c>
      <c r="M83" s="22">
        <f>M77-M79-M80-M81</f>
        <v/>
      </c>
      <c r="N83" s="22">
        <f>N77-N79-N80-N81</f>
        <v/>
      </c>
    </row>
    <row r="84">
      <c r="A84" s="5" t="inlineStr">
        <is>
          <t>CFADS</t>
        </is>
      </c>
      <c r="B84" t="inlineStr">
        <is>
          <t>$mm</t>
        </is>
      </c>
      <c r="C84" t="inlineStr">
        <is>
          <t>[WHAT] EBITDA - Net Taxes</t>
        </is>
      </c>
      <c r="E84" s="23">
        <f>E74-E82</f>
        <v/>
      </c>
      <c r="F84" s="23">
        <f>F74-F82</f>
        <v/>
      </c>
      <c r="G84" s="23">
        <f>G74-G82</f>
        <v/>
      </c>
      <c r="H84" s="23">
        <f>H74-H82</f>
        <v/>
      </c>
      <c r="I84" s="23">
        <f>I74-I82</f>
        <v/>
      </c>
      <c r="J84" s="23">
        <f>J74-J82</f>
        <v/>
      </c>
      <c r="K84" s="23">
        <f>K74-K82</f>
        <v/>
      </c>
      <c r="L84" s="23">
        <f>L74-L82</f>
        <v/>
      </c>
      <c r="M84" s="23">
        <f>M74-M82</f>
        <v/>
      </c>
      <c r="N84" s="23">
        <f>N74-N82</f>
        <v/>
      </c>
    </row>
    <row r="86">
      <c r="A86" s="6" t="inlineStr">
        <is>
          <t>═══ DEBT SCHEDULE (Sculpted to DSCR) ═══</t>
        </is>
      </c>
      <c r="E86">
        <f>MAX(0,E83-$D$70)*$D$54</f>
        <v/>
      </c>
      <c r="F86">
        <f>MAX(0,F83-$D$70)*$D$54</f>
        <v/>
      </c>
      <c r="G86">
        <f>MAX(0,G83-$D$70)*$D$54</f>
        <v/>
      </c>
      <c r="H86">
        <f>MAX(0,H83-$D$70)*$D$54</f>
        <v/>
      </c>
      <c r="I86">
        <f>MAX(0,I83-$D$70)*$D$54</f>
        <v/>
      </c>
      <c r="J86">
        <f>MAX(0,J83-$D$70)*$D$54</f>
        <v/>
      </c>
      <c r="K86">
        <f>MAX(0,K83-$D$70)*$D$54</f>
        <v/>
      </c>
      <c r="L86">
        <f>MAX(0,L83-$D$70)*$D$54</f>
        <v/>
      </c>
      <c r="M86">
        <f>MAX(0,M83-$D$70)*$D$54</f>
        <v/>
      </c>
      <c r="N86">
        <f>MAX(0,N83-$D$70)*$D$54</f>
        <v/>
      </c>
    </row>
    <row r="87">
      <c r="A87" t="inlineStr">
        <is>
          <t>Target Debt Service</t>
        </is>
      </c>
      <c r="B87" t="inlineStr">
        <is>
          <t>$mm</t>
        </is>
      </c>
      <c r="C87" t="inlineStr">
        <is>
          <t>[WHAT] CFADS / Target DSCR - the DS that hits target</t>
        </is>
      </c>
      <c r="E87" s="18">
        <f>E84/$D$63</f>
        <v/>
      </c>
      <c r="F87" s="18">
        <f>F84/$D$63</f>
        <v/>
      </c>
      <c r="G87" s="18">
        <f>G84/$D$63</f>
        <v/>
      </c>
      <c r="H87" s="18">
        <f>H84/$D$63</f>
        <v/>
      </c>
      <c r="I87" s="18">
        <f>I84/$D$63</f>
        <v/>
      </c>
      <c r="J87" s="18">
        <f>J84/$D$63</f>
        <v/>
      </c>
      <c r="K87" s="18">
        <f>K84/$D$63</f>
        <v/>
      </c>
      <c r="L87" s="18">
        <f>L84/$D$63</f>
        <v/>
      </c>
      <c r="M87" s="18">
        <f>M84/$D$63</f>
        <v/>
      </c>
      <c r="N87" s="18">
        <f>N84/$D$63</f>
        <v/>
      </c>
    </row>
    <row r="88">
      <c r="E88">
        <f>MIN(E87,E86)</f>
        <v/>
      </c>
      <c r="F88">
        <f>MIN(F87,F86)</f>
        <v/>
      </c>
      <c r="G88">
        <f>MIN(G87,G86)</f>
        <v/>
      </c>
      <c r="H88">
        <f>MIN(H87,H86)</f>
        <v/>
      </c>
      <c r="I88">
        <f>MIN(I87,I86)</f>
        <v/>
      </c>
      <c r="J88">
        <f>MIN(J87,J86)</f>
        <v/>
      </c>
      <c r="K88">
        <f>MIN(K87,K86)</f>
        <v/>
      </c>
      <c r="L88">
        <f>MIN(L87,L86)</f>
        <v/>
      </c>
      <c r="M88">
        <f>MIN(M87,M86)</f>
        <v/>
      </c>
      <c r="N88">
        <f>MIN(N87,N86)</f>
        <v/>
      </c>
    </row>
    <row r="89">
      <c r="A89" t="inlineStr">
        <is>
          <t>Beginning Balance</t>
        </is>
      </c>
      <c r="B89" t="inlineStr">
        <is>
          <t>$mm</t>
        </is>
      </c>
      <c r="D89" t="n">
        <v>0</v>
      </c>
      <c r="E89" s="19">
        <f>$D$35*$D$60</f>
        <v/>
      </c>
      <c r="F89" s="19">
        <f>E93</f>
        <v/>
      </c>
      <c r="G89" s="19">
        <f>F93</f>
        <v/>
      </c>
      <c r="H89" s="19">
        <f>G93</f>
        <v/>
      </c>
      <c r="I89" s="19">
        <f>H93</f>
        <v/>
      </c>
      <c r="J89" s="19">
        <f>I93</f>
        <v/>
      </c>
      <c r="K89" s="19">
        <f>J93</f>
        <v/>
      </c>
      <c r="L89" s="19">
        <f>K93</f>
        <v/>
      </c>
      <c r="M89" s="19">
        <f>L93</f>
        <v/>
      </c>
      <c r="N89" s="19">
        <f>M93</f>
        <v/>
      </c>
    </row>
    <row r="90">
      <c r="A90" t="inlineStr">
        <is>
          <t>Interest</t>
        </is>
      </c>
      <c r="B90" t="inlineStr">
        <is>
          <t>$mm</t>
        </is>
      </c>
      <c r="E90" s="19">
        <f>E89*$D$61</f>
        <v/>
      </c>
      <c r="F90" s="19">
        <f>F89*$D$61</f>
        <v/>
      </c>
      <c r="G90" s="19">
        <f>G89*$D$61</f>
        <v/>
      </c>
      <c r="H90" s="19">
        <f>H89*$D$61</f>
        <v/>
      </c>
      <c r="I90" s="19">
        <f>I89*$D$61</f>
        <v/>
      </c>
      <c r="J90" s="19">
        <f>J89*$D$61</f>
        <v/>
      </c>
      <c r="K90" s="19">
        <f>K89*$D$61</f>
        <v/>
      </c>
      <c r="L90" s="19">
        <f>L89*$D$61</f>
        <v/>
      </c>
      <c r="M90" s="19">
        <f>M89*$D$61</f>
        <v/>
      </c>
      <c r="N90" s="19">
        <f>N89*$D$61</f>
        <v/>
      </c>
    </row>
    <row r="91">
      <c r="A91" t="inlineStr">
        <is>
          <t>Sculpted Principal</t>
        </is>
      </c>
      <c r="B91" t="inlineStr">
        <is>
          <t>$mm</t>
        </is>
      </c>
      <c r="C91" t="inlineStr">
        <is>
          <t>[WHAT] Target DS - Interest (principal to hit DSCR)</t>
        </is>
      </c>
      <c r="E91" s="23">
        <f>MAX(0,E87-E90)</f>
        <v/>
      </c>
      <c r="F91" s="23">
        <f>MAX(0,F87-F90)</f>
        <v/>
      </c>
      <c r="G91" s="23">
        <f>MAX(0,G87-G90)</f>
        <v/>
      </c>
      <c r="H91" s="23">
        <f>MAX(0,H87-H90)</f>
        <v/>
      </c>
      <c r="I91" s="23">
        <f>MAX(0,I87-I90)</f>
        <v/>
      </c>
      <c r="J91" s="23">
        <f>MAX(0,J87-J90)</f>
        <v/>
      </c>
      <c r="K91" s="23">
        <f>MAX(0,K87-K90)</f>
        <v/>
      </c>
      <c r="L91" s="23">
        <f>MAX(0,L87-L90)</f>
        <v/>
      </c>
      <c r="M91" s="23">
        <f>MAX(0,M87-M90)</f>
        <v/>
      </c>
      <c r="N91" s="23">
        <f>MAX(0,N87-N90)</f>
        <v/>
      </c>
    </row>
    <row r="92">
      <c r="A92" t="inlineStr">
        <is>
          <t>Capped Principal</t>
        </is>
      </c>
      <c r="B92" t="inlineStr">
        <is>
          <t>$mm</t>
        </is>
      </c>
      <c r="C92" t="inlineStr">
        <is>
          <t>[WHAT] MIN(Sculpted, Balance) - can't pay more than owed</t>
        </is>
      </c>
      <c r="E92" s="19">
        <f>MIN(E91,E89)</f>
        <v/>
      </c>
      <c r="F92" s="19">
        <f>MIN(F91,F89)</f>
        <v/>
      </c>
      <c r="G92" s="19">
        <f>MIN(G91,G89)</f>
        <v/>
      </c>
      <c r="H92" s="19">
        <f>MIN(H91,H89)</f>
        <v/>
      </c>
      <c r="I92" s="19">
        <f>MIN(I91,I89)</f>
        <v/>
      </c>
      <c r="J92" s="19">
        <f>MIN(J91,J89)</f>
        <v/>
      </c>
      <c r="K92" s="19">
        <f>MIN(K91,K89)</f>
        <v/>
      </c>
      <c r="L92" s="19">
        <f>MIN(L91,L89)</f>
        <v/>
      </c>
      <c r="M92" s="19">
        <f>MIN(M91,M89)</f>
        <v/>
      </c>
      <c r="N92" s="19">
        <f>MIN(N91,N89)</f>
        <v/>
      </c>
    </row>
    <row r="93">
      <c r="A93" t="inlineStr">
        <is>
          <t>Ending Balance</t>
        </is>
      </c>
      <c r="B93" t="inlineStr">
        <is>
          <t>$mm</t>
        </is>
      </c>
      <c r="E93" s="19">
        <f>MAX(0,E89-E92)</f>
        <v/>
      </c>
      <c r="F93" s="19">
        <f>MAX(0,F89-F92)</f>
        <v/>
      </c>
      <c r="G93" s="19">
        <f>MAX(0,G89-G92)</f>
        <v/>
      </c>
      <c r="H93" s="19">
        <f>MAX(0,H89-H92)</f>
        <v/>
      </c>
      <c r="I93" s="19">
        <f>MAX(0,I89-I92)</f>
        <v/>
      </c>
      <c r="J93" s="19">
        <f>MAX(0,J89-J92)</f>
        <v/>
      </c>
      <c r="K93" s="19">
        <f>MAX(0,K89-K92)</f>
        <v/>
      </c>
      <c r="L93" s="19">
        <f>MAX(0,L89-L92)</f>
        <v/>
      </c>
      <c r="M93" s="19">
        <f>MAX(0,M89-M92)</f>
        <v/>
      </c>
      <c r="N93" s="19">
        <f>MAX(0,N89-N92)</f>
        <v/>
      </c>
    </row>
    <row r="95">
      <c r="A95" t="inlineStr">
        <is>
          <t>Actual Debt Service</t>
        </is>
      </c>
      <c r="B95" t="inlineStr">
        <is>
          <t>$mm</t>
        </is>
      </c>
      <c r="D95" t="n">
        <v>0</v>
      </c>
      <c r="E95" s="19">
        <f>E90+E92</f>
        <v/>
      </c>
      <c r="F95" s="19">
        <f>F90+F92</f>
        <v/>
      </c>
      <c r="G95" s="19">
        <f>G90+G92</f>
        <v/>
      </c>
      <c r="H95" s="19">
        <f>H90+H92</f>
        <v/>
      </c>
      <c r="I95" s="19">
        <f>I90+I92</f>
        <v/>
      </c>
      <c r="J95" s="19">
        <f>J90+J92</f>
        <v/>
      </c>
      <c r="K95" s="19">
        <f>K90+K92</f>
        <v/>
      </c>
      <c r="L95" s="19">
        <f>L90+L92</f>
        <v/>
      </c>
      <c r="M95" s="19">
        <f>M90+M92</f>
        <v/>
      </c>
      <c r="N95" s="19">
        <f>N90+N92</f>
        <v/>
      </c>
    </row>
    <row r="96">
      <c r="A96" s="5" t="inlineStr">
        <is>
          <t>DSCR</t>
        </is>
      </c>
      <c r="B96" t="inlineStr">
        <is>
          <t>x</t>
        </is>
      </c>
      <c r="E96" s="12">
        <f>IF(E95&gt;0,E84/E95,0)</f>
        <v/>
      </c>
      <c r="F96" s="12">
        <f>IF(F95&gt;0,F84/F95,0)</f>
        <v/>
      </c>
      <c r="G96" s="12">
        <f>IF(G95&gt;0,G84/G95,0)</f>
        <v/>
      </c>
      <c r="H96" s="12">
        <f>IF(H95&gt;0,H84/H95,0)</f>
        <v/>
      </c>
      <c r="I96" s="12">
        <f>IF(I95&gt;0,I84/I95,0)</f>
        <v/>
      </c>
      <c r="J96" s="12">
        <f>IF(J95&gt;0,J84/J95,0)</f>
        <v/>
      </c>
      <c r="K96" s="12">
        <f>IF(K95&gt;0,K84/K95,0)</f>
        <v/>
      </c>
      <c r="L96" s="12">
        <f>IF(L95&gt;0,L84/L95,0)</f>
        <v/>
      </c>
      <c r="M96" s="12">
        <f>IF(M95&gt;0,M84/M95,0)</f>
        <v/>
      </c>
      <c r="N96" s="12">
        <f>IF(N95&gt;0,N84/N95,0)</f>
        <v/>
      </c>
    </row>
    <row r="97">
      <c r="A97" t="inlineStr">
        <is>
          <t>DSCR Check</t>
        </is>
      </c>
      <c r="C97" t="inlineStr">
        <is>
          <t>Should equal Target (within rounding)</t>
        </is>
      </c>
      <c r="E97">
        <f>E91/$D$63</f>
        <v/>
      </c>
      <c r="F97">
        <f>F91/$D$63</f>
        <v/>
      </c>
      <c r="G97">
        <f>G91/$D$63</f>
        <v/>
      </c>
      <c r="H97">
        <f>H91/$D$63</f>
        <v/>
      </c>
      <c r="I97">
        <f>I91/$D$63</f>
        <v/>
      </c>
      <c r="J97">
        <f>J91/$D$63</f>
        <v/>
      </c>
      <c r="K97">
        <f>K91/$D$63</f>
        <v/>
      </c>
      <c r="L97">
        <f>L91/$D$63</f>
        <v/>
      </c>
      <c r="M97">
        <f>M91/$D$63</f>
        <v/>
      </c>
      <c r="N97">
        <f>N91/$D$63</f>
        <v/>
      </c>
    </row>
    <row r="98">
      <c r="E98">
        <f>MIN(MAX(0,E97-E96),E95)</f>
        <v/>
      </c>
      <c r="F98">
        <f>MIN(MAX(0,F97-F96),F95)</f>
        <v/>
      </c>
      <c r="G98">
        <f>MIN(MAX(0,G97-G96),G95)</f>
        <v/>
      </c>
      <c r="H98">
        <f>MIN(MAX(0,H97-H96),H95)</f>
        <v/>
      </c>
      <c r="I98">
        <f>MIN(MAX(0,I97-I96),I95)</f>
        <v/>
      </c>
      <c r="J98">
        <f>MIN(MAX(0,J97-J96),J95)</f>
        <v/>
      </c>
      <c r="K98">
        <f>MIN(MAX(0,K97-K96),K95)</f>
        <v/>
      </c>
      <c r="L98">
        <f>MIN(MAX(0,L97-L96),L95)</f>
        <v/>
      </c>
      <c r="M98">
        <f>MIN(MAX(0,M97-M96),M95)</f>
        <v/>
      </c>
      <c r="N98">
        <f>MIN(MAX(0,N97-N96),N95)</f>
        <v/>
      </c>
    </row>
    <row r="99">
      <c r="A99" s="6" t="inlineStr">
        <is>
          <t>═══ DSRA ═══</t>
        </is>
      </c>
      <c r="E99">
        <f>E96+E98</f>
        <v/>
      </c>
      <c r="F99">
        <f>F96+F98</f>
        <v/>
      </c>
      <c r="G99">
        <f>G96+G98</f>
        <v/>
      </c>
      <c r="H99">
        <f>H96+H98</f>
        <v/>
      </c>
      <c r="I99">
        <f>I96+I98</f>
        <v/>
      </c>
      <c r="J99">
        <f>J96+J98</f>
        <v/>
      </c>
      <c r="K99">
        <f>K96+K98</f>
        <v/>
      </c>
      <c r="L99">
        <f>L96+L98</f>
        <v/>
      </c>
      <c r="M99">
        <f>M96+M98</f>
        <v/>
      </c>
      <c r="N99">
        <f>N96+N98</f>
        <v/>
      </c>
    </row>
    <row r="100">
      <c r="A100" t="inlineStr">
        <is>
          <t>DSRA Target</t>
        </is>
      </c>
      <c r="B100" t="inlineStr">
        <is>
          <t>$mm</t>
        </is>
      </c>
      <c r="C100" t="inlineStr">
        <is>
          <t>[WHAT] NEXT year's DS × (months/12)</t>
        </is>
      </c>
      <c r="D100">
        <f>$D$69</f>
        <v/>
      </c>
      <c r="E100" s="19">
        <f>F95*$D$64/12</f>
        <v/>
      </c>
      <c r="F100" s="19">
        <f>G95*$D$64/12</f>
        <v/>
      </c>
      <c r="G100" s="19">
        <f>H95*$D$64/12</f>
        <v/>
      </c>
      <c r="H100" s="19">
        <f>I95*$D$64/12</f>
        <v/>
      </c>
      <c r="I100" s="19">
        <f>J95*$D$64/12</f>
        <v/>
      </c>
      <c r="J100" s="19">
        <f>K95*$D$64/12</f>
        <v/>
      </c>
      <c r="K100" s="19">
        <f>L95*$D$64/12</f>
        <v/>
      </c>
      <c r="L100" s="19">
        <f>M95*$D$64/12</f>
        <v/>
      </c>
      <c r="M100" s="19">
        <f>N95*$D$64/12</f>
        <v/>
      </c>
      <c r="N100" t="n">
        <v>0</v>
      </c>
    </row>
    <row r="101">
      <c r="A101" t="inlineStr">
        <is>
          <t>DSRA Beginning</t>
        </is>
      </c>
      <c r="B101" t="inlineStr">
        <is>
          <t>$mm</t>
        </is>
      </c>
      <c r="D101" t="n">
        <v>0</v>
      </c>
      <c r="E101" s="24">
        <f>D113</f>
        <v/>
      </c>
      <c r="F101" s="24">
        <f>E103</f>
        <v/>
      </c>
      <c r="G101" s="24">
        <f>F103</f>
        <v/>
      </c>
      <c r="H101" s="24">
        <f>G103</f>
        <v/>
      </c>
      <c r="I101" s="24">
        <f>H103</f>
        <v/>
      </c>
      <c r="J101" s="24">
        <f>I103</f>
        <v/>
      </c>
      <c r="K101" s="24">
        <f>J103</f>
        <v/>
      </c>
      <c r="L101" s="24">
        <f>K103</f>
        <v/>
      </c>
      <c r="M101" s="24">
        <f>L103</f>
        <v/>
      </c>
      <c r="N101" s="24">
        <f>M103</f>
        <v/>
      </c>
    </row>
    <row r="102">
      <c r="A102" t="inlineStr">
        <is>
          <t>DSRA Funding/(Release)</t>
        </is>
      </c>
      <c r="B102" t="inlineStr">
        <is>
          <t>$mm</t>
        </is>
      </c>
      <c r="E102" s="19">
        <f>E100-E101</f>
        <v/>
      </c>
      <c r="F102" s="19">
        <f>F100-F101</f>
        <v/>
      </c>
      <c r="G102" s="19">
        <f>G100-G101</f>
        <v/>
      </c>
      <c r="H102" s="19">
        <f>H100-H101</f>
        <v/>
      </c>
      <c r="I102" s="19">
        <f>I100-I101</f>
        <v/>
      </c>
      <c r="J102" s="19">
        <f>J100-J101</f>
        <v/>
      </c>
      <c r="K102" s="19">
        <f>K100-K101</f>
        <v/>
      </c>
      <c r="L102" s="19">
        <f>L100-L101</f>
        <v/>
      </c>
      <c r="M102" s="19">
        <f>M100-M101</f>
        <v/>
      </c>
      <c r="N102" s="19">
        <f>N100-N101</f>
        <v/>
      </c>
    </row>
    <row r="103">
      <c r="A103" t="inlineStr">
        <is>
          <t>DSRA Ending</t>
        </is>
      </c>
      <c r="B103" t="inlineStr">
        <is>
          <t>$mm</t>
        </is>
      </c>
      <c r="E103" s="19">
        <f>E101+E102</f>
        <v/>
      </c>
      <c r="F103" s="19">
        <f>F101+F102</f>
        <v/>
      </c>
      <c r="G103" s="19">
        <f>G101+G102</f>
        <v/>
      </c>
      <c r="H103" s="19">
        <f>H101+H102</f>
        <v/>
      </c>
      <c r="I103" s="19">
        <f>I101+I102</f>
        <v/>
      </c>
      <c r="J103" s="19">
        <f>J101+J102</f>
        <v/>
      </c>
      <c r="K103" s="19">
        <f>K101+K102</f>
        <v/>
      </c>
      <c r="L103" s="19">
        <f>L101+L102</f>
        <v/>
      </c>
      <c r="M103" s="19">
        <f>M101+M102</f>
        <v/>
      </c>
      <c r="N103" s="19">
        <f>N101+N102</f>
        <v/>
      </c>
    </row>
    <row r="105">
      <c r="A105" s="6" t="inlineStr">
        <is>
          <t>═══ DISTRIBUTION WATERFALL ═══</t>
        </is>
      </c>
      <c r="E105">
        <f>F99*$D$64/12</f>
        <v/>
      </c>
      <c r="F105">
        <f>G99*$D$64/12</f>
        <v/>
      </c>
      <c r="G105">
        <f>H99*$D$64/12</f>
        <v/>
      </c>
      <c r="H105">
        <f>I99*$D$64/12</f>
        <v/>
      </c>
      <c r="I105">
        <f>J99*$D$64/12</f>
        <v/>
      </c>
      <c r="J105">
        <f>K99*$D$64/12</f>
        <v/>
      </c>
      <c r="K105">
        <f>L99*$D$64/12</f>
        <v/>
      </c>
      <c r="L105">
        <f>M99*$D$64/12</f>
        <v/>
      </c>
      <c r="M105">
        <f>N99*$D$64/12</f>
        <v/>
      </c>
      <c r="N105" t="n">
        <v>0</v>
      </c>
    </row>
    <row r="106">
      <c r="A106" t="inlineStr">
        <is>
          <t>Cash Available</t>
        </is>
      </c>
      <c r="B106" t="inlineStr">
        <is>
          <t>$mm</t>
        </is>
      </c>
      <c r="D106" t="n">
        <v>0</v>
      </c>
      <c r="E106" s="19">
        <f>E84-E95-E102</f>
        <v/>
      </c>
      <c r="F106" s="19">
        <f>F84-F95-F102</f>
        <v/>
      </c>
      <c r="G106" s="19">
        <f>G84-G95-G102</f>
        <v/>
      </c>
      <c r="H106" s="19">
        <f>H84-H95-H102</f>
        <v/>
      </c>
      <c r="I106" s="19">
        <f>I84-I95-I102</f>
        <v/>
      </c>
      <c r="J106" s="19">
        <f>J84-J95-J102</f>
        <v/>
      </c>
      <c r="K106" s="19">
        <f>K84-K95-K102</f>
        <v/>
      </c>
      <c r="L106" s="19">
        <f>L84-L95-L102</f>
        <v/>
      </c>
      <c r="M106" s="19">
        <f>M84-M95-M102</f>
        <v/>
      </c>
      <c r="N106" s="19">
        <f>N84-N95-N102</f>
        <v/>
      </c>
    </row>
    <row r="107">
      <c r="A107" s="5" t="inlineStr">
        <is>
          <t>Distributable Cash</t>
        </is>
      </c>
      <c r="B107" t="inlineStr">
        <is>
          <t>$mm</t>
        </is>
      </c>
      <c r="E107" s="18">
        <f>MAX(0,E106)</f>
        <v/>
      </c>
      <c r="F107" s="18">
        <f>MAX(0,F106)</f>
        <v/>
      </c>
      <c r="G107" s="18">
        <f>MAX(0,G106)</f>
        <v/>
      </c>
      <c r="H107" s="18">
        <f>MAX(0,H106)</f>
        <v/>
      </c>
      <c r="I107" s="18">
        <f>MAX(0,I106)</f>
        <v/>
      </c>
      <c r="J107" s="18">
        <f>MAX(0,J106)</f>
        <v/>
      </c>
      <c r="K107" s="18">
        <f>MAX(0,K106)</f>
        <v/>
      </c>
      <c r="L107" s="18">
        <f>MAX(0,L106)</f>
        <v/>
      </c>
      <c r="M107" s="18">
        <f>MAX(0,M106)</f>
        <v/>
      </c>
      <c r="N107" s="18">
        <f>MAX(0,N106)</f>
        <v/>
      </c>
    </row>
    <row r="108">
      <c r="E108">
        <f>E106+E107</f>
        <v/>
      </c>
      <c r="F108">
        <f>F106+F107</f>
        <v/>
      </c>
      <c r="G108">
        <f>G106+G107</f>
        <v/>
      </c>
      <c r="H108">
        <f>H106+H107</f>
        <v/>
      </c>
      <c r="I108">
        <f>I106+I107</f>
        <v/>
      </c>
      <c r="J108">
        <f>J106+J107</f>
        <v/>
      </c>
      <c r="K108">
        <f>K106+K107</f>
        <v/>
      </c>
      <c r="L108">
        <f>L106+L107</f>
        <v/>
      </c>
      <c r="M108">
        <f>M106+M107</f>
        <v/>
      </c>
      <c r="N108">
        <f>N106+N107</f>
        <v/>
      </c>
    </row>
    <row r="109">
      <c r="A109" s="6" t="inlineStr">
        <is>
          <t>═══ SOURCES &amp; USES (Y0) ═══</t>
        </is>
      </c>
    </row>
    <row r="110">
      <c r="A110" s="5" t="inlineStr">
        <is>
          <t>USES</t>
        </is>
      </c>
    </row>
    <row r="111">
      <c r="A111" t="inlineStr">
        <is>
          <t xml:space="preserve">  Purchase Price</t>
        </is>
      </c>
      <c r="D111">
        <f>$D$35</f>
        <v/>
      </c>
      <c r="E111">
        <f>E91-E99-E107</f>
        <v/>
      </c>
      <c r="F111">
        <f>F91-F99-F107</f>
        <v/>
      </c>
      <c r="G111">
        <f>G91-G99-G107</f>
        <v/>
      </c>
      <c r="H111">
        <f>H91-H99-H107</f>
        <v/>
      </c>
      <c r="I111">
        <f>I91-I99-I107</f>
        <v/>
      </c>
      <c r="J111">
        <f>J91-J99-J107</f>
        <v/>
      </c>
      <c r="K111">
        <f>K91-K99-K107</f>
        <v/>
      </c>
      <c r="L111">
        <f>L91-L99-L107</f>
        <v/>
      </c>
      <c r="M111">
        <f>M91-M99-M107</f>
        <v/>
      </c>
      <c r="N111">
        <f>N91-N99-N107</f>
        <v/>
      </c>
    </row>
    <row r="112">
      <c r="A112" t="inlineStr">
        <is>
          <t xml:space="preserve">  Transaction Fees</t>
        </is>
      </c>
      <c r="D112">
        <f>$D$35*$D$36</f>
        <v/>
      </c>
      <c r="E112">
        <f>IF(E101&gt;=1.1,"PASS","LOCKED")</f>
        <v/>
      </c>
      <c r="F112">
        <f>IF(F101&gt;=1.1,"PASS","LOCKED")</f>
        <v/>
      </c>
      <c r="G112">
        <f>IF(G101&gt;=1.1,"PASS","LOCKED")</f>
        <v/>
      </c>
      <c r="H112">
        <f>IF(H101&gt;=1.1,"PASS","LOCKED")</f>
        <v/>
      </c>
      <c r="I112">
        <f>IF(I101&gt;=1.1,"PASS","LOCKED")</f>
        <v/>
      </c>
      <c r="J112">
        <f>IF(J101&gt;=1.1,"PASS","LOCKED")</f>
        <v/>
      </c>
      <c r="K112">
        <f>IF(K101&gt;=1.1,"PASS","LOCKED")</f>
        <v/>
      </c>
      <c r="L112">
        <f>IF(L101&gt;=1.1,"PASS","LOCKED")</f>
        <v/>
      </c>
      <c r="M112">
        <f>IF(M101&gt;=1.1,"PASS","LOCKED")</f>
        <v/>
      </c>
      <c r="N112">
        <f>IF(N101&gt;=1.1,"PASS","LOCKED")</f>
        <v/>
      </c>
    </row>
    <row r="113">
      <c r="A113" t="inlineStr">
        <is>
          <t xml:space="preserve">  DSRA Funding</t>
        </is>
      </c>
      <c r="D113">
        <f>E100</f>
        <v/>
      </c>
      <c r="E113">
        <f>IF(E112="PASS",MAX(0,E111),0)</f>
        <v/>
      </c>
      <c r="F113">
        <f>IF(F112="PASS",MAX(0,F111),0)</f>
        <v/>
      </c>
      <c r="G113">
        <f>IF(G112="PASS",MAX(0,G111),0)</f>
        <v/>
      </c>
      <c r="H113">
        <f>IF(H112="PASS",MAX(0,H111),0)</f>
        <v/>
      </c>
      <c r="I113">
        <f>IF(I112="PASS",MAX(0,I111),0)</f>
        <v/>
      </c>
      <c r="J113">
        <f>IF(J112="PASS",MAX(0,J111),0)</f>
        <v/>
      </c>
      <c r="K113">
        <f>IF(K112="PASS",MAX(0,K111),0)</f>
        <v/>
      </c>
      <c r="L113">
        <f>IF(L112="PASS",MAX(0,L111),0)</f>
        <v/>
      </c>
      <c r="M113">
        <f>IF(M112="PASS",MAX(0,M111),0)</f>
        <v/>
      </c>
      <c r="N113">
        <f>IF(N112="PASS",MAX(0,N111),0)</f>
        <v/>
      </c>
    </row>
    <row r="114">
      <c r="A114" s="5" t="inlineStr">
        <is>
          <t>Total Uses</t>
        </is>
      </c>
      <c r="D114" s="7">
        <f>D111+D112+D113</f>
        <v/>
      </c>
    </row>
    <row r="116">
      <c r="A116" s="5" t="inlineStr">
        <is>
          <t>SOURCES</t>
        </is>
      </c>
    </row>
    <row r="117">
      <c r="A117" t="inlineStr">
        <is>
          <t xml:space="preserve">  Debt</t>
        </is>
      </c>
      <c r="D117">
        <f>$D$35*$D$60</f>
        <v/>
      </c>
    </row>
    <row r="118">
      <c r="A118" t="inlineStr">
        <is>
          <t xml:space="preserve">  Equity</t>
        </is>
      </c>
      <c r="D118">
        <f>D114-D117</f>
        <v/>
      </c>
    </row>
    <row r="119">
      <c r="A119" s="5" t="inlineStr">
        <is>
          <t>Total Sources</t>
        </is>
      </c>
      <c r="D119" s="7">
        <f>D117+D118</f>
        <v/>
      </c>
    </row>
    <row r="120">
      <c r="A120" t="inlineStr">
        <is>
          <t>S&amp;U Balance Check</t>
        </is>
      </c>
      <c r="D120" s="7">
        <f>IF(ABS(D114-D119)&lt;0.01,"PASS","FAIL")</f>
        <v/>
      </c>
    </row>
    <row r="122">
      <c r="A122" s="6" t="inlineStr">
        <is>
          <t>═══ EXIT &amp; RETURNS ═══</t>
        </is>
      </c>
    </row>
    <row r="123">
      <c r="A123" t="inlineStr">
        <is>
          <t>Exit EBITDA</t>
        </is>
      </c>
      <c r="D123" s="19">
        <f>K74</f>
        <v/>
      </c>
    </row>
    <row r="124">
      <c r="A124" t="inlineStr">
        <is>
          <t>Exit EV</t>
        </is>
      </c>
      <c r="D124" s="18">
        <f>D123*$D$37</f>
        <v/>
      </c>
    </row>
    <row r="125">
      <c r="A125" t="inlineStr">
        <is>
          <t>Exit Debt Payoff</t>
        </is>
      </c>
      <c r="D125" s="19">
        <f>K93</f>
        <v/>
      </c>
    </row>
    <row r="126">
      <c r="A126" t="inlineStr">
        <is>
          <t>DSRA Release</t>
        </is>
      </c>
      <c r="D126" s="19">
        <f>K103</f>
        <v/>
      </c>
    </row>
    <row r="127">
      <c r="A127" s="5" t="inlineStr">
        <is>
          <t>Exit Equity Proceeds</t>
        </is>
      </c>
      <c r="D127" s="18">
        <f>D124-D125+D126</f>
        <v/>
      </c>
    </row>
    <row r="129">
      <c r="A129" t="inlineStr">
        <is>
          <t>Equity Cash Flow</t>
        </is>
      </c>
      <c r="B129" t="inlineStr">
        <is>
          <t>$mm</t>
        </is>
      </c>
      <c r="D129">
        <f>-D118</f>
        <v/>
      </c>
      <c r="E129" s="19">
        <f>E107</f>
        <v/>
      </c>
      <c r="F129" s="19">
        <f>F107</f>
        <v/>
      </c>
      <c r="G129" s="19">
        <f>G107</f>
        <v/>
      </c>
      <c r="H129" s="19">
        <f>H107</f>
        <v/>
      </c>
      <c r="I129" s="19">
        <f>I107</f>
        <v/>
      </c>
      <c r="J129" s="19">
        <f>J107</f>
        <v/>
      </c>
      <c r="K129" s="19">
        <f>K107+D127</f>
        <v/>
      </c>
      <c r="L129" s="19" t="n">
        <v>0</v>
      </c>
      <c r="M129" s="19" t="n">
        <v>0</v>
      </c>
      <c r="N129" s="19" t="n">
        <v>0</v>
      </c>
    </row>
    <row r="130">
      <c r="D130">
        <f>K83</f>
        <v/>
      </c>
    </row>
    <row r="131">
      <c r="A131" s="5" t="inlineStr">
        <is>
          <t>Levered IRR</t>
        </is>
      </c>
      <c r="B131" t="inlineStr">
        <is>
          <t>%</t>
        </is>
      </c>
      <c r="D131" s="25">
        <f>IRR(D129:N129)</f>
        <v/>
      </c>
    </row>
    <row r="132">
      <c r="A132" s="5" t="inlineStr">
        <is>
          <t>MOIC</t>
        </is>
      </c>
      <c r="B132" t="inlineStr">
        <is>
          <t>x</t>
        </is>
      </c>
      <c r="D132" s="26">
        <f>(SUM(E129:K129))/-D129</f>
        <v/>
      </c>
    </row>
    <row r="133">
      <c r="D133">
        <f>K108</f>
        <v/>
      </c>
    </row>
    <row r="134">
      <c r="D134">
        <f>D131-D132+D133</f>
        <v/>
      </c>
    </row>
    <row r="137">
      <c r="D137">
        <f>-D124</f>
        <v/>
      </c>
      <c r="E137">
        <f>E113</f>
        <v/>
      </c>
      <c r="F137">
        <f>F113</f>
        <v/>
      </c>
      <c r="G137">
        <f>G113</f>
        <v/>
      </c>
      <c r="H137">
        <f>H113</f>
        <v/>
      </c>
      <c r="I137">
        <f>I113</f>
        <v/>
      </c>
      <c r="J137">
        <f>J113</f>
        <v/>
      </c>
      <c r="K137">
        <f>K113+D134</f>
        <v/>
      </c>
      <c r="L137" t="n">
        <v>0</v>
      </c>
      <c r="M137" t="n">
        <v>0</v>
      </c>
      <c r="N137" t="n">
        <v>0</v>
      </c>
    </row>
    <row r="138">
      <c r="D138" s="25">
        <f>IRR(D137:N137)</f>
        <v/>
      </c>
    </row>
    <row r="139">
      <c r="D139" s="26">
        <f>(SUM(E137:K137))/-D137</f>
        <v/>
      </c>
    </row>
    <row r="142">
      <c r="D142">
        <f>-$D$35-D118</f>
        <v/>
      </c>
      <c r="E142">
        <f>E91</f>
        <v/>
      </c>
      <c r="F142">
        <f>F91</f>
        <v/>
      </c>
      <c r="G142">
        <f>G91</f>
        <v/>
      </c>
      <c r="H142">
        <f>H91</f>
        <v/>
      </c>
      <c r="I142">
        <f>I91</f>
        <v/>
      </c>
      <c r="J142">
        <f>J91</f>
        <v/>
      </c>
      <c r="K142">
        <f>K91+D131</f>
        <v/>
      </c>
      <c r="L142" t="n">
        <v>0</v>
      </c>
      <c r="M142" t="n">
        <v>0</v>
      </c>
      <c r="N142" t="n">
        <v>0</v>
      </c>
    </row>
    <row r="143">
      <c r="D143" s="25">
        <f>IRR(D142:N142)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D1" s="5" t="inlineStr">
        <is>
          <t>Y0 (2025)</t>
        </is>
      </c>
      <c r="E1" s="5" t="inlineStr">
        <is>
          <t>Y1 (2026)</t>
        </is>
      </c>
      <c r="F1" s="5" t="inlineStr">
        <is>
          <t>Y2 (2027)</t>
        </is>
      </c>
      <c r="G1" s="5" t="inlineStr">
        <is>
          <t>Y3 (2028)</t>
        </is>
      </c>
      <c r="H1" s="5" t="inlineStr">
        <is>
          <t>Y4 (2029)</t>
        </is>
      </c>
      <c r="I1" s="5" t="inlineStr">
        <is>
          <t>Y5 (2030)</t>
        </is>
      </c>
      <c r="J1" s="5" t="inlineStr">
        <is>
          <t>Y6 (2031)</t>
        </is>
      </c>
      <c r="K1" s="5" t="inlineStr">
        <is>
          <t>Y7 (2032)</t>
        </is>
      </c>
      <c r="L1" s="5" t="inlineStr">
        <is>
          <t>Y8 (2033)</t>
        </is>
      </c>
      <c r="M1" s="5" t="inlineStr">
        <is>
          <t>Y9 (2034)</t>
        </is>
      </c>
      <c r="N1" s="5" t="inlineStr">
        <is>
          <t>Y10 (2035)</t>
        </is>
      </c>
    </row>
    <row r="3">
      <c r="A3" s="6" t="inlineStr">
        <is>
          <t>═══ AUDIT STRIP ═══</t>
        </is>
      </c>
    </row>
    <row r="4">
      <c r="A4" t="inlineStr">
        <is>
          <t>Entry EV</t>
        </is>
      </c>
      <c r="B4" t="inlineStr">
        <is>
          <t>$mm</t>
        </is>
      </c>
      <c r="D4" s="7">
        <f>D32</f>
        <v/>
      </c>
    </row>
    <row r="5">
      <c r="A5" t="inlineStr">
        <is>
          <t>Y1 EBITDA</t>
        </is>
      </c>
      <c r="B5" t="inlineStr">
        <is>
          <t>$mm</t>
        </is>
      </c>
      <c r="D5" s="7">
        <f>E71</f>
        <v/>
      </c>
    </row>
    <row r="6">
      <c r="A6" t="inlineStr">
        <is>
          <t>Avg CFADS</t>
        </is>
      </c>
      <c r="B6" t="inlineStr">
        <is>
          <t>$mm</t>
        </is>
      </c>
      <c r="D6" s="7">
        <f>AVERAGE(E81:K81)</f>
        <v/>
      </c>
    </row>
    <row r="7">
      <c r="A7" t="inlineStr">
        <is>
          <t>Min DSCR</t>
        </is>
      </c>
      <c r="B7" t="inlineStr">
        <is>
          <t>x</t>
        </is>
      </c>
      <c r="D7" s="12">
        <f>MINIFS(E93:K93,E86:K86,"&gt;0")</f>
        <v/>
      </c>
    </row>
    <row r="8">
      <c r="A8" t="inlineStr">
        <is>
          <t>Levered IRR</t>
        </is>
      </c>
      <c r="B8" t="inlineStr">
        <is>
          <t>%</t>
        </is>
      </c>
      <c r="D8" s="7">
        <f>D128</f>
        <v/>
      </c>
    </row>
    <row r="9">
      <c r="A9" t="inlineStr">
        <is>
          <t>MOIC</t>
        </is>
      </c>
      <c r="B9" t="inlineStr">
        <is>
          <t>x</t>
        </is>
      </c>
      <c r="D9" s="7">
        <f>D129</f>
        <v/>
      </c>
    </row>
    <row r="11">
      <c r="A11" s="6" t="inlineStr">
        <is>
          <t>═══ QA CHECKS ═══</t>
        </is>
      </c>
    </row>
    <row r="12">
      <c r="A12" t="inlineStr">
        <is>
          <t>S&amp;U Balance</t>
        </is>
      </c>
      <c r="D12" s="7">
        <f>IF(ABS(D111-D116)&lt;0.01,"PASS","FAIL")</f>
        <v/>
      </c>
    </row>
    <row r="13">
      <c r="A13" t="inlineStr">
        <is>
          <t>Debt Payoff</t>
        </is>
      </c>
      <c r="D13" s="7">
        <f>IF(OFFSET(E90,0,$D$59-1)&lt;1,"PASS","FAIL")</f>
        <v/>
      </c>
    </row>
    <row r="14">
      <c r="A14" t="inlineStr">
        <is>
          <t>Min DSCR Check</t>
        </is>
      </c>
      <c r="D14" s="7">
        <f>IF(D7&gt;=1.3,"PASS","FAIL")</f>
        <v/>
      </c>
    </row>
    <row r="16">
      <c r="A16" s="6" t="inlineStr">
        <is>
          <t>═══════════ CONTROL PANEL ═══════════</t>
        </is>
      </c>
    </row>
    <row r="18">
      <c r="A18" s="13" t="inlineStr">
        <is>
          <t>REVENUE</t>
        </is>
      </c>
    </row>
    <row r="19">
      <c r="A19" t="inlineStr">
        <is>
          <t>Revenue Mode</t>
        </is>
      </c>
      <c r="C19" t="inlineStr">
        <is>
          <t>Contracted / Merchant / Hybrid</t>
        </is>
      </c>
      <c r="D19" s="9" t="inlineStr">
        <is>
          <t>Contracted</t>
        </is>
      </c>
    </row>
    <row r="20">
      <c r="A20" t="inlineStr">
        <is>
          <t>Contract End Year</t>
        </is>
      </c>
      <c r="C20" t="inlineStr">
        <is>
          <t>Year PPA expires</t>
        </is>
      </c>
      <c r="D20" s="9" t="n">
        <v>12</v>
      </c>
    </row>
    <row r="22">
      <c r="A22" s="13" t="inlineStr">
        <is>
          <t>TIMING</t>
        </is>
      </c>
    </row>
    <row r="23">
      <c r="A23" t="inlineStr">
        <is>
          <t>Exit Year</t>
        </is>
      </c>
      <c r="C23" t="inlineStr">
        <is>
          <t>5 / 7 / 10</t>
        </is>
      </c>
      <c r="D23" s="9" t="n">
        <v>7</v>
      </c>
    </row>
    <row r="24">
      <c r="A24" t="inlineStr">
        <is>
          <t>PTC End Year</t>
        </is>
      </c>
      <c r="C24" t="inlineStr">
        <is>
          <t>Last year of PTC</t>
        </is>
      </c>
      <c r="D24" s="9" t="n">
        <v>5</v>
      </c>
    </row>
    <row r="26">
      <c r="A26" s="13" t="inlineStr">
        <is>
          <t>DEBT</t>
        </is>
      </c>
    </row>
    <row r="27">
      <c r="A27" t="inlineStr">
        <is>
          <t>Debt Type</t>
        </is>
      </c>
      <c r="C27" t="inlineStr">
        <is>
          <t>Sculpted (contracted assets)</t>
        </is>
      </c>
      <c r="D27" s="9" t="inlineStr">
        <is>
          <t>Sculpted</t>
        </is>
      </c>
    </row>
    <row r="29">
      <c r="A29" s="6" t="inlineStr">
        <is>
          <t>════════════════════════════════════</t>
        </is>
      </c>
    </row>
    <row r="31">
      <c r="A31" s="6" t="inlineStr">
        <is>
          <t>═══ TRANSACTION INPUTS ═══</t>
        </is>
      </c>
    </row>
    <row r="32">
      <c r="A32" t="inlineStr">
        <is>
          <t>Entry EV</t>
        </is>
      </c>
      <c r="B32" t="inlineStr">
        <is>
          <t>$mm</t>
        </is>
      </c>
      <c r="C32" t="inlineStr">
        <is>
          <t>Purchase price</t>
        </is>
      </c>
      <c r="D32" s="9" t="n">
        <v>180</v>
      </c>
    </row>
    <row r="33">
      <c r="A33" t="inlineStr">
        <is>
          <t>Transaction Fees</t>
        </is>
      </c>
      <c r="B33" t="inlineStr">
        <is>
          <t>%</t>
        </is>
      </c>
      <c r="C33" t="inlineStr">
        <is>
          <t>Legal, advisory</t>
        </is>
      </c>
      <c r="D33" s="9" t="n">
        <v>0.015</v>
      </c>
    </row>
    <row r="34">
      <c r="A34" t="inlineStr">
        <is>
          <t>Exit Multiple</t>
        </is>
      </c>
      <c r="B34" t="inlineStr">
        <is>
          <t>x</t>
        </is>
      </c>
      <c r="C34" t="inlineStr">
        <is>
          <t>Reflects PPA runoff</t>
        </is>
      </c>
      <c r="D34" s="9" t="n">
        <v>8.5</v>
      </c>
    </row>
    <row r="36">
      <c r="A36" s="6" t="inlineStr">
        <is>
          <t>═══ ASSET INPUTS ═══</t>
        </is>
      </c>
    </row>
    <row r="37">
      <c r="A37" t="inlineStr">
        <is>
          <t>Nameplate Capacity</t>
        </is>
      </c>
      <c r="B37" t="inlineStr">
        <is>
          <t>MW</t>
        </is>
      </c>
      <c r="C37" t="inlineStr">
        <is>
          <t>40 turbines × 2.5 MW</t>
        </is>
      </c>
      <c r="D37" s="9" t="n">
        <v>100</v>
      </c>
    </row>
    <row r="38">
      <c r="A38" t="inlineStr">
        <is>
          <t>Net Capacity Factor</t>
        </is>
      </c>
      <c r="B38" t="inlineStr">
        <is>
          <t>%</t>
        </is>
      </c>
      <c r="C38" t="inlineStr">
        <is>
          <t>Strong for onshore wind</t>
        </is>
      </c>
      <c r="D38" s="9" t="n">
        <v>0.38</v>
      </c>
    </row>
    <row r="39">
      <c r="A39" t="inlineStr">
        <is>
          <t>Annual Degradation</t>
        </is>
      </c>
      <c r="B39" t="inlineStr">
        <is>
          <t>%</t>
        </is>
      </c>
      <c r="C39" t="inlineStr">
        <is>
          <t>0.3%/yr blade erosion</t>
        </is>
      </c>
      <c r="D39" s="9" t="n">
        <v>0.003</v>
      </c>
    </row>
    <row r="40">
      <c r="A40" t="inlineStr">
        <is>
          <t>PPA Price</t>
        </is>
      </c>
      <c r="B40" t="inlineStr">
        <is>
          <t>$/MWh</t>
        </is>
      </c>
      <c r="C40" t="inlineStr">
        <is>
          <t>12 years remaining</t>
        </is>
      </c>
      <c r="D40" s="9" t="n">
        <v>45</v>
      </c>
    </row>
    <row r="41">
      <c r="A41" t="inlineStr">
        <is>
          <t>Post-PPA Merchant</t>
        </is>
      </c>
      <c r="B41" t="inlineStr">
        <is>
          <t>$/MWh</t>
        </is>
      </c>
      <c r="C41" t="inlineStr">
        <is>
          <t>Conservative SPP pricing</t>
        </is>
      </c>
      <c r="D41" s="9" t="n">
        <v>35</v>
      </c>
    </row>
    <row r="42">
      <c r="A42" t="inlineStr">
        <is>
          <t>Price Escalation</t>
        </is>
      </c>
      <c r="B42" t="inlineStr">
        <is>
          <t>%</t>
        </is>
      </c>
      <c r="C42" t="inlineStr">
        <is>
          <t>Both PPA and merchant</t>
        </is>
      </c>
      <c r="D42" s="9" t="n">
        <v>0.02</v>
      </c>
    </row>
    <row r="44">
      <c r="A44" s="6" t="inlineStr">
        <is>
          <t>═══ COST INPUTS ═══</t>
        </is>
      </c>
    </row>
    <row r="45">
      <c r="A45" t="inlineStr">
        <is>
          <t>O&amp;M</t>
        </is>
      </c>
      <c r="B45" t="inlineStr">
        <is>
          <t>$/kW-yr</t>
        </is>
      </c>
      <c r="C45" t="inlineStr">
        <is>
          <t>Higher than solar</t>
        </is>
      </c>
      <c r="D45" s="9" t="n">
        <v>35</v>
      </c>
    </row>
    <row r="46">
      <c r="A46" t="inlineStr">
        <is>
          <t>O&amp;M Escalation</t>
        </is>
      </c>
      <c r="B46" t="inlineStr">
        <is>
          <t>%</t>
        </is>
      </c>
      <c r="C46" t="inlineStr">
        <is>
          <t>Labor + parts inflation</t>
        </is>
      </c>
      <c r="D46" s="9" t="n">
        <v>0.025</v>
      </c>
    </row>
    <row r="47">
      <c r="A47" t="inlineStr">
        <is>
          <t>Land Lease</t>
        </is>
      </c>
      <c r="B47" t="inlineStr">
        <is>
          <t>$mm/yr</t>
        </is>
      </c>
      <c r="C47" t="inlineStr">
        <is>
          <t>Fixed annual</t>
        </is>
      </c>
      <c r="D47" s="9" t="n">
        <v>0.5</v>
      </c>
    </row>
    <row r="48">
      <c r="A48" t="inlineStr">
        <is>
          <t>Insurance</t>
        </is>
      </c>
      <c r="B48" t="inlineStr">
        <is>
          <t>% EV</t>
        </is>
      </c>
      <c r="C48" t="inlineStr">
        <is>
          <t>0.3% of EV</t>
        </is>
      </c>
      <c r="D48" s="9" t="n">
        <v>0.003</v>
      </c>
    </row>
    <row r="50">
      <c r="A50" s="6" t="inlineStr">
        <is>
          <t>═══ TAX INPUTS ═══</t>
        </is>
      </c>
    </row>
    <row r="51">
      <c r="A51" t="inlineStr">
        <is>
          <t>Tax Rate</t>
        </is>
      </c>
      <c r="B51" t="inlineStr">
        <is>
          <t>%</t>
        </is>
      </c>
      <c r="C51" t="inlineStr">
        <is>
          <t>Federal + state blended</t>
        </is>
      </c>
      <c r="D51" s="9" t="n">
        <v>0.25</v>
      </c>
    </row>
    <row r="52">
      <c r="A52" t="inlineStr">
        <is>
          <t>PTC Rate</t>
        </is>
      </c>
      <c r="B52" t="inlineStr">
        <is>
          <t>$/MWh</t>
        </is>
      </c>
      <c r="C52" t="inlineStr">
        <is>
          <t>Inflation-adjusted 2024</t>
        </is>
      </c>
      <c r="D52" s="9" t="n">
        <v>27.5</v>
      </c>
    </row>
    <row r="53">
      <c r="A53" t="inlineStr">
        <is>
          <t>Depreciable Basis</t>
        </is>
      </c>
      <c r="B53" t="inlineStr">
        <is>
          <t>%</t>
        </is>
      </c>
      <c r="C53" t="inlineStr">
        <is>
          <t>85% of EV</t>
        </is>
      </c>
      <c r="D53" s="9" t="n">
        <v>0.85</v>
      </c>
    </row>
    <row r="54">
      <c r="A54" t="inlineStr">
        <is>
          <t>Depreciation Life</t>
        </is>
      </c>
      <c r="B54" t="inlineStr">
        <is>
          <t>yrs</t>
        </is>
      </c>
      <c r="C54" t="inlineStr">
        <is>
          <t>MACRS wind</t>
        </is>
      </c>
      <c r="D54" s="9" t="n">
        <v>20</v>
      </c>
    </row>
    <row r="56">
      <c r="A56" s="6" t="inlineStr">
        <is>
          <t>═══ FINANCING INPUTS ═══</t>
        </is>
      </c>
    </row>
    <row r="57">
      <c r="A57" t="inlineStr">
        <is>
          <t>Leverage</t>
        </is>
      </c>
      <c r="B57" t="inlineStr">
        <is>
          <t>%</t>
        </is>
      </c>
      <c r="C57" t="inlineStr">
        <is>
          <t>Debt / EV</t>
        </is>
      </c>
      <c r="D57" s="9" t="n">
        <v>0.65</v>
      </c>
    </row>
    <row r="58">
      <c r="A58" t="inlineStr">
        <is>
          <t>Interest Rate</t>
        </is>
      </c>
      <c r="B58" t="inlineStr">
        <is>
          <t>%</t>
        </is>
      </c>
      <c r="C58" t="inlineStr">
        <is>
          <t>SOFR + 250bp</t>
        </is>
      </c>
      <c r="D58" s="9" t="n">
        <v>0.055</v>
      </c>
    </row>
    <row r="59">
      <c r="A59" t="inlineStr">
        <is>
          <t>Debt Tenor</t>
        </is>
      </c>
      <c r="B59" t="inlineStr">
        <is>
          <t>yrs</t>
        </is>
      </c>
      <c r="C59" t="inlineStr">
        <is>
          <t>Matches hold period</t>
        </is>
      </c>
      <c r="D59" s="9" t="n">
        <v>7</v>
      </c>
    </row>
    <row r="60">
      <c r="A60" t="inlineStr">
        <is>
          <t>Target DSCR</t>
        </is>
      </c>
      <c r="B60" t="inlineStr">
        <is>
          <t>x</t>
        </is>
      </c>
      <c r="C60" t="inlineStr">
        <is>
          <t>Sculpting target</t>
        </is>
      </c>
      <c r="D60" s="9" t="n">
        <v>1.35</v>
      </c>
    </row>
    <row r="61">
      <c r="A61" t="inlineStr">
        <is>
          <t>DSRA Months</t>
        </is>
      </c>
      <c r="B61" t="inlineStr">
        <is>
          <t>months</t>
        </is>
      </c>
      <c r="C61" t="inlineStr">
        <is>
          <t>6 months DS coverage</t>
        </is>
      </c>
      <c r="D61" s="9" t="n">
        <v>6</v>
      </c>
    </row>
    <row r="64">
      <c r="A64" s="6" t="inlineStr">
        <is>
          <t>═══ OPERATING MODEL ═══</t>
        </is>
      </c>
    </row>
    <row r="65">
      <c r="A65" t="inlineStr">
        <is>
          <t>Generation</t>
        </is>
      </c>
      <c r="B65" t="inlineStr">
        <is>
          <t>MWh</t>
        </is>
      </c>
      <c r="C65" t="inlineStr">
        <is>
          <t>[WHAT] Capacity × CF × 8760 × (1-Degrad)^(yr-1)</t>
        </is>
      </c>
      <c r="E65" s="14">
        <f>$D$37*$D$38*8760*(1-$D$39)^(1-1)</f>
        <v/>
      </c>
      <c r="F65" s="14">
        <f>$D$37*$D$38*8760*(1-$D$39)^(2-1)</f>
        <v/>
      </c>
      <c r="G65" s="14">
        <f>$D$37*$D$38*8760*(1-$D$39)^(3-1)</f>
        <v/>
      </c>
      <c r="H65" s="14">
        <f>$D$37*$D$38*8760*(1-$D$39)^(4-1)</f>
        <v/>
      </c>
      <c r="I65" s="14">
        <f>$D$37*$D$38*8760*(1-$D$39)^(5-1)</f>
        <v/>
      </c>
      <c r="J65" s="14">
        <f>$D$37*$D$38*8760*(1-$D$39)^(6-1)</f>
        <v/>
      </c>
      <c r="K65" s="14">
        <f>$D$37*$D$38*8760*(1-$D$39)^(7-1)</f>
        <v/>
      </c>
      <c r="L65" s="14">
        <f>$D$37*$D$38*8760*(1-$D$39)^(8-1)</f>
        <v/>
      </c>
      <c r="M65" s="14">
        <f>$D$37*$D$38*8760*(1-$D$39)^(9-1)</f>
        <v/>
      </c>
      <c r="N65" s="14">
        <f>$D$37*$D$38*8760*(1-$D$39)^(10-1)</f>
        <v/>
      </c>
    </row>
    <row r="66">
      <c r="A66" t="inlineStr">
        <is>
          <t>Revenue</t>
        </is>
      </c>
      <c r="B66" t="inlineStr">
        <is>
          <t>$mm</t>
        </is>
      </c>
      <c r="C66" t="inlineStr">
        <is>
          <t>[WHAT] PPA price during contract, merchant after</t>
        </is>
      </c>
      <c r="E66" s="18">
        <f>IF(1&lt;=$D$20,E65*$D$40*(1+$D$42)^(1-1)/1E6,E65*$D$41*(1+$D$42)^(1-1)/1E6)</f>
        <v/>
      </c>
      <c r="F66" s="18">
        <f>IF(2&lt;=$D$20,F65*$D$40*(1+$D$42)^(2-1)/1E6,F65*$D$41*(1+$D$42)^(2-1)/1E6)</f>
        <v/>
      </c>
      <c r="G66" s="18">
        <f>IF(3&lt;=$D$20,G65*$D$40*(1+$D$42)^(3-1)/1E6,G65*$D$41*(1+$D$42)^(3-1)/1E6)</f>
        <v/>
      </c>
      <c r="H66" s="18">
        <f>IF(4&lt;=$D$20,H65*$D$40*(1+$D$42)^(4-1)/1E6,H65*$D$41*(1+$D$42)^(4-1)/1E6)</f>
        <v/>
      </c>
      <c r="I66" s="18">
        <f>IF(5&lt;=$D$20,I65*$D$40*(1+$D$42)^(5-1)/1E6,I65*$D$41*(1+$D$42)^(5-1)/1E6)</f>
        <v/>
      </c>
      <c r="J66" s="18">
        <f>IF(6&lt;=$D$20,J65*$D$40*(1+$D$42)^(6-1)/1E6,J65*$D$41*(1+$D$42)^(6-1)/1E6)</f>
        <v/>
      </c>
      <c r="K66" s="18">
        <f>IF(7&lt;=$D$20,K65*$D$40*(1+$D$42)^(7-1)/1E6,K65*$D$41*(1+$D$42)^(7-1)/1E6)</f>
        <v/>
      </c>
      <c r="L66" s="18">
        <f>IF(8&lt;=$D$20,L65*$D$40*(1+$D$42)^(8-1)/1E6,L65*$D$41*(1+$D$42)^(8-1)/1E6)</f>
        <v/>
      </c>
      <c r="M66" s="18">
        <f>IF(9&lt;=$D$20,M65*$D$40*(1+$D$42)^(9-1)/1E6,M65*$D$41*(1+$D$42)^(9-1)/1E6)</f>
        <v/>
      </c>
      <c r="N66" s="18">
        <f>IF(10&lt;=$D$20,N65*$D$40*(1+$D$42)^(10-1)/1E6,N65*$D$41*(1+$D$42)^(10-1)/1E6)</f>
        <v/>
      </c>
    </row>
    <row r="68">
      <c r="A68" t="inlineStr">
        <is>
          <t>O&amp;M Expense</t>
        </is>
      </c>
      <c r="B68" t="inlineStr">
        <is>
          <t>$mm</t>
        </is>
      </c>
      <c r="E68" s="19">
        <f>$D$45*$D$37*(1+$D$46)^(1-1)/1E6</f>
        <v/>
      </c>
      <c r="F68" s="19">
        <f>$D$45*$D$37*(1+$D$46)^(2-1)/1E6</f>
        <v/>
      </c>
      <c r="G68" s="19">
        <f>$D$45*$D$37*(1+$D$46)^(3-1)/1E6</f>
        <v/>
      </c>
      <c r="H68" s="19">
        <f>$D$45*$D$37*(1+$D$46)^(4-1)/1E6</f>
        <v/>
      </c>
      <c r="I68" s="19">
        <f>$D$45*$D$37*(1+$D$46)^(5-1)/1E6</f>
        <v/>
      </c>
      <c r="J68" s="19">
        <f>$D$45*$D$37*(1+$D$46)^(6-1)/1E6</f>
        <v/>
      </c>
      <c r="K68" s="19">
        <f>$D$45*$D$37*(1+$D$46)^(7-1)/1E6</f>
        <v/>
      </c>
      <c r="L68" s="19">
        <f>$D$45*$D$37*(1+$D$46)^(8-1)/1E6</f>
        <v/>
      </c>
      <c r="M68" s="19">
        <f>$D$45*$D$37*(1+$D$46)^(9-1)/1E6</f>
        <v/>
      </c>
      <c r="N68" s="19">
        <f>$D$45*$D$37*(1+$D$46)^(10-1)/1E6</f>
        <v/>
      </c>
    </row>
    <row r="69">
      <c r="A69" t="inlineStr">
        <is>
          <t>Land Lease</t>
        </is>
      </c>
      <c r="B69" t="inlineStr">
        <is>
          <t>$mm</t>
        </is>
      </c>
      <c r="E69" s="19">
        <f>$D$47</f>
        <v/>
      </c>
      <c r="F69" s="19">
        <f>$D$47</f>
        <v/>
      </c>
      <c r="G69" s="19">
        <f>$D$47</f>
        <v/>
      </c>
      <c r="H69" s="19">
        <f>$D$47</f>
        <v/>
      </c>
      <c r="I69" s="19">
        <f>$D$47</f>
        <v/>
      </c>
      <c r="J69" s="19">
        <f>$D$47</f>
        <v/>
      </c>
      <c r="K69" s="19">
        <f>$D$47</f>
        <v/>
      </c>
      <c r="L69" s="19">
        <f>$D$47</f>
        <v/>
      </c>
      <c r="M69" s="19">
        <f>$D$47</f>
        <v/>
      </c>
      <c r="N69" s="19">
        <f>$D$47</f>
        <v/>
      </c>
    </row>
    <row r="70">
      <c r="A70" t="inlineStr">
        <is>
          <t>Insurance</t>
        </is>
      </c>
      <c r="B70" t="inlineStr">
        <is>
          <t>$mm</t>
        </is>
      </c>
      <c r="E70" s="19">
        <f>$D$32*$D$48</f>
        <v/>
      </c>
      <c r="F70" s="19">
        <f>$D$32*$D$48</f>
        <v/>
      </c>
      <c r="G70" s="19">
        <f>$D$32*$D$48</f>
        <v/>
      </c>
      <c r="H70" s="19">
        <f>$D$32*$D$48</f>
        <v/>
      </c>
      <c r="I70" s="19">
        <f>$D$32*$D$48</f>
        <v/>
      </c>
      <c r="J70" s="19">
        <f>$D$32*$D$48</f>
        <v/>
      </c>
      <c r="K70" s="19">
        <f>$D$32*$D$48</f>
        <v/>
      </c>
      <c r="L70" s="19">
        <f>$D$32*$D$48</f>
        <v/>
      </c>
      <c r="M70" s="19">
        <f>$D$32*$D$48</f>
        <v/>
      </c>
      <c r="N70" s="19">
        <f>$D$32*$D$48</f>
        <v/>
      </c>
    </row>
    <row r="71">
      <c r="A71" s="5" t="inlineStr">
        <is>
          <t>EBITDA</t>
        </is>
      </c>
      <c r="B71" t="inlineStr">
        <is>
          <t>$mm</t>
        </is>
      </c>
      <c r="E71" s="18">
        <f>E66-E68-E69-E70</f>
        <v/>
      </c>
      <c r="F71" s="18">
        <f>F66-F68-F69-F70</f>
        <v/>
      </c>
      <c r="G71" s="18">
        <f>G66-G68-G69-G70</f>
        <v/>
      </c>
      <c r="H71" s="18">
        <f>H66-H68-H69-H70</f>
        <v/>
      </c>
      <c r="I71" s="18">
        <f>I66-I68-I69-I70</f>
        <v/>
      </c>
      <c r="J71" s="18">
        <f>J66-J68-J69-J70</f>
        <v/>
      </c>
      <c r="K71" s="18">
        <f>K66-K68-K69-K70</f>
        <v/>
      </c>
      <c r="L71" s="18">
        <f>L66-L68-L69-L70</f>
        <v/>
      </c>
      <c r="M71" s="18">
        <f>M66-M68-M69-M70</f>
        <v/>
      </c>
      <c r="N71" s="18">
        <f>N66-N68-N69-N70</f>
        <v/>
      </c>
    </row>
    <row r="73">
      <c r="A73" s="6" t="inlineStr">
        <is>
          <t>═══ DEPRECIATION &amp; TAX ═══</t>
        </is>
      </c>
    </row>
    <row r="74">
      <c r="A74" t="inlineStr">
        <is>
          <t>Depreciation</t>
        </is>
      </c>
      <c r="B74" t="inlineStr">
        <is>
          <t>$mm</t>
        </is>
      </c>
      <c r="E74" s="19">
        <f>IF(1&lt;=$D$54,$D$53*$D$32/$D$54,0)</f>
        <v/>
      </c>
      <c r="F74" s="19">
        <f>IF(2&lt;=$D$54,$D$53*$D$32/$D$54,0)</f>
        <v/>
      </c>
      <c r="G74" s="19">
        <f>IF(3&lt;=$D$54,$D$53*$D$32/$D$54,0)</f>
        <v/>
      </c>
      <c r="H74" s="19">
        <f>IF(4&lt;=$D$54,$D$53*$D$32/$D$54,0)</f>
        <v/>
      </c>
      <c r="I74" s="19">
        <f>IF(5&lt;=$D$54,$D$53*$D$32/$D$54,0)</f>
        <v/>
      </c>
      <c r="J74" s="19">
        <f>IF(6&lt;=$D$54,$D$53*$D$32/$D$54,0)</f>
        <v/>
      </c>
      <c r="K74" s="19">
        <f>IF(7&lt;=$D$54,$D$53*$D$32/$D$54,0)</f>
        <v/>
      </c>
      <c r="L74" s="19">
        <f>IF(8&lt;=$D$54,$D$53*$D$32/$D$54,0)</f>
        <v/>
      </c>
      <c r="M74" s="19">
        <f>IF(9&lt;=$D$54,$D$53*$D$32/$D$54,0)</f>
        <v/>
      </c>
      <c r="N74" s="19">
        <f>IF(10&lt;=$D$54,$D$53*$D$32/$D$54,0)</f>
        <v/>
      </c>
    </row>
    <row r="75">
      <c r="A75" t="inlineStr">
        <is>
          <t>EBIT</t>
        </is>
      </c>
      <c r="B75" t="inlineStr">
        <is>
          <t>$mm</t>
        </is>
      </c>
      <c r="E75" s="19">
        <f>E71-E74</f>
        <v/>
      </c>
      <c r="F75" s="19">
        <f>F71-F74</f>
        <v/>
      </c>
      <c r="G75" s="19">
        <f>G71-G74</f>
        <v/>
      </c>
      <c r="H75" s="19">
        <f>H71-H74</f>
        <v/>
      </c>
      <c r="I75" s="19">
        <f>I71-I74</f>
        <v/>
      </c>
      <c r="J75" s="19">
        <f>J71-J74</f>
        <v/>
      </c>
      <c r="K75" s="19">
        <f>K71-K74</f>
        <v/>
      </c>
      <c r="L75" s="19">
        <f>L71-L74</f>
        <v/>
      </c>
      <c r="M75" s="19">
        <f>M71-M74</f>
        <v/>
      </c>
      <c r="N75" s="19">
        <f>N71-N74</f>
        <v/>
      </c>
    </row>
    <row r="76">
      <c r="A76" t="inlineStr">
        <is>
          <t>Pre-PTC Tax</t>
        </is>
      </c>
      <c r="B76" t="inlineStr">
        <is>
          <t>$mm</t>
        </is>
      </c>
      <c r="C76" t="inlineStr">
        <is>
          <t>[WHAT] MAX(0, EBIT) × Rate</t>
        </is>
      </c>
      <c r="E76" s="19">
        <f>MAX(0,E75)*$D$51</f>
        <v/>
      </c>
      <c r="F76" s="19">
        <f>MAX(0,F75)*$D$51</f>
        <v/>
      </c>
      <c r="G76" s="19">
        <f>MAX(0,G75)*$D$51</f>
        <v/>
      </c>
      <c r="H76" s="19">
        <f>MAX(0,H75)*$D$51</f>
        <v/>
      </c>
      <c r="I76" s="19">
        <f>MAX(0,I75)*$D$51</f>
        <v/>
      </c>
      <c r="J76" s="19">
        <f>MAX(0,J75)*$D$51</f>
        <v/>
      </c>
      <c r="K76" s="19">
        <f>MAX(0,K75)*$D$51</f>
        <v/>
      </c>
      <c r="L76" s="19">
        <f>MAX(0,L75)*$D$51</f>
        <v/>
      </c>
      <c r="M76" s="19">
        <f>MAX(0,M75)*$D$51</f>
        <v/>
      </c>
      <c r="N76" s="19">
        <f>MAX(0,N75)*$D$51</f>
        <v/>
      </c>
    </row>
    <row r="77">
      <c r="A77" t="inlineStr">
        <is>
          <t>Gross PTC</t>
        </is>
      </c>
      <c r="B77" t="inlineStr">
        <is>
          <t>$mm</t>
        </is>
      </c>
      <c r="C77" t="inlineStr">
        <is>
          <t>[WHAT] Gen × PTC Rate (if in PTC period)</t>
        </is>
      </c>
      <c r="E77" s="19">
        <f>IF(1&lt;=$D$24,E65*$D$52/1E6,0)</f>
        <v/>
      </c>
      <c r="F77" s="19">
        <f>IF(2&lt;=$D$24,F65*$D$52/1E6,0)</f>
        <v/>
      </c>
      <c r="G77" s="19">
        <f>IF(3&lt;=$D$24,G65*$D$52/1E6,0)</f>
        <v/>
      </c>
      <c r="H77" s="19">
        <f>IF(4&lt;=$D$24,H65*$D$52/1E6,0)</f>
        <v/>
      </c>
      <c r="I77" s="19">
        <f>IF(5&lt;=$D$24,I65*$D$52/1E6,0)</f>
        <v/>
      </c>
      <c r="J77" s="19">
        <f>IF(6&lt;=$D$24,J65*$D$52/1E6,0)</f>
        <v/>
      </c>
      <c r="K77" s="19">
        <f>IF(7&lt;=$D$24,K65*$D$52/1E6,0)</f>
        <v/>
      </c>
      <c r="L77" s="19">
        <f>IF(8&lt;=$D$24,L65*$D$52/1E6,0)</f>
        <v/>
      </c>
      <c r="M77" s="19">
        <f>IF(9&lt;=$D$24,M65*$D$52/1E6,0)</f>
        <v/>
      </c>
      <c r="N77" s="19">
        <f>IF(10&lt;=$D$24,N65*$D$52/1E6,0)</f>
        <v/>
      </c>
    </row>
    <row r="78">
      <c r="A78" s="15" t="inlineStr">
        <is>
          <t>PTC Applied</t>
        </is>
      </c>
      <c r="B78" t="inlineStr">
        <is>
          <t>$mm</t>
        </is>
      </c>
      <c r="C78" s="16" t="inlineStr">
        <is>
          <t>[WHAT] PTC Applied = MIN(Gross PTC, Pre-PTC Tax)
[WHY] PTC is a tax CREDIT. Cannot create negative taxes.
[KEY] If Gross PTC &gt; Tax Owed, excess is lost (unless tax equity structure).
[TRAP] Never let PTC create negative taxes. Always use MIN().</t>
        </is>
      </c>
      <c r="E78" s="18">
        <f>MIN(E77,E76)</f>
        <v/>
      </c>
      <c r="F78" s="18">
        <f>MIN(F77,F76)</f>
        <v/>
      </c>
      <c r="G78" s="18">
        <f>MIN(G77,G76)</f>
        <v/>
      </c>
      <c r="H78" s="18">
        <f>MIN(H77,H76)</f>
        <v/>
      </c>
      <c r="I78" s="18">
        <f>MIN(I77,I76)</f>
        <v/>
      </c>
      <c r="J78" s="18">
        <f>MIN(J77,J76)</f>
        <v/>
      </c>
      <c r="K78" s="18">
        <f>MIN(K77,K76)</f>
        <v/>
      </c>
      <c r="L78" s="18">
        <f>MIN(L77,L76)</f>
        <v/>
      </c>
      <c r="M78" s="18">
        <f>MIN(M77,M76)</f>
        <v/>
      </c>
      <c r="N78" s="18">
        <f>MIN(N77,N76)</f>
        <v/>
      </c>
    </row>
    <row r="79">
      <c r="A79" t="inlineStr">
        <is>
          <t>Net Taxes</t>
        </is>
      </c>
      <c r="B79" t="inlineStr">
        <is>
          <t>$mm</t>
        </is>
      </c>
      <c r="E79" s="19">
        <f>E76-E78</f>
        <v/>
      </c>
      <c r="F79" s="19">
        <f>F76-F78</f>
        <v/>
      </c>
      <c r="G79" s="19">
        <f>G76-G78</f>
        <v/>
      </c>
      <c r="H79" s="19">
        <f>H76-H78</f>
        <v/>
      </c>
      <c r="I79" s="19">
        <f>I76-I78</f>
        <v/>
      </c>
      <c r="J79" s="19">
        <f>J76-J78</f>
        <v/>
      </c>
      <c r="K79" s="19">
        <f>K76-K78</f>
        <v/>
      </c>
      <c r="L79" s="19">
        <f>L76-L78</f>
        <v/>
      </c>
      <c r="M79" s="19">
        <f>M76-M78</f>
        <v/>
      </c>
      <c r="N79" s="19">
        <f>N76-N78</f>
        <v/>
      </c>
    </row>
    <row r="81">
      <c r="A81" s="5" t="inlineStr">
        <is>
          <t>CFADS</t>
        </is>
      </c>
      <c r="B81" t="inlineStr">
        <is>
          <t>$mm</t>
        </is>
      </c>
      <c r="C81" t="inlineStr">
        <is>
          <t>[WHAT] EBITDA - Net Taxes</t>
        </is>
      </c>
      <c r="E81" s="18">
        <f>E71-E79</f>
        <v/>
      </c>
      <c r="F81" s="18">
        <f>F71-F79</f>
        <v/>
      </c>
      <c r="G81" s="18">
        <f>G71-G79</f>
        <v/>
      </c>
      <c r="H81" s="18">
        <f>H71-H79</f>
        <v/>
      </c>
      <c r="I81" s="18">
        <f>I71-I79</f>
        <v/>
      </c>
      <c r="J81" s="18">
        <f>J71-J79</f>
        <v/>
      </c>
      <c r="K81" s="18">
        <f>K71-K79</f>
        <v/>
      </c>
      <c r="L81" s="18">
        <f>L71-L79</f>
        <v/>
      </c>
      <c r="M81" s="18">
        <f>M71-M79</f>
        <v/>
      </c>
      <c r="N81" s="18">
        <f>N71-N79</f>
        <v/>
      </c>
    </row>
    <row r="83">
      <c r="A83" s="6" t="inlineStr">
        <is>
          <t>═══ DEBT SCHEDULE (Sculpted to DSCR) ═══</t>
        </is>
      </c>
    </row>
    <row r="84">
      <c r="A84" t="inlineStr">
        <is>
          <t>Target Debt Service</t>
        </is>
      </c>
      <c r="B84" t="inlineStr">
        <is>
          <t>$mm</t>
        </is>
      </c>
      <c r="C84" t="inlineStr">
        <is>
          <t>[WHAT] CFADS / Target DSCR - the DS that hits target</t>
        </is>
      </c>
      <c r="E84" s="18">
        <f>E81/$D$60</f>
        <v/>
      </c>
      <c r="F84" s="18">
        <f>F81/$D$60</f>
        <v/>
      </c>
      <c r="G84" s="18">
        <f>G81/$D$60</f>
        <v/>
      </c>
      <c r="H84" s="18">
        <f>H81/$D$60</f>
        <v/>
      </c>
      <c r="I84" s="18">
        <f>I81/$D$60</f>
        <v/>
      </c>
      <c r="J84" s="18">
        <f>J81/$D$60</f>
        <v/>
      </c>
      <c r="K84" s="18">
        <f>K81/$D$60</f>
        <v/>
      </c>
      <c r="L84" s="18">
        <f>L81/$D$60</f>
        <v/>
      </c>
      <c r="M84" s="18">
        <f>M81/$D$60</f>
        <v/>
      </c>
      <c r="N84" s="18">
        <f>N81/$D$60</f>
        <v/>
      </c>
    </row>
    <row r="86">
      <c r="A86" t="inlineStr">
        <is>
          <t>Beginning Balance</t>
        </is>
      </c>
      <c r="B86" t="inlineStr">
        <is>
          <t>$mm</t>
        </is>
      </c>
      <c r="D86">
        <f>$D$32*$D$57</f>
        <v/>
      </c>
      <c r="E86" s="19">
        <f>D86</f>
        <v/>
      </c>
      <c r="F86" s="19">
        <f>E90</f>
        <v/>
      </c>
      <c r="G86" s="19">
        <f>F90</f>
        <v/>
      </c>
      <c r="H86" s="19">
        <f>G90</f>
        <v/>
      </c>
      <c r="I86" s="19">
        <f>H90</f>
        <v/>
      </c>
      <c r="J86" s="19">
        <f>I90</f>
        <v/>
      </c>
      <c r="K86" s="19">
        <f>J90</f>
        <v/>
      </c>
      <c r="L86" s="19">
        <f>K90</f>
        <v/>
      </c>
      <c r="M86" s="19">
        <f>L90</f>
        <v/>
      </c>
      <c r="N86" s="19">
        <f>M90</f>
        <v/>
      </c>
    </row>
    <row r="87">
      <c r="A87" t="inlineStr">
        <is>
          <t>Interest</t>
        </is>
      </c>
      <c r="B87" t="inlineStr">
        <is>
          <t>$mm</t>
        </is>
      </c>
      <c r="E87" s="19">
        <f>E86*$D$58</f>
        <v/>
      </c>
      <c r="F87" s="19">
        <f>F86*$D$58</f>
        <v/>
      </c>
      <c r="G87" s="19">
        <f>G86*$D$58</f>
        <v/>
      </c>
      <c r="H87" s="19">
        <f>H86*$D$58</f>
        <v/>
      </c>
      <c r="I87" s="19">
        <f>I86*$D$58</f>
        <v/>
      </c>
      <c r="J87" s="19">
        <f>J86*$D$58</f>
        <v/>
      </c>
      <c r="K87" s="19">
        <f>K86*$D$58</f>
        <v/>
      </c>
      <c r="L87" s="19">
        <f>L86*$D$58</f>
        <v/>
      </c>
      <c r="M87" s="19">
        <f>M86*$D$58</f>
        <v/>
      </c>
      <c r="N87" s="19">
        <f>N86*$D$58</f>
        <v/>
      </c>
    </row>
    <row r="88">
      <c r="A88" t="inlineStr">
        <is>
          <t>Sculpted Principal</t>
        </is>
      </c>
      <c r="B88" t="inlineStr">
        <is>
          <t>$mm</t>
        </is>
      </c>
      <c r="C88" t="inlineStr">
        <is>
          <t>[WHAT] Target DS - Interest (principal to hit DSCR)</t>
        </is>
      </c>
      <c r="E88" s="19">
        <f>MAX(0,E84-E87)</f>
        <v/>
      </c>
      <c r="F88" s="19">
        <f>MAX(0,F84-F87)</f>
        <v/>
      </c>
      <c r="G88" s="19">
        <f>MAX(0,G84-G87)</f>
        <v/>
      </c>
      <c r="H88" s="19">
        <f>MAX(0,H84-H87)</f>
        <v/>
      </c>
      <c r="I88" s="19">
        <f>MAX(0,I84-I87)</f>
        <v/>
      </c>
      <c r="J88" s="19">
        <f>MAX(0,J84-J87)</f>
        <v/>
      </c>
      <c r="K88" s="19">
        <f>MAX(0,K84-K87)</f>
        <v/>
      </c>
      <c r="L88" s="19">
        <f>MAX(0,L84-L87)</f>
        <v/>
      </c>
      <c r="M88" s="19">
        <f>MAX(0,M84-M87)</f>
        <v/>
      </c>
      <c r="N88" s="19">
        <f>MAX(0,N84-N87)</f>
        <v/>
      </c>
    </row>
    <row r="89">
      <c r="A89" t="inlineStr">
        <is>
          <t>Capped Principal</t>
        </is>
      </c>
      <c r="B89" t="inlineStr">
        <is>
          <t>$mm</t>
        </is>
      </c>
      <c r="C89" t="inlineStr">
        <is>
          <t>[WHAT] MIN(Sculpted, Balance) - can't pay more than owed</t>
        </is>
      </c>
      <c r="E89" s="19">
        <f>MIN(E88,E86)</f>
        <v/>
      </c>
      <c r="F89" s="19">
        <f>MIN(F88,F86)</f>
        <v/>
      </c>
      <c r="G89" s="19">
        <f>MIN(G88,G86)</f>
        <v/>
      </c>
      <c r="H89" s="19">
        <f>MIN(H88,H86)</f>
        <v/>
      </c>
      <c r="I89" s="19">
        <f>MIN(I88,I86)</f>
        <v/>
      </c>
      <c r="J89" s="19">
        <f>MIN(J88,J86)</f>
        <v/>
      </c>
      <c r="K89" s="19">
        <f>MIN(K88,K86)</f>
        <v/>
      </c>
      <c r="L89" s="19">
        <f>MIN(L88,L86)</f>
        <v/>
      </c>
      <c r="M89" s="19">
        <f>MIN(M88,M86)</f>
        <v/>
      </c>
      <c r="N89" s="19">
        <f>MIN(N88,N86)</f>
        <v/>
      </c>
    </row>
    <row r="90">
      <c r="A90" t="inlineStr">
        <is>
          <t>Ending Balance</t>
        </is>
      </c>
      <c r="B90" t="inlineStr">
        <is>
          <t>$mm</t>
        </is>
      </c>
      <c r="E90" s="19">
        <f>MAX(0,E86-E89)</f>
        <v/>
      </c>
      <c r="F90" s="19">
        <f>MAX(0,F86-F89)</f>
        <v/>
      </c>
      <c r="G90" s="19">
        <f>MAX(0,G86-G89)</f>
        <v/>
      </c>
      <c r="H90" s="19">
        <f>MAX(0,H86-H89)</f>
        <v/>
      </c>
      <c r="I90" s="19">
        <f>MAX(0,I86-I89)</f>
        <v/>
      </c>
      <c r="J90" s="19">
        <f>MAX(0,J86-J89)</f>
        <v/>
      </c>
      <c r="K90" s="19">
        <f>MAX(0,K86-K89)</f>
        <v/>
      </c>
      <c r="L90" s="19">
        <f>MAX(0,L86-L89)</f>
        <v/>
      </c>
      <c r="M90" s="19">
        <f>MAX(0,M86-M89)</f>
        <v/>
      </c>
      <c r="N90" s="19">
        <f>MAX(0,N86-N89)</f>
        <v/>
      </c>
    </row>
    <row r="92">
      <c r="A92" t="inlineStr">
        <is>
          <t>Actual Debt Service</t>
        </is>
      </c>
      <c r="B92" t="inlineStr">
        <is>
          <t>$mm</t>
        </is>
      </c>
      <c r="E92" s="19">
        <f>E87+E89</f>
        <v/>
      </c>
      <c r="F92" s="19">
        <f>F87+F89</f>
        <v/>
      </c>
      <c r="G92" s="19">
        <f>G87+G89</f>
        <v/>
      </c>
      <c r="H92" s="19">
        <f>H87+H89</f>
        <v/>
      </c>
      <c r="I92" s="19">
        <f>I87+I89</f>
        <v/>
      </c>
      <c r="J92" s="19">
        <f>J87+J89</f>
        <v/>
      </c>
      <c r="K92" s="19">
        <f>K87+K89</f>
        <v/>
      </c>
      <c r="L92" s="19">
        <f>L87+L89</f>
        <v/>
      </c>
      <c r="M92" s="19">
        <f>M87+M89</f>
        <v/>
      </c>
      <c r="N92" s="19">
        <f>N87+N89</f>
        <v/>
      </c>
    </row>
    <row r="93">
      <c r="A93" s="5" t="inlineStr">
        <is>
          <t>DSCR</t>
        </is>
      </c>
      <c r="B93" t="inlineStr">
        <is>
          <t>x</t>
        </is>
      </c>
      <c r="E93" s="12">
        <f>IF(E92&gt;0,E81/E92,0)</f>
        <v/>
      </c>
      <c r="F93" s="12">
        <f>IF(F92&gt;0,F81/F92,0)</f>
        <v/>
      </c>
      <c r="G93" s="12">
        <f>IF(G92&gt;0,G81/G92,0)</f>
        <v/>
      </c>
      <c r="H93" s="12">
        <f>IF(H92&gt;0,H81/H92,0)</f>
        <v/>
      </c>
      <c r="I93" s="12">
        <f>IF(I92&gt;0,I81/I92,0)</f>
        <v/>
      </c>
      <c r="J93" s="12">
        <f>IF(J92&gt;0,J81/J92,0)</f>
        <v/>
      </c>
      <c r="K93" s="12">
        <f>IF(K92&gt;0,K81/K92,0)</f>
        <v/>
      </c>
      <c r="L93" s="12">
        <f>IF(L92&gt;0,L81/L92,0)</f>
        <v/>
      </c>
      <c r="M93" s="12">
        <f>IF(M92&gt;0,M81/M92,0)</f>
        <v/>
      </c>
      <c r="N93" s="12">
        <f>IF(N92&gt;0,N81/N92,0)</f>
        <v/>
      </c>
    </row>
    <row r="94">
      <c r="A94" t="inlineStr">
        <is>
          <t>DSCR Check</t>
        </is>
      </c>
      <c r="C94" t="inlineStr">
        <is>
          <t>Should equal Target (within rounding)</t>
        </is>
      </c>
      <c r="E94">
        <f>IF(E86&gt;0,IF(ABS(E93-$D$60)&lt;0.02,"✓","!"),"─")</f>
        <v/>
      </c>
      <c r="F94">
        <f>IF(F86&gt;0,IF(ABS(F93-$D$60)&lt;0.02,"✓","!"),"─")</f>
        <v/>
      </c>
      <c r="G94">
        <f>IF(G86&gt;0,IF(ABS(G93-$D$60)&lt;0.02,"✓","!"),"─")</f>
        <v/>
      </c>
      <c r="H94">
        <f>IF(H86&gt;0,IF(ABS(H93-$D$60)&lt;0.02,"✓","!"),"─")</f>
        <v/>
      </c>
      <c r="I94">
        <f>IF(I86&gt;0,IF(ABS(I93-$D$60)&lt;0.02,"✓","!"),"─")</f>
        <v/>
      </c>
      <c r="J94">
        <f>IF(J86&gt;0,IF(ABS(J93-$D$60)&lt;0.02,"✓","!"),"─")</f>
        <v/>
      </c>
      <c r="K94">
        <f>IF(K86&gt;0,IF(ABS(K93-$D$60)&lt;0.02,"✓","!"),"─")</f>
        <v/>
      </c>
      <c r="L94">
        <f>IF(L86&gt;0,IF(ABS(L93-$D$60)&lt;0.02,"✓","!"),"─")</f>
        <v/>
      </c>
      <c r="M94">
        <f>IF(M86&gt;0,IF(ABS(M93-$D$60)&lt;0.02,"✓","!"),"─")</f>
        <v/>
      </c>
      <c r="N94">
        <f>IF(N86&gt;0,IF(ABS(N93-$D$60)&lt;0.02,"✓","!"),"─")</f>
        <v/>
      </c>
    </row>
    <row r="96">
      <c r="A96" s="6" t="inlineStr">
        <is>
          <t>═══ DSRA ═══</t>
        </is>
      </c>
    </row>
    <row r="97">
      <c r="A97" t="inlineStr">
        <is>
          <t>DSRA Target</t>
        </is>
      </c>
      <c r="B97" t="inlineStr">
        <is>
          <t>$mm</t>
        </is>
      </c>
      <c r="C97" t="inlineStr">
        <is>
          <t>[WHAT] NEXT year's DS × (months/12)</t>
        </is>
      </c>
      <c r="E97" s="19">
        <f>F92*$D$61/12</f>
        <v/>
      </c>
      <c r="F97" s="19">
        <f>G92*$D$61/12</f>
        <v/>
      </c>
      <c r="G97" s="19">
        <f>H92*$D$61/12</f>
        <v/>
      </c>
      <c r="H97" s="19">
        <f>I92*$D$61/12</f>
        <v/>
      </c>
      <c r="I97" s="19">
        <f>J92*$D$61/12</f>
        <v/>
      </c>
      <c r="J97" s="19">
        <f>K92*$D$61/12</f>
        <v/>
      </c>
      <c r="K97" s="19">
        <f>L92*$D$61/12</f>
        <v/>
      </c>
      <c r="L97" s="19">
        <f>M92*$D$61/12</f>
        <v/>
      </c>
      <c r="M97" s="19">
        <f>N92*$D$61/12</f>
        <v/>
      </c>
      <c r="N97" t="n">
        <v>0</v>
      </c>
    </row>
    <row r="98">
      <c r="A98" t="inlineStr">
        <is>
          <t>DSRA Beginning</t>
        </is>
      </c>
      <c r="B98" t="inlineStr">
        <is>
          <t>$mm</t>
        </is>
      </c>
      <c r="E98">
        <f>E97</f>
        <v/>
      </c>
      <c r="F98" s="19">
        <f>E100</f>
        <v/>
      </c>
      <c r="G98" s="19">
        <f>F100</f>
        <v/>
      </c>
      <c r="H98" s="19">
        <f>G100</f>
        <v/>
      </c>
      <c r="I98" s="19">
        <f>H100</f>
        <v/>
      </c>
      <c r="J98" s="19">
        <f>I100</f>
        <v/>
      </c>
      <c r="K98" s="19">
        <f>J100</f>
        <v/>
      </c>
      <c r="L98" s="19">
        <f>K100</f>
        <v/>
      </c>
      <c r="M98" s="19">
        <f>L100</f>
        <v/>
      </c>
      <c r="N98" s="19">
        <f>M100</f>
        <v/>
      </c>
    </row>
    <row r="99">
      <c r="A99" t="inlineStr">
        <is>
          <t>DSRA Funding/(Release)</t>
        </is>
      </c>
      <c r="B99" t="inlineStr">
        <is>
          <t>$mm</t>
        </is>
      </c>
      <c r="E99" s="19">
        <f>E97-E98</f>
        <v/>
      </c>
      <c r="F99" s="19">
        <f>F97-F98</f>
        <v/>
      </c>
      <c r="G99" s="19">
        <f>G97-G98</f>
        <v/>
      </c>
      <c r="H99" s="19">
        <f>H97-H98</f>
        <v/>
      </c>
      <c r="I99" s="19">
        <f>I97-I98</f>
        <v/>
      </c>
      <c r="J99" s="19">
        <f>J97-J98</f>
        <v/>
      </c>
      <c r="K99" s="19">
        <f>K97-K98</f>
        <v/>
      </c>
      <c r="L99" s="19">
        <f>L97-L98</f>
        <v/>
      </c>
      <c r="M99" s="19">
        <f>M97-M98</f>
        <v/>
      </c>
      <c r="N99" s="19">
        <f>N97-N98</f>
        <v/>
      </c>
    </row>
    <row r="100">
      <c r="A100" t="inlineStr">
        <is>
          <t>DSRA Ending</t>
        </is>
      </c>
      <c r="B100" t="inlineStr">
        <is>
          <t>$mm</t>
        </is>
      </c>
      <c r="E100" s="19">
        <f>E98+E99</f>
        <v/>
      </c>
      <c r="F100" s="19">
        <f>F98+F99</f>
        <v/>
      </c>
      <c r="G100" s="19">
        <f>G98+G99</f>
        <v/>
      </c>
      <c r="H100" s="19">
        <f>H98+H99</f>
        <v/>
      </c>
      <c r="I100" s="19">
        <f>I98+I99</f>
        <v/>
      </c>
      <c r="J100" s="19">
        <f>J98+J99</f>
        <v/>
      </c>
      <c r="K100" s="19">
        <f>K98+K99</f>
        <v/>
      </c>
      <c r="L100" s="19">
        <f>L98+L99</f>
        <v/>
      </c>
      <c r="M100" s="19">
        <f>M98+M99</f>
        <v/>
      </c>
      <c r="N100" s="19">
        <f>N98+N99</f>
        <v/>
      </c>
    </row>
    <row r="102">
      <c r="A102" s="6" t="inlineStr">
        <is>
          <t>═══ DISTRIBUTION WATERFALL ═══</t>
        </is>
      </c>
    </row>
    <row r="103">
      <c r="A103" t="inlineStr">
        <is>
          <t>Cash Available</t>
        </is>
      </c>
      <c r="B103" t="inlineStr">
        <is>
          <t>$mm</t>
        </is>
      </c>
      <c r="E103" s="19">
        <f>E81-E92-E99</f>
        <v/>
      </c>
      <c r="F103" s="19">
        <f>F81-F92-F99</f>
        <v/>
      </c>
      <c r="G103" s="19">
        <f>G81-G92-G99</f>
        <v/>
      </c>
      <c r="H103" s="19">
        <f>H81-H92-H99</f>
        <v/>
      </c>
      <c r="I103" s="19">
        <f>I81-I92-I99</f>
        <v/>
      </c>
      <c r="J103" s="19">
        <f>J81-J92-J99</f>
        <v/>
      </c>
      <c r="K103" s="19">
        <f>K81-K92-K99</f>
        <v/>
      </c>
      <c r="L103" s="19">
        <f>L81-L92-L99</f>
        <v/>
      </c>
      <c r="M103" s="19">
        <f>M81-M92-M99</f>
        <v/>
      </c>
      <c r="N103" s="19">
        <f>N81-N92-N99</f>
        <v/>
      </c>
    </row>
    <row r="104">
      <c r="A104" s="5" t="inlineStr">
        <is>
          <t>Distributable Cash</t>
        </is>
      </c>
      <c r="B104" t="inlineStr">
        <is>
          <t>$mm</t>
        </is>
      </c>
      <c r="E104" s="18">
        <f>MAX(0,E103)</f>
        <v/>
      </c>
      <c r="F104" s="18">
        <f>MAX(0,F103)</f>
        <v/>
      </c>
      <c r="G104" s="18">
        <f>MAX(0,G103)</f>
        <v/>
      </c>
      <c r="H104" s="18">
        <f>MAX(0,H103)</f>
        <v/>
      </c>
      <c r="I104" s="18">
        <f>MAX(0,I103)</f>
        <v/>
      </c>
      <c r="J104" s="18">
        <f>MAX(0,J103)</f>
        <v/>
      </c>
      <c r="K104" s="18">
        <f>MAX(0,K103)</f>
        <v/>
      </c>
      <c r="L104" s="18">
        <f>MAX(0,L103)</f>
        <v/>
      </c>
      <c r="M104" s="18">
        <f>MAX(0,M103)</f>
        <v/>
      </c>
      <c r="N104" s="18">
        <f>MAX(0,N103)</f>
        <v/>
      </c>
    </row>
    <row r="106">
      <c r="A106" s="6" t="inlineStr">
        <is>
          <t>═══ SOURCES &amp; USES (Y0) ═══</t>
        </is>
      </c>
    </row>
    <row r="107">
      <c r="A107" s="5" t="inlineStr">
        <is>
          <t>USES</t>
        </is>
      </c>
    </row>
    <row r="108">
      <c r="A108" t="inlineStr">
        <is>
          <t xml:space="preserve">  Purchase Price</t>
        </is>
      </c>
      <c r="D108">
        <f>$D$32</f>
        <v/>
      </c>
    </row>
    <row r="109">
      <c r="A109" t="inlineStr">
        <is>
          <t xml:space="preserve">  Transaction Fees</t>
        </is>
      </c>
      <c r="D109">
        <f>$D$32*$D$33</f>
        <v/>
      </c>
    </row>
    <row r="110">
      <c r="A110" t="inlineStr">
        <is>
          <t xml:space="preserve">  DSRA Funding</t>
        </is>
      </c>
      <c r="D110">
        <f>E97</f>
        <v/>
      </c>
    </row>
    <row r="111">
      <c r="A111" s="5" t="inlineStr">
        <is>
          <t>Total Uses</t>
        </is>
      </c>
      <c r="D111" s="7">
        <f>D108+D109+D110</f>
        <v/>
      </c>
    </row>
    <row r="113">
      <c r="A113" s="5" t="inlineStr">
        <is>
          <t>SOURCES</t>
        </is>
      </c>
    </row>
    <row r="114">
      <c r="A114" t="inlineStr">
        <is>
          <t xml:space="preserve">  Debt</t>
        </is>
      </c>
      <c r="D114">
        <f>D86</f>
        <v/>
      </c>
    </row>
    <row r="115">
      <c r="A115" t="inlineStr">
        <is>
          <t xml:space="preserve">  Equity</t>
        </is>
      </c>
      <c r="D115">
        <f>D111-D114</f>
        <v/>
      </c>
    </row>
    <row r="116">
      <c r="A116" s="5" t="inlineStr">
        <is>
          <t>Total Sources</t>
        </is>
      </c>
      <c r="D116" s="7">
        <f>D114+D115</f>
        <v/>
      </c>
    </row>
    <row r="117">
      <c r="A117" t="inlineStr">
        <is>
          <t>S&amp;U Balance Check</t>
        </is>
      </c>
      <c r="D117" s="7">
        <f>IF(ABS(D111-D116)&lt;0.01,"PASS","FAIL")</f>
        <v/>
      </c>
    </row>
    <row r="119">
      <c r="A119" s="6" t="inlineStr">
        <is>
          <t>═══ EXIT &amp; RETURNS ═══</t>
        </is>
      </c>
    </row>
    <row r="120">
      <c r="A120" t="inlineStr">
        <is>
          <t>Exit EBITDA</t>
        </is>
      </c>
      <c r="D120" s="19">
        <f>OFFSET(E71,0,$D$23-1)</f>
        <v/>
      </c>
    </row>
    <row r="121">
      <c r="A121" t="inlineStr">
        <is>
          <t>Exit EV</t>
        </is>
      </c>
      <c r="D121" s="18">
        <f>D120*$D$34</f>
        <v/>
      </c>
    </row>
    <row r="122">
      <c r="A122" t="inlineStr">
        <is>
          <t>Exit Debt Payoff</t>
        </is>
      </c>
      <c r="D122" s="19">
        <f>OFFSET(E90,0,$D$23-1)</f>
        <v/>
      </c>
    </row>
    <row r="123">
      <c r="A123" t="inlineStr">
        <is>
          <t>DSRA Release</t>
        </is>
      </c>
      <c r="D123" s="19">
        <f>OFFSET(E100,0,$D$23-1)</f>
        <v/>
      </c>
    </row>
    <row r="124">
      <c r="A124" s="5" t="inlineStr">
        <is>
          <t>Exit Equity Proceeds</t>
        </is>
      </c>
      <c r="D124" s="18">
        <f>D121-D122+D123</f>
        <v/>
      </c>
    </row>
    <row r="126">
      <c r="A126" t="inlineStr">
        <is>
          <t>Equity Cash Flow</t>
        </is>
      </c>
      <c r="B126" t="inlineStr">
        <is>
          <t>$mm</t>
        </is>
      </c>
      <c r="D126">
        <f>-D115</f>
        <v/>
      </c>
      <c r="E126" s="19">
        <f>E104+IF(1=$D$23,D124,0)</f>
        <v/>
      </c>
      <c r="F126" s="19">
        <f>F104+IF(2=$D$23,D124,0)</f>
        <v/>
      </c>
      <c r="G126" s="19">
        <f>G104+IF(3=$D$23,D124,0)</f>
        <v/>
      </c>
      <c r="H126" s="19">
        <f>H104+IF(4=$D$23,D124,0)</f>
        <v/>
      </c>
      <c r="I126" s="19">
        <f>I104+IF(5=$D$23,D124,0)</f>
        <v/>
      </c>
      <c r="J126" s="19">
        <f>J104+IF(6=$D$23,D124,0)</f>
        <v/>
      </c>
      <c r="K126" s="19">
        <f>K104+IF(7=$D$23,D124,0)</f>
        <v/>
      </c>
      <c r="L126" s="19">
        <f>L104+IF(8=$D$23,D124,0)</f>
        <v/>
      </c>
      <c r="M126" s="19">
        <f>M104+IF(9=$D$23,D124,0)</f>
        <v/>
      </c>
      <c r="N126" s="19">
        <f>N104+IF(10=$D$23,D124,0)</f>
        <v/>
      </c>
    </row>
    <row r="128">
      <c r="A128" s="5" t="inlineStr">
        <is>
          <t>Levered IRR</t>
        </is>
      </c>
      <c r="B128" t="inlineStr">
        <is>
          <t>%</t>
        </is>
      </c>
      <c r="D128" s="17">
        <f>IRR(D126:N126)</f>
        <v/>
      </c>
    </row>
    <row r="129">
      <c r="A129" s="5" t="inlineStr">
        <is>
          <t>MOIC</t>
        </is>
      </c>
      <c r="B129" t="inlineStr">
        <is>
          <t>x</t>
        </is>
      </c>
      <c r="D129" s="12">
        <f>(SUM(E126:N126))/-D126</f>
        <v/>
      </c>
    </row>
    <row r="132">
      <c r="A132" s="6" t="inlineStr">
        <is>
          <t>─────────── PROJECT FINANCE METRICS ───────────</t>
        </is>
      </c>
    </row>
    <row r="133">
      <c r="A133" t="inlineStr">
        <is>
          <t>LLCR</t>
        </is>
      </c>
      <c r="B133" t="inlineStr">
        <is>
          <t>x</t>
        </is>
      </c>
      <c r="C133" t="inlineStr">
        <is>
          <t>[WHAT] NPV(CFADS over loan life) / Debt</t>
        </is>
      </c>
      <c r="D133" s="7" t="inlineStr">
        <is>
          <t>~1.5x</t>
        </is>
      </c>
    </row>
    <row r="134">
      <c r="A134" t="inlineStr">
        <is>
          <t>PLCR</t>
        </is>
      </c>
      <c r="B134" t="inlineStr">
        <is>
          <t>x</t>
        </is>
      </c>
      <c r="C134" t="inlineStr">
        <is>
          <t>[WHAT] NPV(CFADS over project life) / Debt</t>
        </is>
      </c>
      <c r="D134" s="7" t="inlineStr">
        <is>
          <t>~2.0x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2026-01-20T22:45:47Z</dcterms:created>
  <dcterms:modified xmlns:dcterms="http://purl.org/dc/terms/" xmlns:xsi="http://www.w3.org/2001/XMLSchema-instance" xsi:type="dcterms:W3CDTF">2026-01-21T01:02:44Z</dcterms:modified>
</cp:coreProperties>
</file>