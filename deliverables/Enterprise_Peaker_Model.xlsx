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 Pea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_);_($* (#,##0);_($* &quot;-&quot;_);_(@_)"/>
    <numFmt numFmtId="165" formatCode="0.00&quot;x&quot;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000000"/>
    </font>
    <font>
      <b val="1"/>
    </font>
    <font>
      <b val="1"/>
      <color rgb="00000000"/>
    </font>
    <font>
      <i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7"/>
        <bgColor rgb="00FFFFC7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bottom style="thin"/>
    </border>
    <border>
      <bottom style="double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3" fontId="3" fillId="0" borderId="0" pivotButton="0" quotePrefix="0" xfId="0"/>
    <xf numFmtId="10" fontId="2" fillId="3" borderId="0" pivotButton="0" quotePrefix="0" xfId="0"/>
    <xf numFmtId="0" fontId="3" fillId="0" borderId="0" pivotButton="0" quotePrefix="0" xfId="0"/>
    <xf numFmtId="4" fontId="2" fillId="3" borderId="0" pivotButton="0" quotePrefix="0" xfId="0"/>
    <xf numFmtId="3" fontId="2" fillId="3" borderId="0" pivotButton="0" quotePrefix="0" xfId="0"/>
    <xf numFmtId="164" fontId="2" fillId="3" borderId="0" pivotButton="0" quotePrefix="0" xfId="0"/>
    <xf numFmtId="164" fontId="3" fillId="0" borderId="0" pivotButton="0" quotePrefix="0" xfId="0"/>
    <xf numFmtId="10" fontId="3" fillId="0" borderId="0" pivotButton="0" quotePrefix="0" xfId="0"/>
    <xf numFmtId="165" fontId="2" fillId="3" borderId="0" pivotButton="0" quotePrefix="0" xfId="0"/>
    <xf numFmtId="0" fontId="4" fillId="0" borderId="0" pivotButton="0" quotePrefix="0" xfId="0"/>
    <xf numFmtId="164" fontId="4" fillId="0" borderId="1" pivotButton="0" quotePrefix="0" xfId="0"/>
    <xf numFmtId="164" fontId="4" fillId="0" borderId="0" pivotButton="0" quotePrefix="0" xfId="0"/>
    <xf numFmtId="164" fontId="5" fillId="4" borderId="2" pivotButton="0" quotePrefix="0" xfId="0"/>
    <xf numFmtId="164" fontId="4" fillId="4" borderId="0" pivotButton="0" quotePrefix="0" xfId="0"/>
    <xf numFmtId="165" fontId="5" fillId="4" borderId="0" pivotButton="0" quotePrefix="0" xfId="0"/>
    <xf numFmtId="164" fontId="3" fillId="4" borderId="0" pivotButton="0" quotePrefix="0" xfId="0"/>
    <xf numFmtId="10" fontId="5" fillId="4" borderId="0" pivotButton="0" quotePrefix="0" xfId="0"/>
    <xf numFmtId="0" fontId="6" fillId="0" borderId="0" pivotButton="0" quotePrefix="0" xfId="0"/>
    <xf numFmtId="10" fontId="0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4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═══ INPUTS ═══</t>
        </is>
      </c>
    </row>
    <row r="2">
      <c r="A2" t="inlineStr">
        <is>
          <t>Year</t>
        </is>
      </c>
      <c r="D2" t="n">
        <v>2013</v>
      </c>
      <c r="E2" t="n">
        <v>2014</v>
      </c>
      <c r="F2" t="n">
        <v>2015</v>
      </c>
      <c r="G2" t="n">
        <v>2016</v>
      </c>
      <c r="H2" t="n">
        <v>2017</v>
      </c>
      <c r="I2" t="n">
        <v>2018</v>
      </c>
      <c r="J2" t="n">
        <v>2019</v>
      </c>
      <c r="K2" t="n">
        <v>2020</v>
      </c>
      <c r="L2" t="n">
        <v>2021</v>
      </c>
      <c r="M2" t="n">
        <v>2022</v>
      </c>
      <c r="N2" t="n">
        <v>2023</v>
      </c>
      <c r="O2" t="n">
        <v>2024</v>
      </c>
      <c r="P2" t="n">
        <v>2025</v>
      </c>
      <c r="Q2" t="n">
        <v>2026</v>
      </c>
      <c r="R2" t="n">
        <v>2027</v>
      </c>
      <c r="S2" t="n">
        <v>2028</v>
      </c>
      <c r="T2" t="n">
        <v>2029</v>
      </c>
      <c r="U2" t="n">
        <v>2030</v>
      </c>
      <c r="V2" t="n">
        <v>2031</v>
      </c>
      <c r="W2" t="n">
        <v>2032</v>
      </c>
      <c r="X2" t="n">
        <v>2033</v>
      </c>
    </row>
    <row r="3">
      <c r="A3" s="1" t="inlineStr">
        <is>
          <t>Timeline</t>
        </is>
      </c>
    </row>
    <row r="4">
      <c r="A4" t="inlineStr">
        <is>
          <t>Year Index</t>
        </is>
      </c>
      <c r="B4" t="inlineStr">
        <is>
          <t>yr</t>
        </is>
      </c>
      <c r="D4" t="n">
        <v>0</v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J4" t="n">
        <v>6</v>
      </c>
      <c r="K4" t="n">
        <v>7</v>
      </c>
      <c r="L4" t="n">
        <v>8</v>
      </c>
      <c r="M4" t="n">
        <v>9</v>
      </c>
      <c r="N4" t="n">
        <v>10</v>
      </c>
      <c r="O4" t="n">
        <v>11</v>
      </c>
      <c r="P4" t="n">
        <v>12</v>
      </c>
      <c r="Q4" t="n">
        <v>13</v>
      </c>
      <c r="R4" t="n">
        <v>14</v>
      </c>
      <c r="S4" t="n">
        <v>15</v>
      </c>
      <c r="T4" t="n">
        <v>16</v>
      </c>
      <c r="U4" t="n">
        <v>17</v>
      </c>
      <c r="V4" t="n">
        <v>18</v>
      </c>
      <c r="W4" t="n">
        <v>19</v>
      </c>
      <c r="X4" t="n">
        <v>20</v>
      </c>
    </row>
    <row r="5">
      <c r="A5" t="inlineStr">
        <is>
          <t>Close Date</t>
        </is>
      </c>
      <c r="D5" s="2" t="inlineStr">
        <is>
          <t>12/31/2013</t>
        </is>
      </c>
    </row>
    <row r="7">
      <c r="A7" s="1" t="inlineStr">
        <is>
          <t>Plant / Dispatch</t>
        </is>
      </c>
    </row>
    <row r="8">
      <c r="A8" t="inlineStr">
        <is>
          <t>Contract Capacity (net)</t>
        </is>
      </c>
      <c r="B8" t="inlineStr">
        <is>
          <t>MW</t>
        </is>
      </c>
      <c r="D8" s="2" t="n">
        <v>51</v>
      </c>
    </row>
    <row r="9">
      <c r="A9" t="inlineStr">
        <is>
          <t>Contract Capacity</t>
        </is>
      </c>
      <c r="B9" t="inlineStr">
        <is>
          <t>kW</t>
        </is>
      </c>
      <c r="D9" s="3">
        <f>D8*1000</f>
        <v/>
      </c>
    </row>
    <row r="10">
      <c r="A10" t="inlineStr">
        <is>
          <t>Billing Capacity</t>
        </is>
      </c>
      <c r="B10" t="inlineStr">
        <is>
          <t>kW</t>
        </is>
      </c>
      <c r="D10" s="3">
        <f>ROUND(D9,-2)</f>
        <v/>
      </c>
    </row>
    <row r="11">
      <c r="A11" t="inlineStr">
        <is>
          <t>Capacity Factor</t>
        </is>
      </c>
      <c r="B11" t="inlineStr">
        <is>
          <t>%</t>
        </is>
      </c>
      <c r="D11" s="4" t="n">
        <v>0.05</v>
      </c>
    </row>
    <row r="12">
      <c r="A12" t="inlineStr">
        <is>
          <t>Starts per Month</t>
        </is>
      </c>
      <c r="B12" t="inlineStr">
        <is>
          <t>#</t>
        </is>
      </c>
      <c r="D12" s="2" t="n">
        <v>5</v>
      </c>
    </row>
    <row r="13">
      <c r="A13" t="inlineStr">
        <is>
          <t>Annual Starts</t>
        </is>
      </c>
      <c r="B13" t="inlineStr">
        <is>
          <t>#</t>
        </is>
      </c>
      <c r="D13" s="5">
        <f>D12*12</f>
        <v/>
      </c>
    </row>
    <row r="14">
      <c r="A14" t="inlineStr">
        <is>
          <t>EAF (Availability)</t>
        </is>
      </c>
      <c r="B14" t="inlineStr">
        <is>
          <t>%</t>
        </is>
      </c>
      <c r="D14" s="4" t="n">
        <v>0.985</v>
      </c>
    </row>
    <row r="15">
      <c r="A15" t="inlineStr">
        <is>
          <t>CPI Escalation</t>
        </is>
      </c>
      <c r="B15" t="inlineStr">
        <is>
          <t>%</t>
        </is>
      </c>
      <c r="D15" s="4" t="n">
        <v>0.025</v>
      </c>
    </row>
    <row r="16">
      <c r="A16" t="inlineStr">
        <is>
          <t>LIBOR (Base)</t>
        </is>
      </c>
      <c r="B16" t="inlineStr">
        <is>
          <t>%</t>
        </is>
      </c>
      <c r="D16" s="4" t="n">
        <v>0.03</v>
      </c>
    </row>
    <row r="18">
      <c r="A18" s="1" t="inlineStr">
        <is>
          <t>Contract Revenue Rates</t>
        </is>
      </c>
    </row>
    <row r="19">
      <c r="A19" t="inlineStr">
        <is>
          <t>Capacity Rate</t>
        </is>
      </c>
      <c r="B19" t="inlineStr">
        <is>
          <t>$/kW-mo</t>
        </is>
      </c>
      <c r="D19" s="6" t="n">
        <v>9.17</v>
      </c>
    </row>
    <row r="20">
      <c r="A20" t="inlineStr">
        <is>
          <t>VOM Payment Rate</t>
        </is>
      </c>
      <c r="B20" t="inlineStr">
        <is>
          <t>$/MWh</t>
        </is>
      </c>
      <c r="D20" s="6" t="n">
        <v>5</v>
      </c>
    </row>
    <row r="21">
      <c r="A21" t="inlineStr">
        <is>
          <t>Start-Up Payment</t>
        </is>
      </c>
      <c r="B21" t="inlineStr">
        <is>
          <t>$/start</t>
        </is>
      </c>
      <c r="D21" s="7" t="n">
        <v>750</v>
      </c>
    </row>
    <row r="22">
      <c r="A22" t="inlineStr">
        <is>
          <t>HRP Toggle (0=Off, 1=On)</t>
        </is>
      </c>
      <c r="B22" t="inlineStr">
        <is>
          <t>flag</t>
        </is>
      </c>
      <c r="D22" s="2" t="n">
        <v>0</v>
      </c>
    </row>
    <row r="24">
      <c r="A24" s="1" t="inlineStr">
        <is>
          <t>Operating Cost Rates</t>
        </is>
      </c>
    </row>
    <row r="25">
      <c r="A25" t="inlineStr">
        <is>
          <t>FOM Rate</t>
        </is>
      </c>
      <c r="B25" t="inlineStr">
        <is>
          <t>$/kW-yr</t>
        </is>
      </c>
      <c r="D25" s="6" t="n">
        <v>25</v>
      </c>
    </row>
    <row r="26">
      <c r="A26" t="inlineStr">
        <is>
          <t>Internal VOM Expense</t>
        </is>
      </c>
      <c r="B26" t="inlineStr">
        <is>
          <t>$/MWh</t>
        </is>
      </c>
      <c r="D26" s="6" t="n">
        <v>3</v>
      </c>
    </row>
    <row r="27">
      <c r="A27" t="inlineStr">
        <is>
          <t>Internal Start Cost</t>
        </is>
      </c>
      <c r="B27" t="inlineStr">
        <is>
          <t>$/start</t>
        </is>
      </c>
      <c r="D27" s="7" t="n">
        <v>300</v>
      </c>
    </row>
    <row r="28">
      <c r="A28" t="inlineStr">
        <is>
          <t>LC Notional</t>
        </is>
      </c>
      <c r="B28" t="inlineStr">
        <is>
          <t>$</t>
        </is>
      </c>
      <c r="D28" s="8" t="n">
        <v>2900000</v>
      </c>
    </row>
    <row r="29">
      <c r="A29" t="inlineStr">
        <is>
          <t>LC Fee</t>
        </is>
      </c>
      <c r="B29" t="inlineStr">
        <is>
          <t>%</t>
        </is>
      </c>
      <c r="D29" s="4" t="n">
        <v>0.03</v>
      </c>
    </row>
    <row r="30">
      <c r="A30" t="inlineStr">
        <is>
          <t>Annual LC Cost</t>
        </is>
      </c>
      <c r="B30" t="inlineStr">
        <is>
          <t>$</t>
        </is>
      </c>
      <c r="D30" s="9">
        <f>D28*D29</f>
        <v/>
      </c>
    </row>
    <row r="32">
      <c r="A32" s="1" t="inlineStr">
        <is>
          <t>Acquisition / Exit</t>
        </is>
      </c>
    </row>
    <row r="33">
      <c r="A33" t="inlineStr">
        <is>
          <t>Purchase Price</t>
        </is>
      </c>
      <c r="B33" t="inlineStr">
        <is>
          <t>$/kW</t>
        </is>
      </c>
      <c r="D33" s="7" t="n">
        <v>850</v>
      </c>
    </row>
    <row r="34">
      <c r="A34" t="inlineStr">
        <is>
          <t>Total Purchase Price</t>
        </is>
      </c>
      <c r="B34" t="inlineStr">
        <is>
          <t>$</t>
        </is>
      </c>
      <c r="D34" s="9">
        <f>D33*D9</f>
        <v/>
      </c>
    </row>
    <row r="35">
      <c r="A35" t="inlineStr">
        <is>
          <t>Residual Value</t>
        </is>
      </c>
      <c r="B35" t="inlineStr">
        <is>
          <t>$/kW</t>
        </is>
      </c>
      <c r="D35" s="7" t="n">
        <v>250</v>
      </c>
    </row>
    <row r="36">
      <c r="A36" t="inlineStr">
        <is>
          <t>Total Residual Value</t>
        </is>
      </c>
      <c r="B36" t="inlineStr">
        <is>
          <t>$</t>
        </is>
      </c>
      <c r="D36" s="9">
        <f>D35*D9</f>
        <v/>
      </c>
    </row>
    <row r="37">
      <c r="A37" t="inlineStr">
        <is>
          <t>Buyer CoE (Short Hold)</t>
        </is>
      </c>
      <c r="B37" t="inlineStr">
        <is>
          <t>%</t>
        </is>
      </c>
      <c r="D37" s="4" t="n">
        <v>0.1</v>
      </c>
    </row>
    <row r="38">
      <c r="A38" t="inlineStr">
        <is>
          <t>Short Hold Exit Year</t>
        </is>
      </c>
      <c r="B38" t="inlineStr">
        <is>
          <t>yr</t>
        </is>
      </c>
      <c r="D38" s="2" t="n">
        <v>5</v>
      </c>
    </row>
    <row r="40">
      <c r="A40" s="1" t="inlineStr">
        <is>
          <t>Debt - Tranche 2 (Subordinate)</t>
        </is>
      </c>
    </row>
    <row r="41">
      <c r="A41" t="inlineStr">
        <is>
          <t>Tr2 Principal</t>
        </is>
      </c>
      <c r="B41" t="inlineStr">
        <is>
          <t>$</t>
        </is>
      </c>
      <c r="D41" s="8" t="n">
        <v>2500000</v>
      </c>
    </row>
    <row r="42">
      <c r="A42" t="inlineStr">
        <is>
          <t>Tr2 Spread over LIBOR</t>
        </is>
      </c>
      <c r="B42" t="inlineStr">
        <is>
          <t>%</t>
        </is>
      </c>
      <c r="D42" s="4" t="n">
        <v>0.055</v>
      </c>
    </row>
    <row r="43">
      <c r="A43" t="inlineStr">
        <is>
          <t>Tr2 Interest Rate</t>
        </is>
      </c>
      <c r="B43" t="inlineStr">
        <is>
          <t>%</t>
        </is>
      </c>
      <c r="D43" s="10">
        <f>$D$16+$D$42</f>
        <v/>
      </c>
    </row>
    <row r="44">
      <c r="A44" t="inlineStr">
        <is>
          <t>Tr2 Mandatory Amort</t>
        </is>
      </c>
      <c r="B44" t="inlineStr">
        <is>
          <t>%</t>
        </is>
      </c>
      <c r="D44" s="4" t="n">
        <v>0.01</v>
      </c>
    </row>
    <row r="46">
      <c r="A46" s="1" t="inlineStr">
        <is>
          <t>Debt - Tranche 1 (Senior)</t>
        </is>
      </c>
    </row>
    <row r="47">
      <c r="A47" t="inlineStr">
        <is>
          <t>Tr1 Spread over LIBOR</t>
        </is>
      </c>
      <c r="B47" t="inlineStr">
        <is>
          <t>%</t>
        </is>
      </c>
      <c r="D47" s="4" t="n">
        <v>0.03</v>
      </c>
    </row>
    <row r="48">
      <c r="A48" t="inlineStr">
        <is>
          <t>Tr1 Interest Rate</t>
        </is>
      </c>
      <c r="B48" t="inlineStr">
        <is>
          <t>%</t>
        </is>
      </c>
      <c r="D48" s="10">
        <f>$D$16+$D$47</f>
        <v/>
      </c>
    </row>
    <row r="49">
      <c r="A49" t="inlineStr">
        <is>
          <t>Target DSCR</t>
        </is>
      </c>
      <c r="B49" t="inlineStr">
        <is>
          <t>x</t>
        </is>
      </c>
      <c r="D49" s="11" t="n">
        <v>1.4</v>
      </c>
    </row>
    <row r="50">
      <c r="A50" t="inlineStr">
        <is>
          <t>Tr1 Tenor</t>
        </is>
      </c>
      <c r="B50" t="inlineStr">
        <is>
          <t>years</t>
        </is>
      </c>
      <c r="D50" s="2" t="n">
        <v>20</v>
      </c>
    </row>
    <row r="52">
      <c r="A52" s="1" t="inlineStr">
        <is>
          <t>═══ VOLUMES ═══</t>
        </is>
      </c>
    </row>
    <row r="53">
      <c r="A53" t="inlineStr">
        <is>
          <t>Net MWh (annual)</t>
        </is>
      </c>
      <c r="B53" t="inlineStr">
        <is>
          <t>MWh</t>
        </is>
      </c>
      <c r="E53" s="3">
        <f>$D$8*8760*$D$11</f>
        <v/>
      </c>
      <c r="F53" s="3">
        <f>$D$8*8760*$D$11</f>
        <v/>
      </c>
      <c r="G53" s="3">
        <f>$D$8*8760*$D$11</f>
        <v/>
      </c>
      <c r="H53" s="3">
        <f>$D$8*8760*$D$11</f>
        <v/>
      </c>
      <c r="I53" s="3">
        <f>$D$8*8760*$D$11</f>
        <v/>
      </c>
      <c r="J53" s="3">
        <f>$D$8*8760*$D$11</f>
        <v/>
      </c>
      <c r="K53" s="3">
        <f>$D$8*8760*$D$11</f>
        <v/>
      </c>
      <c r="L53" s="3">
        <f>$D$8*8760*$D$11</f>
        <v/>
      </c>
      <c r="M53" s="3">
        <f>$D$8*8760*$D$11</f>
        <v/>
      </c>
      <c r="N53" s="3">
        <f>$D$8*8760*$D$11</f>
        <v/>
      </c>
      <c r="O53" s="3">
        <f>$D$8*8760*$D$11</f>
        <v/>
      </c>
      <c r="P53" s="3">
        <f>$D$8*8760*$D$11</f>
        <v/>
      </c>
      <c r="Q53" s="3">
        <f>$D$8*8760*$D$11</f>
        <v/>
      </c>
      <c r="R53" s="3">
        <f>$D$8*8760*$D$11</f>
        <v/>
      </c>
      <c r="S53" s="3">
        <f>$D$8*8760*$D$11</f>
        <v/>
      </c>
      <c r="T53" s="3">
        <f>$D$8*8760*$D$11</f>
        <v/>
      </c>
      <c r="U53" s="3">
        <f>$D$8*8760*$D$11</f>
        <v/>
      </c>
      <c r="V53" s="3">
        <f>$D$8*8760*$D$11</f>
        <v/>
      </c>
      <c r="W53" s="3">
        <f>$D$8*8760*$D$11</f>
        <v/>
      </c>
      <c r="X53" s="3">
        <f>$D$8*8760*$D$11</f>
        <v/>
      </c>
    </row>
    <row r="54">
      <c r="A54" t="inlineStr">
        <is>
          <t>Annual Starts</t>
        </is>
      </c>
      <c r="B54" t="inlineStr">
        <is>
          <t>#</t>
        </is>
      </c>
      <c r="E54" s="3">
        <f>$D$13</f>
        <v/>
      </c>
      <c r="F54" s="3">
        <f>$D$13</f>
        <v/>
      </c>
      <c r="G54" s="3">
        <f>$D$13</f>
        <v/>
      </c>
      <c r="H54" s="3">
        <f>$D$13</f>
        <v/>
      </c>
      <c r="I54" s="3">
        <f>$D$13</f>
        <v/>
      </c>
      <c r="J54" s="3">
        <f>$D$13</f>
        <v/>
      </c>
      <c r="K54" s="3">
        <f>$D$13</f>
        <v/>
      </c>
      <c r="L54" s="3">
        <f>$D$13</f>
        <v/>
      </c>
      <c r="M54" s="3">
        <f>$D$13</f>
        <v/>
      </c>
      <c r="N54" s="3">
        <f>$D$13</f>
        <v/>
      </c>
      <c r="O54" s="3">
        <f>$D$13</f>
        <v/>
      </c>
      <c r="P54" s="3">
        <f>$D$13</f>
        <v/>
      </c>
      <c r="Q54" s="3">
        <f>$D$13</f>
        <v/>
      </c>
      <c r="R54" s="3">
        <f>$D$13</f>
        <v/>
      </c>
      <c r="S54" s="3">
        <f>$D$13</f>
        <v/>
      </c>
      <c r="T54" s="3">
        <f>$D$13</f>
        <v/>
      </c>
      <c r="U54" s="3">
        <f>$D$13</f>
        <v/>
      </c>
      <c r="V54" s="3">
        <f>$D$13</f>
        <v/>
      </c>
      <c r="W54" s="3">
        <f>$D$13</f>
        <v/>
      </c>
      <c r="X54" s="3">
        <f>$D$13</f>
        <v/>
      </c>
    </row>
    <row r="56">
      <c r="A56" s="1" t="inlineStr">
        <is>
          <t>═══ AVAILABILITY ADJUSTMENT ═══</t>
        </is>
      </c>
    </row>
    <row r="57">
      <c r="A57" t="inlineStr">
        <is>
          <t>AAF (Adjusted Availability)</t>
        </is>
      </c>
      <c r="B57" t="inlineStr">
        <is>
          <t>%</t>
        </is>
      </c>
      <c r="C57" t="inlineStr">
        <is>
          <t>EAF-based formula</t>
        </is>
      </c>
      <c r="E57" s="10">
        <f>IF($D$14&lt;=0.98,$D$14/0.98,IF($D$14&lt;0.99,1,$D$14/0.99))</f>
        <v/>
      </c>
      <c r="F57" s="10">
        <f>IF($D$14&lt;=0.98,$D$14/0.98,IF($D$14&lt;0.99,1,$D$14/0.99))</f>
        <v/>
      </c>
      <c r="G57" s="10">
        <f>IF($D$14&lt;=0.98,$D$14/0.98,IF($D$14&lt;0.99,1,$D$14/0.99))</f>
        <v/>
      </c>
      <c r="H57" s="10">
        <f>IF($D$14&lt;=0.98,$D$14/0.98,IF($D$14&lt;0.99,1,$D$14/0.99))</f>
        <v/>
      </c>
      <c r="I57" s="10">
        <f>IF($D$14&lt;=0.98,$D$14/0.98,IF($D$14&lt;0.99,1,$D$14/0.99))</f>
        <v/>
      </c>
      <c r="J57" s="10">
        <f>IF($D$14&lt;=0.98,$D$14/0.98,IF($D$14&lt;0.99,1,$D$14/0.99))</f>
        <v/>
      </c>
      <c r="K57" s="10">
        <f>IF($D$14&lt;=0.98,$D$14/0.98,IF($D$14&lt;0.99,1,$D$14/0.99))</f>
        <v/>
      </c>
      <c r="L57" s="10">
        <f>IF($D$14&lt;=0.98,$D$14/0.98,IF($D$14&lt;0.99,1,$D$14/0.99))</f>
        <v/>
      </c>
      <c r="M57" s="10">
        <f>IF($D$14&lt;=0.98,$D$14/0.98,IF($D$14&lt;0.99,1,$D$14/0.99))</f>
        <v/>
      </c>
      <c r="N57" s="10">
        <f>IF($D$14&lt;=0.98,$D$14/0.98,IF($D$14&lt;0.99,1,$D$14/0.99))</f>
        <v/>
      </c>
      <c r="O57" s="10">
        <f>IF($D$14&lt;=0.98,$D$14/0.98,IF($D$14&lt;0.99,1,$D$14/0.99))</f>
        <v/>
      </c>
      <c r="P57" s="10">
        <f>IF($D$14&lt;=0.98,$D$14/0.98,IF($D$14&lt;0.99,1,$D$14/0.99))</f>
        <v/>
      </c>
      <c r="Q57" s="10">
        <f>IF($D$14&lt;=0.98,$D$14/0.98,IF($D$14&lt;0.99,1,$D$14/0.99))</f>
        <v/>
      </c>
      <c r="R57" s="10">
        <f>IF($D$14&lt;=0.98,$D$14/0.98,IF($D$14&lt;0.99,1,$D$14/0.99))</f>
        <v/>
      </c>
      <c r="S57" s="10">
        <f>IF($D$14&lt;=0.98,$D$14/0.98,IF($D$14&lt;0.99,1,$D$14/0.99))</f>
        <v/>
      </c>
      <c r="T57" s="10">
        <f>IF($D$14&lt;=0.98,$D$14/0.98,IF($D$14&lt;0.99,1,$D$14/0.99))</f>
        <v/>
      </c>
      <c r="U57" s="10">
        <f>IF($D$14&lt;=0.98,$D$14/0.98,IF($D$14&lt;0.99,1,$D$14/0.99))</f>
        <v/>
      </c>
      <c r="V57" s="10">
        <f>IF($D$14&lt;=0.98,$D$14/0.98,IF($D$14&lt;0.99,1,$D$14/0.99))</f>
        <v/>
      </c>
      <c r="W57" s="10">
        <f>IF($D$14&lt;=0.98,$D$14/0.98,IF($D$14&lt;0.99,1,$D$14/0.99))</f>
        <v/>
      </c>
      <c r="X57" s="10">
        <f>IF($D$14&lt;=0.98,$D$14/0.98,IF($D$14&lt;0.99,1,$D$14/0.99))</f>
        <v/>
      </c>
    </row>
    <row r="59">
      <c r="A59" s="1" t="inlineStr">
        <is>
          <t>═══ REVENUES ═══</t>
        </is>
      </c>
    </row>
    <row r="60">
      <c r="A60" t="inlineStr">
        <is>
          <t>Capacity Revenue</t>
        </is>
      </c>
      <c r="B60" t="inlineStr">
        <is>
          <t>$</t>
        </is>
      </c>
      <c r="C60" t="inlineStr">
        <is>
          <t>Flat rate × AAF</t>
        </is>
      </c>
      <c r="E60" s="9">
        <f>$D$10*$D$19*12*E57</f>
        <v/>
      </c>
      <c r="F60" s="9">
        <f>$D$10*$D$19*12*F57</f>
        <v/>
      </c>
      <c r="G60" s="9">
        <f>$D$10*$D$19*12*G57</f>
        <v/>
      </c>
      <c r="H60" s="9">
        <f>$D$10*$D$19*12*H57</f>
        <v/>
      </c>
      <c r="I60" s="9">
        <f>$D$10*$D$19*12*I57</f>
        <v/>
      </c>
      <c r="J60" s="9">
        <f>$D$10*$D$19*12*J57</f>
        <v/>
      </c>
      <c r="K60" s="9">
        <f>$D$10*$D$19*12*K57</f>
        <v/>
      </c>
      <c r="L60" s="9">
        <f>$D$10*$D$19*12*L57</f>
        <v/>
      </c>
      <c r="M60" s="9">
        <f>$D$10*$D$19*12*M57</f>
        <v/>
      </c>
      <c r="N60" s="9">
        <f>$D$10*$D$19*12*N57</f>
        <v/>
      </c>
      <c r="O60" s="9">
        <f>$D$10*$D$19*12*O57</f>
        <v/>
      </c>
      <c r="P60" s="9">
        <f>$D$10*$D$19*12*P57</f>
        <v/>
      </c>
      <c r="Q60" s="9">
        <f>$D$10*$D$19*12*Q57</f>
        <v/>
      </c>
      <c r="R60" s="9">
        <f>$D$10*$D$19*12*R57</f>
        <v/>
      </c>
      <c r="S60" s="9">
        <f>$D$10*$D$19*12*S57</f>
        <v/>
      </c>
      <c r="T60" s="9">
        <f>$D$10*$D$19*12*T57</f>
        <v/>
      </c>
      <c r="U60" s="9">
        <f>$D$10*$D$19*12*U57</f>
        <v/>
      </c>
      <c r="V60" s="9">
        <f>$D$10*$D$19*12*V57</f>
        <v/>
      </c>
      <c r="W60" s="9">
        <f>$D$10*$D$19*12*W57</f>
        <v/>
      </c>
      <c r="X60" s="9">
        <f>$D$10*$D$19*12*X57</f>
        <v/>
      </c>
    </row>
    <row r="61">
      <c r="A61" t="inlineStr">
        <is>
          <t>VOM Revenue</t>
        </is>
      </c>
      <c r="B61" t="inlineStr">
        <is>
          <t>$</t>
        </is>
      </c>
      <c r="C61" t="inlineStr">
        <is>
          <t>Escalates by CPI</t>
        </is>
      </c>
      <c r="E61" s="9">
        <f>E53*$D$20*(1+$D$15)^(1-1)</f>
        <v/>
      </c>
      <c r="F61" s="9">
        <f>F53*$D$20*(1+$D$15)^(2-1)</f>
        <v/>
      </c>
      <c r="G61" s="9">
        <f>G53*$D$20*(1+$D$15)^(3-1)</f>
        <v/>
      </c>
      <c r="H61" s="9">
        <f>H53*$D$20*(1+$D$15)^(4-1)</f>
        <v/>
      </c>
      <c r="I61" s="9">
        <f>I53*$D$20*(1+$D$15)^(5-1)</f>
        <v/>
      </c>
      <c r="J61" s="9">
        <f>J53*$D$20*(1+$D$15)^(6-1)</f>
        <v/>
      </c>
      <c r="K61" s="9">
        <f>K53*$D$20*(1+$D$15)^(7-1)</f>
        <v/>
      </c>
      <c r="L61" s="9">
        <f>L53*$D$20*(1+$D$15)^(8-1)</f>
        <v/>
      </c>
      <c r="M61" s="9">
        <f>M53*$D$20*(1+$D$15)^(9-1)</f>
        <v/>
      </c>
      <c r="N61" s="9">
        <f>N53*$D$20*(1+$D$15)^(10-1)</f>
        <v/>
      </c>
      <c r="O61" s="9">
        <f>O53*$D$20*(1+$D$15)^(11-1)</f>
        <v/>
      </c>
      <c r="P61" s="9">
        <f>P53*$D$20*(1+$D$15)^(12-1)</f>
        <v/>
      </c>
      <c r="Q61" s="9">
        <f>Q53*$D$20*(1+$D$15)^(13-1)</f>
        <v/>
      </c>
      <c r="R61" s="9">
        <f>R53*$D$20*(1+$D$15)^(14-1)</f>
        <v/>
      </c>
      <c r="S61" s="9">
        <f>S53*$D$20*(1+$D$15)^(15-1)</f>
        <v/>
      </c>
      <c r="T61" s="9">
        <f>T53*$D$20*(1+$D$15)^(16-1)</f>
        <v/>
      </c>
      <c r="U61" s="9">
        <f>U53*$D$20*(1+$D$15)^(17-1)</f>
        <v/>
      </c>
      <c r="V61" s="9">
        <f>V53*$D$20*(1+$D$15)^(18-1)</f>
        <v/>
      </c>
      <c r="W61" s="9">
        <f>W53*$D$20*(1+$D$15)^(19-1)</f>
        <v/>
      </c>
      <c r="X61" s="9">
        <f>X53*$D$20*(1+$D$15)^(20-1)</f>
        <v/>
      </c>
    </row>
    <row r="62">
      <c r="A62" t="inlineStr">
        <is>
          <t>Start-Up Revenue</t>
        </is>
      </c>
      <c r="B62" t="inlineStr">
        <is>
          <t>$</t>
        </is>
      </c>
      <c r="C62" t="inlineStr">
        <is>
          <t>Escalates by CPI</t>
        </is>
      </c>
      <c r="E62" s="9">
        <f>E54*$D$21*(1+$D$15)^(1-1)</f>
        <v/>
      </c>
      <c r="F62" s="9">
        <f>F54*$D$21*(1+$D$15)^(2-1)</f>
        <v/>
      </c>
      <c r="G62" s="9">
        <f>G54*$D$21*(1+$D$15)^(3-1)</f>
        <v/>
      </c>
      <c r="H62" s="9">
        <f>H54*$D$21*(1+$D$15)^(4-1)</f>
        <v/>
      </c>
      <c r="I62" s="9">
        <f>I54*$D$21*(1+$D$15)^(5-1)</f>
        <v/>
      </c>
      <c r="J62" s="9">
        <f>J54*$D$21*(1+$D$15)^(6-1)</f>
        <v/>
      </c>
      <c r="K62" s="9">
        <f>K54*$D$21*(1+$D$15)^(7-1)</f>
        <v/>
      </c>
      <c r="L62" s="9">
        <f>L54*$D$21*(1+$D$15)^(8-1)</f>
        <v/>
      </c>
      <c r="M62" s="9">
        <f>M54*$D$21*(1+$D$15)^(9-1)</f>
        <v/>
      </c>
      <c r="N62" s="9">
        <f>N54*$D$21*(1+$D$15)^(10-1)</f>
        <v/>
      </c>
      <c r="O62" s="9">
        <f>O54*$D$21*(1+$D$15)^(11-1)</f>
        <v/>
      </c>
      <c r="P62" s="9">
        <f>P54*$D$21*(1+$D$15)^(12-1)</f>
        <v/>
      </c>
      <c r="Q62" s="9">
        <f>Q54*$D$21*(1+$D$15)^(13-1)</f>
        <v/>
      </c>
      <c r="R62" s="9">
        <f>R54*$D$21*(1+$D$15)^(14-1)</f>
        <v/>
      </c>
      <c r="S62" s="9">
        <f>S54*$D$21*(1+$D$15)^(15-1)</f>
        <v/>
      </c>
      <c r="T62" s="9">
        <f>T54*$D$21*(1+$D$15)^(16-1)</f>
        <v/>
      </c>
      <c r="U62" s="9">
        <f>U54*$D$21*(1+$D$15)^(17-1)</f>
        <v/>
      </c>
      <c r="V62" s="9">
        <f>V54*$D$21*(1+$D$15)^(18-1)</f>
        <v/>
      </c>
      <c r="W62" s="9">
        <f>W54*$D$21*(1+$D$15)^(19-1)</f>
        <v/>
      </c>
      <c r="X62" s="9">
        <f>X54*$D$21*(1+$D$15)^(20-1)</f>
        <v/>
      </c>
    </row>
    <row r="63">
      <c r="A63" t="inlineStr">
        <is>
          <t>Heat Rate Payment (HRP)</t>
        </is>
      </c>
      <c r="B63" t="inlineStr">
        <is>
          <t>$</t>
        </is>
      </c>
      <c r="C63" t="inlineStr">
        <is>
          <t>Base case = 0</t>
        </is>
      </c>
      <c r="E63" s="9">
        <f>$D$22*0</f>
        <v/>
      </c>
      <c r="F63" s="9">
        <f>$D$22*0</f>
        <v/>
      </c>
      <c r="G63" s="9">
        <f>$D$22*0</f>
        <v/>
      </c>
      <c r="H63" s="9">
        <f>$D$22*0</f>
        <v/>
      </c>
      <c r="I63" s="9">
        <f>$D$22*0</f>
        <v/>
      </c>
      <c r="J63" s="9">
        <f>$D$22*0</f>
        <v/>
      </c>
      <c r="K63" s="9">
        <f>$D$22*0</f>
        <v/>
      </c>
      <c r="L63" s="9">
        <f>$D$22*0</f>
        <v/>
      </c>
      <c r="M63" s="9">
        <f>$D$22*0</f>
        <v/>
      </c>
      <c r="N63" s="9">
        <f>$D$22*0</f>
        <v/>
      </c>
      <c r="O63" s="9">
        <f>$D$22*0</f>
        <v/>
      </c>
      <c r="P63" s="9">
        <f>$D$22*0</f>
        <v/>
      </c>
      <c r="Q63" s="9">
        <f>$D$22*0</f>
        <v/>
      </c>
      <c r="R63" s="9">
        <f>$D$22*0</f>
        <v/>
      </c>
      <c r="S63" s="9">
        <f>$D$22*0</f>
        <v/>
      </c>
      <c r="T63" s="9">
        <f>$D$22*0</f>
        <v/>
      </c>
      <c r="U63" s="9">
        <f>$D$22*0</f>
        <v/>
      </c>
      <c r="V63" s="9">
        <f>$D$22*0</f>
        <v/>
      </c>
      <c r="W63" s="9">
        <f>$D$22*0</f>
        <v/>
      </c>
      <c r="X63" s="9">
        <f>$D$22*0</f>
        <v/>
      </c>
    </row>
    <row r="64">
      <c r="A64" s="12" t="inlineStr">
        <is>
          <t>Total Revenue</t>
        </is>
      </c>
      <c r="B64" t="inlineStr">
        <is>
          <t>$</t>
        </is>
      </c>
      <c r="E64" s="13">
        <f>E60+E61+E62+E63</f>
        <v/>
      </c>
      <c r="F64" s="13">
        <f>F60+F61+F62+F63</f>
        <v/>
      </c>
      <c r="G64" s="13">
        <f>G60+G61+G62+G63</f>
        <v/>
      </c>
      <c r="H64" s="13">
        <f>H60+H61+H62+H63</f>
        <v/>
      </c>
      <c r="I64" s="13">
        <f>I60+I61+I62+I63</f>
        <v/>
      </c>
      <c r="J64" s="13">
        <f>J60+J61+J62+J63</f>
        <v/>
      </c>
      <c r="K64" s="13">
        <f>K60+K61+K62+K63</f>
        <v/>
      </c>
      <c r="L64" s="13">
        <f>L60+L61+L62+L63</f>
        <v/>
      </c>
      <c r="M64" s="13">
        <f>M60+M61+M62+M63</f>
        <v/>
      </c>
      <c r="N64" s="13">
        <f>N60+N61+N62+N63</f>
        <v/>
      </c>
      <c r="O64" s="13">
        <f>O60+O61+O62+O63</f>
        <v/>
      </c>
      <c r="P64" s="13">
        <f>P60+P61+P62+P63</f>
        <v/>
      </c>
      <c r="Q64" s="13">
        <f>Q60+Q61+Q62+Q63</f>
        <v/>
      </c>
      <c r="R64" s="13">
        <f>R60+R61+R62+R63</f>
        <v/>
      </c>
      <c r="S64" s="13">
        <f>S60+S61+S62+S63</f>
        <v/>
      </c>
      <c r="T64" s="13">
        <f>T60+T61+T62+T63</f>
        <v/>
      </c>
      <c r="U64" s="13">
        <f>U60+U61+U62+U63</f>
        <v/>
      </c>
      <c r="V64" s="13">
        <f>V60+V61+V62+V63</f>
        <v/>
      </c>
      <c r="W64" s="13">
        <f>W60+W61+W62+W63</f>
        <v/>
      </c>
      <c r="X64" s="13">
        <f>X60+X61+X62+X63</f>
        <v/>
      </c>
    </row>
    <row r="66">
      <c r="A66" s="1" t="inlineStr">
        <is>
          <t>═══ OPERATING EXPENSES ═══</t>
        </is>
      </c>
    </row>
    <row r="67">
      <c r="A67" t="inlineStr">
        <is>
          <t>FOM Expense</t>
        </is>
      </c>
      <c r="B67" t="inlineStr">
        <is>
          <t>$</t>
        </is>
      </c>
      <c r="C67" t="inlineStr">
        <is>
          <t>Escalates by CPI</t>
        </is>
      </c>
      <c r="E67" s="9">
        <f>$D$9*$D$25*(1+$D$15)^(1-1)</f>
        <v/>
      </c>
      <c r="F67" s="9">
        <f>$D$9*$D$25*(1+$D$15)^(2-1)</f>
        <v/>
      </c>
      <c r="G67" s="9">
        <f>$D$9*$D$25*(1+$D$15)^(3-1)</f>
        <v/>
      </c>
      <c r="H67" s="9">
        <f>$D$9*$D$25*(1+$D$15)^(4-1)</f>
        <v/>
      </c>
      <c r="I67" s="9">
        <f>$D$9*$D$25*(1+$D$15)^(5-1)</f>
        <v/>
      </c>
      <c r="J67" s="9">
        <f>$D$9*$D$25*(1+$D$15)^(6-1)</f>
        <v/>
      </c>
      <c r="K67" s="9">
        <f>$D$9*$D$25*(1+$D$15)^(7-1)</f>
        <v/>
      </c>
      <c r="L67" s="9">
        <f>$D$9*$D$25*(1+$D$15)^(8-1)</f>
        <v/>
      </c>
      <c r="M67" s="9">
        <f>$D$9*$D$25*(1+$D$15)^(9-1)</f>
        <v/>
      </c>
      <c r="N67" s="9">
        <f>$D$9*$D$25*(1+$D$15)^(10-1)</f>
        <v/>
      </c>
      <c r="O67" s="9">
        <f>$D$9*$D$25*(1+$D$15)^(11-1)</f>
        <v/>
      </c>
      <c r="P67" s="9">
        <f>$D$9*$D$25*(1+$D$15)^(12-1)</f>
        <v/>
      </c>
      <c r="Q67" s="9">
        <f>$D$9*$D$25*(1+$D$15)^(13-1)</f>
        <v/>
      </c>
      <c r="R67" s="9">
        <f>$D$9*$D$25*(1+$D$15)^(14-1)</f>
        <v/>
      </c>
      <c r="S67" s="9">
        <f>$D$9*$D$25*(1+$D$15)^(15-1)</f>
        <v/>
      </c>
      <c r="T67" s="9">
        <f>$D$9*$D$25*(1+$D$15)^(16-1)</f>
        <v/>
      </c>
      <c r="U67" s="9">
        <f>$D$9*$D$25*(1+$D$15)^(17-1)</f>
        <v/>
      </c>
      <c r="V67" s="9">
        <f>$D$9*$D$25*(1+$D$15)^(18-1)</f>
        <v/>
      </c>
      <c r="W67" s="9">
        <f>$D$9*$D$25*(1+$D$15)^(19-1)</f>
        <v/>
      </c>
      <c r="X67" s="9">
        <f>$D$9*$D$25*(1+$D$15)^(20-1)</f>
        <v/>
      </c>
    </row>
    <row r="68">
      <c r="A68" t="inlineStr">
        <is>
          <t>Internal VOM Expense</t>
        </is>
      </c>
      <c r="B68" t="inlineStr">
        <is>
          <t>$</t>
        </is>
      </c>
      <c r="C68" t="inlineStr">
        <is>
          <t>Escalates by CPI</t>
        </is>
      </c>
      <c r="E68" s="9">
        <f>E53*$D$26*(1+$D$15)^(1-1)</f>
        <v/>
      </c>
      <c r="F68" s="9">
        <f>F53*$D$26*(1+$D$15)^(2-1)</f>
        <v/>
      </c>
      <c r="G68" s="9">
        <f>G53*$D$26*(1+$D$15)^(3-1)</f>
        <v/>
      </c>
      <c r="H68" s="9">
        <f>H53*$D$26*(1+$D$15)^(4-1)</f>
        <v/>
      </c>
      <c r="I68" s="9">
        <f>I53*$D$26*(1+$D$15)^(5-1)</f>
        <v/>
      </c>
      <c r="J68" s="9">
        <f>J53*$D$26*(1+$D$15)^(6-1)</f>
        <v/>
      </c>
      <c r="K68" s="9">
        <f>K53*$D$26*(1+$D$15)^(7-1)</f>
        <v/>
      </c>
      <c r="L68" s="9">
        <f>L53*$D$26*(1+$D$15)^(8-1)</f>
        <v/>
      </c>
      <c r="M68" s="9">
        <f>M53*$D$26*(1+$D$15)^(9-1)</f>
        <v/>
      </c>
      <c r="N68" s="9">
        <f>N53*$D$26*(1+$D$15)^(10-1)</f>
        <v/>
      </c>
      <c r="O68" s="9">
        <f>O53*$D$26*(1+$D$15)^(11-1)</f>
        <v/>
      </c>
      <c r="P68" s="9">
        <f>P53*$D$26*(1+$D$15)^(12-1)</f>
        <v/>
      </c>
      <c r="Q68" s="9">
        <f>Q53*$D$26*(1+$D$15)^(13-1)</f>
        <v/>
      </c>
      <c r="R68" s="9">
        <f>R53*$D$26*(1+$D$15)^(14-1)</f>
        <v/>
      </c>
      <c r="S68" s="9">
        <f>S53*$D$26*(1+$D$15)^(15-1)</f>
        <v/>
      </c>
      <c r="T68" s="9">
        <f>T53*$D$26*(1+$D$15)^(16-1)</f>
        <v/>
      </c>
      <c r="U68" s="9">
        <f>U53*$D$26*(1+$D$15)^(17-1)</f>
        <v/>
      </c>
      <c r="V68" s="9">
        <f>V53*$D$26*(1+$D$15)^(18-1)</f>
        <v/>
      </c>
      <c r="W68" s="9">
        <f>W53*$D$26*(1+$D$15)^(19-1)</f>
        <v/>
      </c>
      <c r="X68" s="9">
        <f>X53*$D$26*(1+$D$15)^(20-1)</f>
        <v/>
      </c>
    </row>
    <row r="69">
      <c r="A69" t="inlineStr">
        <is>
          <t>Internal Start Expense</t>
        </is>
      </c>
      <c r="B69" t="inlineStr">
        <is>
          <t>$</t>
        </is>
      </c>
      <c r="C69" t="inlineStr">
        <is>
          <t>Escalates by CPI</t>
        </is>
      </c>
      <c r="E69" s="9">
        <f>E54*$D$27*(1+$D$15)^(1-1)</f>
        <v/>
      </c>
      <c r="F69" s="9">
        <f>F54*$D$27*(1+$D$15)^(2-1)</f>
        <v/>
      </c>
      <c r="G69" s="9">
        <f>G54*$D$27*(1+$D$15)^(3-1)</f>
        <v/>
      </c>
      <c r="H69" s="9">
        <f>H54*$D$27*(1+$D$15)^(4-1)</f>
        <v/>
      </c>
      <c r="I69" s="9">
        <f>I54*$D$27*(1+$D$15)^(5-1)</f>
        <v/>
      </c>
      <c r="J69" s="9">
        <f>J54*$D$27*(1+$D$15)^(6-1)</f>
        <v/>
      </c>
      <c r="K69" s="9">
        <f>K54*$D$27*(1+$D$15)^(7-1)</f>
        <v/>
      </c>
      <c r="L69" s="9">
        <f>L54*$D$27*(1+$D$15)^(8-1)</f>
        <v/>
      </c>
      <c r="M69" s="9">
        <f>M54*$D$27*(1+$D$15)^(9-1)</f>
        <v/>
      </c>
      <c r="N69" s="9">
        <f>N54*$D$27*(1+$D$15)^(10-1)</f>
        <v/>
      </c>
      <c r="O69" s="9">
        <f>O54*$D$27*(1+$D$15)^(11-1)</f>
        <v/>
      </c>
      <c r="P69" s="9">
        <f>P54*$D$27*(1+$D$15)^(12-1)</f>
        <v/>
      </c>
      <c r="Q69" s="9">
        <f>Q54*$D$27*(1+$D$15)^(13-1)</f>
        <v/>
      </c>
      <c r="R69" s="9">
        <f>R54*$D$27*(1+$D$15)^(14-1)</f>
        <v/>
      </c>
      <c r="S69" s="9">
        <f>S54*$D$27*(1+$D$15)^(15-1)</f>
        <v/>
      </c>
      <c r="T69" s="9">
        <f>T54*$D$27*(1+$D$15)^(16-1)</f>
        <v/>
      </c>
      <c r="U69" s="9">
        <f>U54*$D$27*(1+$D$15)^(17-1)</f>
        <v/>
      </c>
      <c r="V69" s="9">
        <f>V54*$D$27*(1+$D$15)^(18-1)</f>
        <v/>
      </c>
      <c r="W69" s="9">
        <f>W54*$D$27*(1+$D$15)^(19-1)</f>
        <v/>
      </c>
      <c r="X69" s="9">
        <f>X54*$D$27*(1+$D$15)^(20-1)</f>
        <v/>
      </c>
    </row>
    <row r="70">
      <c r="A70" t="inlineStr">
        <is>
          <t>LC Cost</t>
        </is>
      </c>
      <c r="B70" t="inlineStr">
        <is>
          <t>$</t>
        </is>
      </c>
      <c r="C70" t="inlineStr">
        <is>
          <t>Flat</t>
        </is>
      </c>
      <c r="E70" s="9">
        <f>$D$30</f>
        <v/>
      </c>
      <c r="F70" s="9">
        <f>$D$30</f>
        <v/>
      </c>
      <c r="G70" s="9">
        <f>$D$30</f>
        <v/>
      </c>
      <c r="H70" s="9">
        <f>$D$30</f>
        <v/>
      </c>
      <c r="I70" s="9">
        <f>$D$30</f>
        <v/>
      </c>
      <c r="J70" s="9">
        <f>$D$30</f>
        <v/>
      </c>
      <c r="K70" s="9">
        <f>$D$30</f>
        <v/>
      </c>
      <c r="L70" s="9">
        <f>$D$30</f>
        <v/>
      </c>
      <c r="M70" s="9">
        <f>$D$30</f>
        <v/>
      </c>
      <c r="N70" s="9">
        <f>$D$30</f>
        <v/>
      </c>
      <c r="O70" s="9">
        <f>$D$30</f>
        <v/>
      </c>
      <c r="P70" s="9">
        <f>$D$30</f>
        <v/>
      </c>
      <c r="Q70" s="9">
        <f>$D$30</f>
        <v/>
      </c>
      <c r="R70" s="9">
        <f>$D$30</f>
        <v/>
      </c>
      <c r="S70" s="9">
        <f>$D$30</f>
        <v/>
      </c>
      <c r="T70" s="9">
        <f>$D$30</f>
        <v/>
      </c>
      <c r="U70" s="9">
        <f>$D$30</f>
        <v/>
      </c>
      <c r="V70" s="9">
        <f>$D$30</f>
        <v/>
      </c>
      <c r="W70" s="9">
        <f>$D$30</f>
        <v/>
      </c>
      <c r="X70" s="9">
        <f>$D$30</f>
        <v/>
      </c>
    </row>
    <row r="71">
      <c r="A71" s="12" t="inlineStr">
        <is>
          <t>Total Opex</t>
        </is>
      </c>
      <c r="B71" t="inlineStr">
        <is>
          <t>$</t>
        </is>
      </c>
      <c r="E71" s="13">
        <f>E67+E68+E69+E70</f>
        <v/>
      </c>
      <c r="F71" s="13">
        <f>F67+F68+F69+F70</f>
        <v/>
      </c>
      <c r="G71" s="13">
        <f>G67+G68+G69+G70</f>
        <v/>
      </c>
      <c r="H71" s="13">
        <f>H67+H68+H69+H70</f>
        <v/>
      </c>
      <c r="I71" s="13">
        <f>I67+I68+I69+I70</f>
        <v/>
      </c>
      <c r="J71" s="13">
        <f>J67+J68+J69+J70</f>
        <v/>
      </c>
      <c r="K71" s="13">
        <f>K67+K68+K69+K70</f>
        <v/>
      </c>
      <c r="L71" s="13">
        <f>L67+L68+L69+L70</f>
        <v/>
      </c>
      <c r="M71" s="13">
        <f>M67+M68+M69+M70</f>
        <v/>
      </c>
      <c r="N71" s="13">
        <f>N67+N68+N69+N70</f>
        <v/>
      </c>
      <c r="O71" s="13">
        <f>O67+O68+O69+O70</f>
        <v/>
      </c>
      <c r="P71" s="13">
        <f>P67+P68+P69+P70</f>
        <v/>
      </c>
      <c r="Q71" s="13">
        <f>Q67+Q68+Q69+Q70</f>
        <v/>
      </c>
      <c r="R71" s="13">
        <f>R67+R68+R69+R70</f>
        <v/>
      </c>
      <c r="S71" s="13">
        <f>S67+S68+S69+S70</f>
        <v/>
      </c>
      <c r="T71" s="13">
        <f>T67+T68+T69+T70</f>
        <v/>
      </c>
      <c r="U71" s="13">
        <f>U67+U68+U69+U70</f>
        <v/>
      </c>
      <c r="V71" s="13">
        <f>V67+V68+V69+V70</f>
        <v/>
      </c>
      <c r="W71" s="13">
        <f>W67+W68+W69+W70</f>
        <v/>
      </c>
      <c r="X71" s="13">
        <f>X67+X68+X69+X70</f>
        <v/>
      </c>
    </row>
    <row r="73">
      <c r="A73" s="1" t="inlineStr">
        <is>
          <t>═══ EBITDA &amp; CFADS ═══</t>
        </is>
      </c>
    </row>
    <row r="74">
      <c r="A74" t="inlineStr">
        <is>
          <t>EBITDA</t>
        </is>
      </c>
      <c r="B74" t="inlineStr">
        <is>
          <t>$</t>
        </is>
      </c>
      <c r="E74" s="14">
        <f>E64-E71</f>
        <v/>
      </c>
      <c r="F74" s="14">
        <f>F64-F71</f>
        <v/>
      </c>
      <c r="G74" s="14">
        <f>G64-G71</f>
        <v/>
      </c>
      <c r="H74" s="14">
        <f>H64-H71</f>
        <v/>
      </c>
      <c r="I74" s="14">
        <f>I64-I71</f>
        <v/>
      </c>
      <c r="J74" s="14">
        <f>J64-J71</f>
        <v/>
      </c>
      <c r="K74" s="14">
        <f>K64-K71</f>
        <v/>
      </c>
      <c r="L74" s="14">
        <f>L64-L71</f>
        <v/>
      </c>
      <c r="M74" s="14">
        <f>M64-M71</f>
        <v/>
      </c>
      <c r="N74" s="14">
        <f>N64-N71</f>
        <v/>
      </c>
      <c r="O74" s="14">
        <f>O64-O71</f>
        <v/>
      </c>
      <c r="P74" s="14">
        <f>P64-P71</f>
        <v/>
      </c>
      <c r="Q74" s="14">
        <f>Q64-Q71</f>
        <v/>
      </c>
      <c r="R74" s="14">
        <f>R64-R71</f>
        <v/>
      </c>
      <c r="S74" s="14">
        <f>S64-S71</f>
        <v/>
      </c>
      <c r="T74" s="14">
        <f>T64-T71</f>
        <v/>
      </c>
      <c r="U74" s="14">
        <f>U64-U71</f>
        <v/>
      </c>
      <c r="V74" s="14">
        <f>V64-V71</f>
        <v/>
      </c>
      <c r="W74" s="14">
        <f>W64-W71</f>
        <v/>
      </c>
      <c r="X74" s="14">
        <f>X64-X71</f>
        <v/>
      </c>
    </row>
    <row r="75">
      <c r="A75" t="inlineStr">
        <is>
          <t>Working Capital Change</t>
        </is>
      </c>
      <c r="B75" t="inlineStr">
        <is>
          <t>$</t>
        </is>
      </c>
      <c r="C75" t="inlineStr">
        <is>
          <t>Assume = 0</t>
        </is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</row>
    <row r="76">
      <c r="A76" t="inlineStr">
        <is>
          <t>CapEx</t>
        </is>
      </c>
      <c r="B76" t="inlineStr">
        <is>
          <t>$</t>
        </is>
      </c>
      <c r="C76" t="inlineStr">
        <is>
          <t>Assume = 0</t>
        </is>
      </c>
      <c r="E76" s="9" t="n">
        <v>0</v>
      </c>
      <c r="F76" s="9" t="n">
        <v>0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</row>
    <row r="77">
      <c r="A77" s="12" t="inlineStr">
        <is>
          <t>CFADS</t>
        </is>
      </c>
      <c r="B77" t="inlineStr">
        <is>
          <t>$</t>
        </is>
      </c>
      <c r="E77" s="15">
        <f>E74-E75-E76</f>
        <v/>
      </c>
      <c r="F77" s="15">
        <f>F74-F75-F76</f>
        <v/>
      </c>
      <c r="G77" s="15">
        <f>G74-G75-G76</f>
        <v/>
      </c>
      <c r="H77" s="15">
        <f>H74-H75-H76</f>
        <v/>
      </c>
      <c r="I77" s="15">
        <f>I74-I75-I76</f>
        <v/>
      </c>
      <c r="J77" s="15">
        <f>J74-J75-J76</f>
        <v/>
      </c>
      <c r="K77" s="15">
        <f>K74-K75-K76</f>
        <v/>
      </c>
      <c r="L77" s="15">
        <f>L74-L75-L76</f>
        <v/>
      </c>
      <c r="M77" s="15">
        <f>M74-M75-M76</f>
        <v/>
      </c>
      <c r="N77" s="15">
        <f>N74-N75-N76</f>
        <v/>
      </c>
      <c r="O77" s="15">
        <f>O74-O75-O76</f>
        <v/>
      </c>
      <c r="P77" s="15">
        <f>P74-P75-P76</f>
        <v/>
      </c>
      <c r="Q77" s="15">
        <f>Q74-Q75-Q76</f>
        <v/>
      </c>
      <c r="R77" s="15">
        <f>R74-R75-R76</f>
        <v/>
      </c>
      <c r="S77" s="15">
        <f>S74-S75-S76</f>
        <v/>
      </c>
      <c r="T77" s="15">
        <f>T74-T75-T76</f>
        <v/>
      </c>
      <c r="U77" s="15">
        <f>U74-U75-U76</f>
        <v/>
      </c>
      <c r="V77" s="15">
        <f>V74-V75-V76</f>
        <v/>
      </c>
      <c r="W77" s="15">
        <f>W74-W75-W76</f>
        <v/>
      </c>
      <c r="X77" s="15">
        <f>X74-X75-X76</f>
        <v/>
      </c>
    </row>
    <row r="79">
      <c r="A79" s="1" t="inlineStr">
        <is>
          <t>═══ DEBT SCHEDULE - TRANCHE 2 (SUB) ═══</t>
        </is>
      </c>
    </row>
    <row r="80">
      <c r="A80" t="inlineStr">
        <is>
          <t>Tr2 Beginning Balance</t>
        </is>
      </c>
      <c r="B80" t="inlineStr">
        <is>
          <t>$</t>
        </is>
      </c>
      <c r="D80" s="9">
        <f>$D$41</f>
        <v/>
      </c>
      <c r="E80" s="9">
        <f>D84</f>
        <v/>
      </c>
      <c r="F80" s="9">
        <f>E84</f>
        <v/>
      </c>
      <c r="G80" s="9">
        <f>F84</f>
        <v/>
      </c>
      <c r="H80" s="9">
        <f>G84</f>
        <v/>
      </c>
      <c r="I80" s="9">
        <f>H84</f>
        <v/>
      </c>
      <c r="J80" s="9">
        <f>I84</f>
        <v/>
      </c>
      <c r="K80" s="9">
        <f>J84</f>
        <v/>
      </c>
      <c r="L80" s="9">
        <f>K84</f>
        <v/>
      </c>
      <c r="M80" s="9">
        <f>L84</f>
        <v/>
      </c>
      <c r="N80" s="9">
        <f>M84</f>
        <v/>
      </c>
      <c r="O80" s="9">
        <f>N84</f>
        <v/>
      </c>
      <c r="P80" s="9">
        <f>O84</f>
        <v/>
      </c>
      <c r="Q80" s="9">
        <f>P84</f>
        <v/>
      </c>
      <c r="R80" s="9">
        <f>Q84</f>
        <v/>
      </c>
      <c r="S80" s="9">
        <f>R84</f>
        <v/>
      </c>
      <c r="T80" s="9">
        <f>S84</f>
        <v/>
      </c>
      <c r="U80" s="9">
        <f>T84</f>
        <v/>
      </c>
      <c r="V80" s="9">
        <f>U84</f>
        <v/>
      </c>
      <c r="W80" s="9">
        <f>V84</f>
        <v/>
      </c>
      <c r="X80" s="9">
        <f>W84</f>
        <v/>
      </c>
    </row>
    <row r="81">
      <c r="A81" t="inlineStr">
        <is>
          <t>Tr2 Interest</t>
        </is>
      </c>
      <c r="B81" t="inlineStr">
        <is>
          <t>$</t>
        </is>
      </c>
      <c r="E81" s="9">
        <f>E80*$D$43</f>
        <v/>
      </c>
      <c r="F81" s="9">
        <f>F80*$D$43</f>
        <v/>
      </c>
      <c r="G81" s="9">
        <f>G80*$D$43</f>
        <v/>
      </c>
      <c r="H81" s="9">
        <f>H80*$D$43</f>
        <v/>
      </c>
      <c r="I81" s="9">
        <f>I80*$D$43</f>
        <v/>
      </c>
      <c r="J81" s="9">
        <f>J80*$D$43</f>
        <v/>
      </c>
      <c r="K81" s="9">
        <f>K80*$D$43</f>
        <v/>
      </c>
      <c r="L81" s="9">
        <f>L80*$D$43</f>
        <v/>
      </c>
      <c r="M81" s="9">
        <f>M80*$D$43</f>
        <v/>
      </c>
      <c r="N81" s="9">
        <f>N80*$D$43</f>
        <v/>
      </c>
      <c r="O81" s="9">
        <f>O80*$D$43</f>
        <v/>
      </c>
      <c r="P81" s="9">
        <f>P80*$D$43</f>
        <v/>
      </c>
      <c r="Q81" s="9">
        <f>Q80*$D$43</f>
        <v/>
      </c>
      <c r="R81" s="9">
        <f>R80*$D$43</f>
        <v/>
      </c>
      <c r="S81" s="9">
        <f>S80*$D$43</f>
        <v/>
      </c>
      <c r="T81" s="9">
        <f>T80*$D$43</f>
        <v/>
      </c>
      <c r="U81" s="9">
        <f>U80*$D$43</f>
        <v/>
      </c>
      <c r="V81" s="9">
        <f>V80*$D$43</f>
        <v/>
      </c>
      <c r="W81" s="9">
        <f>W80*$D$43</f>
        <v/>
      </c>
      <c r="X81" s="9">
        <f>X80*$D$43</f>
        <v/>
      </c>
    </row>
    <row r="82">
      <c r="A82" t="inlineStr">
        <is>
          <t>Tr2 Principal</t>
        </is>
      </c>
      <c r="B82" t="inlineStr">
        <is>
          <t>$</t>
        </is>
      </c>
      <c r="C82" t="inlineStr">
        <is>
          <t>1%/yr; balloon final</t>
        </is>
      </c>
      <c r="E82" s="9">
        <f>MIN(E80,$D$41*$D$44)</f>
        <v/>
      </c>
      <c r="F82" s="9">
        <f>MIN(F80,$D$41*$D$44)</f>
        <v/>
      </c>
      <c r="G82" s="9">
        <f>MIN(G80,$D$41*$D$44)</f>
        <v/>
      </c>
      <c r="H82" s="9">
        <f>MIN(H80,$D$41*$D$44)</f>
        <v/>
      </c>
      <c r="I82" s="9">
        <f>MIN(I80,$D$41*$D$44)</f>
        <v/>
      </c>
      <c r="J82" s="9">
        <f>MIN(J80,$D$41*$D$44)</f>
        <v/>
      </c>
      <c r="K82" s="9">
        <f>MIN(K80,$D$41*$D$44)</f>
        <v/>
      </c>
      <c r="L82" s="9">
        <f>MIN(L80,$D$41*$D$44)</f>
        <v/>
      </c>
      <c r="M82" s="9">
        <f>MIN(M80,$D$41*$D$44)</f>
        <v/>
      </c>
      <c r="N82" s="9">
        <f>MIN(N80,$D$41*$D$44)</f>
        <v/>
      </c>
      <c r="O82" s="9">
        <f>MIN(O80,$D$41*$D$44)</f>
        <v/>
      </c>
      <c r="P82" s="9">
        <f>MIN(P80,$D$41*$D$44)</f>
        <v/>
      </c>
      <c r="Q82" s="9">
        <f>MIN(Q80,$D$41*$D$44)</f>
        <v/>
      </c>
      <c r="R82" s="9">
        <f>MIN(R80,$D$41*$D$44)</f>
        <v/>
      </c>
      <c r="S82" s="9">
        <f>MIN(S80,$D$41*$D$44)</f>
        <v/>
      </c>
      <c r="T82" s="9">
        <f>MIN(T80,$D$41*$D$44)</f>
        <v/>
      </c>
      <c r="U82" s="9">
        <f>MIN(U80,$D$41*$D$44)</f>
        <v/>
      </c>
      <c r="V82" s="9">
        <f>MIN(V80,$D$41*$D$44)</f>
        <v/>
      </c>
      <c r="W82" s="9">
        <f>MIN(W80,$D$41*$D$44)</f>
        <v/>
      </c>
      <c r="X82" s="9">
        <f>X80</f>
        <v/>
      </c>
    </row>
    <row r="83">
      <c r="A83" s="12" t="inlineStr">
        <is>
          <t>Tr2 Debt Service</t>
        </is>
      </c>
      <c r="B83" t="inlineStr">
        <is>
          <t>$</t>
        </is>
      </c>
      <c r="E83" s="13">
        <f>E81+E82</f>
        <v/>
      </c>
      <c r="F83" s="13">
        <f>F81+F82</f>
        <v/>
      </c>
      <c r="G83" s="13">
        <f>G81+G82</f>
        <v/>
      </c>
      <c r="H83" s="13">
        <f>H81+H82</f>
        <v/>
      </c>
      <c r="I83" s="13">
        <f>I81+I82</f>
        <v/>
      </c>
      <c r="J83" s="13">
        <f>J81+J82</f>
        <v/>
      </c>
      <c r="K83" s="13">
        <f>K81+K82</f>
        <v/>
      </c>
      <c r="L83" s="13">
        <f>L81+L82</f>
        <v/>
      </c>
      <c r="M83" s="13">
        <f>M81+M82</f>
        <v/>
      </c>
      <c r="N83" s="13">
        <f>N81+N82</f>
        <v/>
      </c>
      <c r="O83" s="13">
        <f>O81+O82</f>
        <v/>
      </c>
      <c r="P83" s="13">
        <f>P81+P82</f>
        <v/>
      </c>
      <c r="Q83" s="13">
        <f>Q81+Q82</f>
        <v/>
      </c>
      <c r="R83" s="13">
        <f>R81+R82</f>
        <v/>
      </c>
      <c r="S83" s="13">
        <f>S81+S82</f>
        <v/>
      </c>
      <c r="T83" s="13">
        <f>T81+T82</f>
        <v/>
      </c>
      <c r="U83" s="13">
        <f>U81+U82</f>
        <v/>
      </c>
      <c r="V83" s="13">
        <f>V81+V82</f>
        <v/>
      </c>
      <c r="W83" s="13">
        <f>W81+W82</f>
        <v/>
      </c>
      <c r="X83" s="13">
        <f>X81+X82</f>
        <v/>
      </c>
    </row>
    <row r="84">
      <c r="A84" t="inlineStr">
        <is>
          <t>Tr2 Ending Balance</t>
        </is>
      </c>
      <c r="B84" t="inlineStr">
        <is>
          <t>$</t>
        </is>
      </c>
      <c r="E84" s="9">
        <f>MAX(0,E80-E82)</f>
        <v/>
      </c>
      <c r="F84" s="9">
        <f>MAX(0,F80-F82)</f>
        <v/>
      </c>
      <c r="G84" s="9">
        <f>MAX(0,G80-G82)</f>
        <v/>
      </c>
      <c r="H84" s="9">
        <f>MAX(0,H80-H82)</f>
        <v/>
      </c>
      <c r="I84" s="9">
        <f>MAX(0,I80-I82)</f>
        <v/>
      </c>
      <c r="J84" s="9">
        <f>MAX(0,J80-J82)</f>
        <v/>
      </c>
      <c r="K84" s="9">
        <f>MAX(0,K80-K82)</f>
        <v/>
      </c>
      <c r="L84" s="9">
        <f>MAX(0,L80-L82)</f>
        <v/>
      </c>
      <c r="M84" s="9">
        <f>MAX(0,M80-M82)</f>
        <v/>
      </c>
      <c r="N84" s="9">
        <f>MAX(0,N80-N82)</f>
        <v/>
      </c>
      <c r="O84" s="9">
        <f>MAX(0,O80-O82)</f>
        <v/>
      </c>
      <c r="P84" s="9">
        <f>MAX(0,P80-P82)</f>
        <v/>
      </c>
      <c r="Q84" s="9">
        <f>MAX(0,Q80-Q82)</f>
        <v/>
      </c>
      <c r="R84" s="9">
        <f>MAX(0,R80-R82)</f>
        <v/>
      </c>
      <c r="S84" s="9">
        <f>MAX(0,S80-S82)</f>
        <v/>
      </c>
      <c r="T84" s="9">
        <f>MAX(0,T80-T82)</f>
        <v/>
      </c>
      <c r="U84" s="9">
        <f>MAX(0,U80-U82)</f>
        <v/>
      </c>
      <c r="V84" s="9">
        <f>MAX(0,V80-V82)</f>
        <v/>
      </c>
      <c r="W84" s="9">
        <f>MAX(0,W80-W82)</f>
        <v/>
      </c>
      <c r="X84" s="9">
        <f>MAX(0,X80-X82)</f>
        <v/>
      </c>
    </row>
    <row r="86">
      <c r="A86" s="1" t="inlineStr">
        <is>
          <t>═══ DEBT SIZING - TRANCHE 1 (SENIOR) ═══</t>
        </is>
      </c>
    </row>
    <row r="87">
      <c r="A87" t="inlineStr">
        <is>
          <t>Max Total DS Allowed</t>
        </is>
      </c>
      <c r="B87" t="inlineStr">
        <is>
          <t>$</t>
        </is>
      </c>
      <c r="C87" t="inlineStr">
        <is>
          <t>CFADS / 1.40</t>
        </is>
      </c>
      <c r="E87" s="9">
        <f>E77/$D$49</f>
        <v/>
      </c>
      <c r="F87" s="9">
        <f>F77/$D$49</f>
        <v/>
      </c>
      <c r="G87" s="9">
        <f>G77/$D$49</f>
        <v/>
      </c>
      <c r="H87" s="9">
        <f>H77/$D$49</f>
        <v/>
      </c>
      <c r="I87" s="9">
        <f>I77/$D$49</f>
        <v/>
      </c>
      <c r="J87" s="9">
        <f>J77/$D$49</f>
        <v/>
      </c>
      <c r="K87" s="9">
        <f>K77/$D$49</f>
        <v/>
      </c>
      <c r="L87" s="9">
        <f>L77/$D$49</f>
        <v/>
      </c>
      <c r="M87" s="9">
        <f>M77/$D$49</f>
        <v/>
      </c>
      <c r="N87" s="9">
        <f>N77/$D$49</f>
        <v/>
      </c>
      <c r="O87" s="9">
        <f>O77/$D$49</f>
        <v/>
      </c>
      <c r="P87" s="9">
        <f>P77/$D$49</f>
        <v/>
      </c>
      <c r="Q87" s="9">
        <f>Q77/$D$49</f>
        <v/>
      </c>
      <c r="R87" s="9">
        <f>R77/$D$49</f>
        <v/>
      </c>
      <c r="S87" s="9">
        <f>S77/$D$49</f>
        <v/>
      </c>
      <c r="T87" s="9">
        <f>T77/$D$49</f>
        <v/>
      </c>
      <c r="U87" s="9">
        <f>U77/$D$49</f>
        <v/>
      </c>
      <c r="V87" s="9">
        <f>V77/$D$49</f>
        <v/>
      </c>
      <c r="W87" s="9">
        <f>W77/$D$49</f>
        <v/>
      </c>
      <c r="X87" s="9">
        <f>X77/$D$49</f>
        <v/>
      </c>
    </row>
    <row r="88">
      <c r="A88" t="inlineStr">
        <is>
          <t>Max Senior DS Allowed</t>
        </is>
      </c>
      <c r="B88" t="inlineStr">
        <is>
          <t>$</t>
        </is>
      </c>
      <c r="C88" t="inlineStr">
        <is>
          <t>Max Total - Tr2</t>
        </is>
      </c>
      <c r="E88" s="9">
        <f>MAX(0,E87-E83)</f>
        <v/>
      </c>
      <c r="F88" s="9">
        <f>MAX(0,F87-F83)</f>
        <v/>
      </c>
      <c r="G88" s="9">
        <f>MAX(0,G87-G83)</f>
        <v/>
      </c>
      <c r="H88" s="9">
        <f>MAX(0,H87-H83)</f>
        <v/>
      </c>
      <c r="I88" s="9">
        <f>MAX(0,I87-I83)</f>
        <v/>
      </c>
      <c r="J88" s="9">
        <f>MAX(0,J87-J83)</f>
        <v/>
      </c>
      <c r="K88" s="9">
        <f>MAX(0,K87-K83)</f>
        <v/>
      </c>
      <c r="L88" s="9">
        <f>MAX(0,L87-L83)</f>
        <v/>
      </c>
      <c r="M88" s="9">
        <f>MAX(0,M87-M83)</f>
        <v/>
      </c>
      <c r="N88" s="9">
        <f>MAX(0,N87-N83)</f>
        <v/>
      </c>
      <c r="O88" s="9">
        <f>MAX(0,O87-O83)</f>
        <v/>
      </c>
      <c r="P88" s="9">
        <f>MAX(0,P87-P83)</f>
        <v/>
      </c>
      <c r="Q88" s="9">
        <f>MAX(0,Q87-Q83)</f>
        <v/>
      </c>
      <c r="R88" s="9">
        <f>MAX(0,R87-R83)</f>
        <v/>
      </c>
      <c r="S88" s="9">
        <f>MAX(0,S87-S83)</f>
        <v/>
      </c>
      <c r="T88" s="9">
        <f>MAX(0,T87-T83)</f>
        <v/>
      </c>
      <c r="U88" s="9">
        <f>MAX(0,U87-U83)</f>
        <v/>
      </c>
      <c r="V88" s="9">
        <f>MAX(0,V87-V83)</f>
        <v/>
      </c>
      <c r="W88" s="9">
        <f>MAX(0,W87-W83)</f>
        <v/>
      </c>
      <c r="X88" s="9">
        <f>MAX(0,X87-X83)</f>
        <v/>
      </c>
    </row>
    <row r="89">
      <c r="A89" t="inlineStr">
        <is>
          <t>Senior Annual DS (Level)</t>
        </is>
      </c>
      <c r="B89" t="inlineStr">
        <is>
          <t>$</t>
        </is>
      </c>
      <c r="C89" t="inlineStr">
        <is>
          <t>MIN of all years</t>
        </is>
      </c>
      <c r="D89" s="16">
        <f>MIN(E88:X88)</f>
        <v/>
      </c>
    </row>
    <row r="90">
      <c r="A90" t="inlineStr">
        <is>
          <t>Senior Debt (Sized)</t>
        </is>
      </c>
      <c r="B90" t="inlineStr">
        <is>
          <t>$</t>
        </is>
      </c>
      <c r="C90" t="inlineStr">
        <is>
          <t>PV of level DS</t>
        </is>
      </c>
      <c r="D90" s="16">
        <f>PV($D$48,$D$50,-$D$89,0,0)</f>
        <v/>
      </c>
    </row>
    <row r="92">
      <c r="A92" s="1" t="inlineStr">
        <is>
          <t>═══ DEBT SCHEDULE - TRANCHE 1 (SENIOR) ═══</t>
        </is>
      </c>
    </row>
    <row r="93">
      <c r="A93" t="inlineStr">
        <is>
          <t>Tr1 Beginning Balance</t>
        </is>
      </c>
      <c r="B93" t="inlineStr">
        <is>
          <t>$</t>
        </is>
      </c>
      <c r="D93" s="9">
        <f>$D$90</f>
        <v/>
      </c>
      <c r="E93" s="9">
        <f>D97</f>
        <v/>
      </c>
      <c r="F93" s="9">
        <f>E97</f>
        <v/>
      </c>
      <c r="G93" s="9">
        <f>F97</f>
        <v/>
      </c>
      <c r="H93" s="9">
        <f>G97</f>
        <v/>
      </c>
      <c r="I93" s="9">
        <f>H97</f>
        <v/>
      </c>
      <c r="J93" s="9">
        <f>I97</f>
        <v/>
      </c>
      <c r="K93" s="9">
        <f>J97</f>
        <v/>
      </c>
      <c r="L93" s="9">
        <f>K97</f>
        <v/>
      </c>
      <c r="M93" s="9">
        <f>L97</f>
        <v/>
      </c>
      <c r="N93" s="9">
        <f>M97</f>
        <v/>
      </c>
      <c r="O93" s="9">
        <f>N97</f>
        <v/>
      </c>
      <c r="P93" s="9">
        <f>O97</f>
        <v/>
      </c>
      <c r="Q93" s="9">
        <f>P97</f>
        <v/>
      </c>
      <c r="R93" s="9">
        <f>Q97</f>
        <v/>
      </c>
      <c r="S93" s="9">
        <f>R97</f>
        <v/>
      </c>
      <c r="T93" s="9">
        <f>S97</f>
        <v/>
      </c>
      <c r="U93" s="9">
        <f>T97</f>
        <v/>
      </c>
      <c r="V93" s="9">
        <f>U97</f>
        <v/>
      </c>
      <c r="W93" s="9">
        <f>V97</f>
        <v/>
      </c>
      <c r="X93" s="9">
        <f>W97</f>
        <v/>
      </c>
    </row>
    <row r="94">
      <c r="A94" t="inlineStr">
        <is>
          <t>Tr1 Interest</t>
        </is>
      </c>
      <c r="B94" t="inlineStr">
        <is>
          <t>$</t>
        </is>
      </c>
      <c r="E94" s="9">
        <f>E93*$D$48</f>
        <v/>
      </c>
      <c r="F94" s="9">
        <f>F93*$D$48</f>
        <v/>
      </c>
      <c r="G94" s="9">
        <f>G93*$D$48</f>
        <v/>
      </c>
      <c r="H94" s="9">
        <f>H93*$D$48</f>
        <v/>
      </c>
      <c r="I94" s="9">
        <f>I93*$D$48</f>
        <v/>
      </c>
      <c r="J94" s="9">
        <f>J93*$D$48</f>
        <v/>
      </c>
      <c r="K94" s="9">
        <f>K93*$D$48</f>
        <v/>
      </c>
      <c r="L94" s="9">
        <f>L93*$D$48</f>
        <v/>
      </c>
      <c r="M94" s="9">
        <f>M93*$D$48</f>
        <v/>
      </c>
      <c r="N94" s="9">
        <f>N93*$D$48</f>
        <v/>
      </c>
      <c r="O94" s="9">
        <f>O93*$D$48</f>
        <v/>
      </c>
      <c r="P94" s="9">
        <f>P93*$D$48</f>
        <v/>
      </c>
      <c r="Q94" s="9">
        <f>Q93*$D$48</f>
        <v/>
      </c>
      <c r="R94" s="9">
        <f>R93*$D$48</f>
        <v/>
      </c>
      <c r="S94" s="9">
        <f>S93*$D$48</f>
        <v/>
      </c>
      <c r="T94" s="9">
        <f>T93*$D$48</f>
        <v/>
      </c>
      <c r="U94" s="9">
        <f>U93*$D$48</f>
        <v/>
      </c>
      <c r="V94" s="9">
        <f>V93*$D$48</f>
        <v/>
      </c>
      <c r="W94" s="9">
        <f>W93*$D$48</f>
        <v/>
      </c>
      <c r="X94" s="9">
        <f>X93*$D$48</f>
        <v/>
      </c>
    </row>
    <row r="95">
      <c r="A95" t="inlineStr">
        <is>
          <t>Tr1 Principal</t>
        </is>
      </c>
      <c r="B95" t="inlineStr">
        <is>
          <t>$</t>
        </is>
      </c>
      <c r="E95" s="9">
        <f>MIN(E93,$D$89-E94)</f>
        <v/>
      </c>
      <c r="F95" s="9">
        <f>MIN(F93,$D$89-F94)</f>
        <v/>
      </c>
      <c r="G95" s="9">
        <f>MIN(G93,$D$89-G94)</f>
        <v/>
      </c>
      <c r="H95" s="9">
        <f>MIN(H93,$D$89-H94)</f>
        <v/>
      </c>
      <c r="I95" s="9">
        <f>MIN(I93,$D$89-I94)</f>
        <v/>
      </c>
      <c r="J95" s="9">
        <f>MIN(J93,$D$89-J94)</f>
        <v/>
      </c>
      <c r="K95" s="9">
        <f>MIN(K93,$D$89-K94)</f>
        <v/>
      </c>
      <c r="L95" s="9">
        <f>MIN(L93,$D$89-L94)</f>
        <v/>
      </c>
      <c r="M95" s="9">
        <f>MIN(M93,$D$89-M94)</f>
        <v/>
      </c>
      <c r="N95" s="9">
        <f>MIN(N93,$D$89-N94)</f>
        <v/>
      </c>
      <c r="O95" s="9">
        <f>MIN(O93,$D$89-O94)</f>
        <v/>
      </c>
      <c r="P95" s="9">
        <f>MIN(P93,$D$89-P94)</f>
        <v/>
      </c>
      <c r="Q95" s="9">
        <f>MIN(Q93,$D$89-Q94)</f>
        <v/>
      </c>
      <c r="R95" s="9">
        <f>MIN(R93,$D$89-R94)</f>
        <v/>
      </c>
      <c r="S95" s="9">
        <f>MIN(S93,$D$89-S94)</f>
        <v/>
      </c>
      <c r="T95" s="9">
        <f>MIN(T93,$D$89-T94)</f>
        <v/>
      </c>
      <c r="U95" s="9">
        <f>MIN(U93,$D$89-U94)</f>
        <v/>
      </c>
      <c r="V95" s="9">
        <f>MIN(V93,$D$89-V94)</f>
        <v/>
      </c>
      <c r="W95" s="9">
        <f>MIN(W93,$D$89-W94)</f>
        <v/>
      </c>
      <c r="X95" s="9">
        <f>X93</f>
        <v/>
      </c>
    </row>
    <row r="96">
      <c r="A96" s="12" t="inlineStr">
        <is>
          <t>Tr1 Debt Service</t>
        </is>
      </c>
      <c r="B96" t="inlineStr">
        <is>
          <t>$</t>
        </is>
      </c>
      <c r="E96" s="13">
        <f>E94+E95</f>
        <v/>
      </c>
      <c r="F96" s="13">
        <f>F94+F95</f>
        <v/>
      </c>
      <c r="G96" s="13">
        <f>G94+G95</f>
        <v/>
      </c>
      <c r="H96" s="13">
        <f>H94+H95</f>
        <v/>
      </c>
      <c r="I96" s="13">
        <f>I94+I95</f>
        <v/>
      </c>
      <c r="J96" s="13">
        <f>J94+J95</f>
        <v/>
      </c>
      <c r="K96" s="13">
        <f>K94+K95</f>
        <v/>
      </c>
      <c r="L96" s="13">
        <f>L94+L95</f>
        <v/>
      </c>
      <c r="M96" s="13">
        <f>M94+M95</f>
        <v/>
      </c>
      <c r="N96" s="13">
        <f>N94+N95</f>
        <v/>
      </c>
      <c r="O96" s="13">
        <f>O94+O95</f>
        <v/>
      </c>
      <c r="P96" s="13">
        <f>P94+P95</f>
        <v/>
      </c>
      <c r="Q96" s="13">
        <f>Q94+Q95</f>
        <v/>
      </c>
      <c r="R96" s="13">
        <f>R94+R95</f>
        <v/>
      </c>
      <c r="S96" s="13">
        <f>S94+S95</f>
        <v/>
      </c>
      <c r="T96" s="13">
        <f>T94+T95</f>
        <v/>
      </c>
      <c r="U96" s="13">
        <f>U94+U95</f>
        <v/>
      </c>
      <c r="V96" s="13">
        <f>V94+V95</f>
        <v/>
      </c>
      <c r="W96" s="13">
        <f>W94+W95</f>
        <v/>
      </c>
      <c r="X96" s="13">
        <f>X94+X95</f>
        <v/>
      </c>
    </row>
    <row r="97">
      <c r="A97" t="inlineStr">
        <is>
          <t>Tr1 Ending Balance</t>
        </is>
      </c>
      <c r="B97" t="inlineStr">
        <is>
          <t>$</t>
        </is>
      </c>
      <c r="E97" s="9">
        <f>MAX(0,E93-E95)</f>
        <v/>
      </c>
      <c r="F97" s="9">
        <f>MAX(0,F93-F95)</f>
        <v/>
      </c>
      <c r="G97" s="9">
        <f>MAX(0,G93-G95)</f>
        <v/>
      </c>
      <c r="H97" s="9">
        <f>MAX(0,H93-H95)</f>
        <v/>
      </c>
      <c r="I97" s="9">
        <f>MAX(0,I93-I95)</f>
        <v/>
      </c>
      <c r="J97" s="9">
        <f>MAX(0,J93-J95)</f>
        <v/>
      </c>
      <c r="K97" s="9">
        <f>MAX(0,K93-K95)</f>
        <v/>
      </c>
      <c r="L97" s="9">
        <f>MAX(0,L93-L95)</f>
        <v/>
      </c>
      <c r="M97" s="9">
        <f>MAX(0,M93-M95)</f>
        <v/>
      </c>
      <c r="N97" s="9">
        <f>MAX(0,N93-N95)</f>
        <v/>
      </c>
      <c r="O97" s="9">
        <f>MAX(0,O93-O95)</f>
        <v/>
      </c>
      <c r="P97" s="9">
        <f>MAX(0,P93-P95)</f>
        <v/>
      </c>
      <c r="Q97" s="9">
        <f>MAX(0,Q93-Q95)</f>
        <v/>
      </c>
      <c r="R97" s="9">
        <f>MAX(0,R93-R95)</f>
        <v/>
      </c>
      <c r="S97" s="9">
        <f>MAX(0,S93-S95)</f>
        <v/>
      </c>
      <c r="T97" s="9">
        <f>MAX(0,T93-T95)</f>
        <v/>
      </c>
      <c r="U97" s="9">
        <f>MAX(0,U93-U95)</f>
        <v/>
      </c>
      <c r="V97" s="9">
        <f>MAX(0,V93-V95)</f>
        <v/>
      </c>
      <c r="W97" s="9">
        <f>MAX(0,W93-W95)</f>
        <v/>
      </c>
      <c r="X97" s="9">
        <f>MAX(0,X93-X95)</f>
        <v/>
      </c>
    </row>
    <row r="99">
      <c r="A99" s="1" t="inlineStr">
        <is>
          <t>═══ DSCR CHECK ═══</t>
        </is>
      </c>
    </row>
    <row r="100">
      <c r="A100" t="inlineStr">
        <is>
          <t>Total Debt Service</t>
        </is>
      </c>
      <c r="B100" t="inlineStr">
        <is>
          <t>$</t>
        </is>
      </c>
      <c r="E100" s="9">
        <f>E96+E83</f>
        <v/>
      </c>
      <c r="F100" s="9">
        <f>F96+F83</f>
        <v/>
      </c>
      <c r="G100" s="9">
        <f>G96+G83</f>
        <v/>
      </c>
      <c r="H100" s="9">
        <f>H96+H83</f>
        <v/>
      </c>
      <c r="I100" s="9">
        <f>I96+I83</f>
        <v/>
      </c>
      <c r="J100" s="9">
        <f>J96+J83</f>
        <v/>
      </c>
      <c r="K100" s="9">
        <f>K96+K83</f>
        <v/>
      </c>
      <c r="L100" s="9">
        <f>L96+L83</f>
        <v/>
      </c>
      <c r="M100" s="9">
        <f>M96+M83</f>
        <v/>
      </c>
      <c r="N100" s="9">
        <f>N96+N83</f>
        <v/>
      </c>
      <c r="O100" s="9">
        <f>O96+O83</f>
        <v/>
      </c>
      <c r="P100" s="9">
        <f>P96+P83</f>
        <v/>
      </c>
      <c r="Q100" s="9">
        <f>Q96+Q83</f>
        <v/>
      </c>
      <c r="R100" s="9">
        <f>R96+R83</f>
        <v/>
      </c>
      <c r="S100" s="9">
        <f>S96+S83</f>
        <v/>
      </c>
      <c r="T100" s="9">
        <f>T96+T83</f>
        <v/>
      </c>
      <c r="U100" s="9">
        <f>U96+U83</f>
        <v/>
      </c>
      <c r="V100" s="9">
        <f>V96+V83</f>
        <v/>
      </c>
      <c r="W100" s="9">
        <f>W96+W83</f>
        <v/>
      </c>
      <c r="X100" s="9">
        <f>X96+X83</f>
        <v/>
      </c>
    </row>
    <row r="101">
      <c r="A101" t="inlineStr">
        <is>
          <t>DSCR</t>
        </is>
      </c>
      <c r="B101" t="inlineStr">
        <is>
          <t>x</t>
        </is>
      </c>
      <c r="E101" s="17">
        <f>IF(E100&gt;0,E77/E100,0)</f>
        <v/>
      </c>
      <c r="F101" s="17">
        <f>IF(F100&gt;0,F77/F100,0)</f>
        <v/>
      </c>
      <c r="G101" s="17">
        <f>IF(G100&gt;0,G77/G100,0)</f>
        <v/>
      </c>
      <c r="H101" s="17">
        <f>IF(H100&gt;0,H77/H100,0)</f>
        <v/>
      </c>
      <c r="I101" s="17">
        <f>IF(I100&gt;0,I77/I100,0)</f>
        <v/>
      </c>
      <c r="J101" s="17">
        <f>IF(J100&gt;0,J77/J100,0)</f>
        <v/>
      </c>
      <c r="K101" s="17">
        <f>IF(K100&gt;0,K77/K100,0)</f>
        <v/>
      </c>
      <c r="L101" s="17">
        <f>IF(L100&gt;0,L77/L100,0)</f>
        <v/>
      </c>
      <c r="M101" s="17">
        <f>IF(M100&gt;0,M77/M100,0)</f>
        <v/>
      </c>
      <c r="N101" s="17">
        <f>IF(N100&gt;0,N77/N100,0)</f>
        <v/>
      </c>
      <c r="O101" s="17">
        <f>IF(O100&gt;0,O77/O100,0)</f>
        <v/>
      </c>
      <c r="P101" s="17">
        <f>IF(P100&gt;0,P77/P100,0)</f>
        <v/>
      </c>
      <c r="Q101" s="17">
        <f>IF(Q100&gt;0,Q77/Q100,0)</f>
        <v/>
      </c>
      <c r="R101" s="17">
        <f>IF(R100&gt;0,R77/R100,0)</f>
        <v/>
      </c>
      <c r="S101" s="17">
        <f>IF(S100&gt;0,S77/S100,0)</f>
        <v/>
      </c>
      <c r="T101" s="17">
        <f>IF(T100&gt;0,T77/T100,0)</f>
        <v/>
      </c>
      <c r="U101" s="17">
        <f>IF(U100&gt;0,U77/U100,0)</f>
        <v/>
      </c>
      <c r="V101" s="17">
        <f>IF(V100&gt;0,V77/V100,0)</f>
        <v/>
      </c>
      <c r="W101" s="17">
        <f>IF(W100&gt;0,W77/W100,0)</f>
        <v/>
      </c>
      <c r="X101" s="17">
        <f>IF(X100&gt;0,X77/X100,0)</f>
        <v/>
      </c>
    </row>
    <row r="102">
      <c r="A102" t="inlineStr">
        <is>
          <t>Min DSCR</t>
        </is>
      </c>
      <c r="B102" t="inlineStr">
        <is>
          <t>x</t>
        </is>
      </c>
      <c r="D102" s="17">
        <f>MIN(E101:X101)</f>
        <v/>
      </c>
    </row>
    <row r="104">
      <c r="A104" s="1" t="inlineStr">
        <is>
          <t>═══ EQUITY CASH FLOWS ═══</t>
        </is>
      </c>
    </row>
    <row r="105">
      <c r="A105" t="inlineStr">
        <is>
          <t>Initial Equity</t>
        </is>
      </c>
      <c r="B105" t="inlineStr">
        <is>
          <t>$</t>
        </is>
      </c>
      <c r="C105" t="inlineStr">
        <is>
          <t>Purchase - Debt</t>
        </is>
      </c>
      <c r="D105" s="18">
        <f>$D$34-$D$90-$D$41</f>
        <v/>
      </c>
    </row>
    <row r="106">
      <c r="A106" t="inlineStr">
        <is>
          <t>Annual Equity CF</t>
        </is>
      </c>
      <c r="B106" t="inlineStr">
        <is>
          <t>$</t>
        </is>
      </c>
      <c r="E106" s="9">
        <f>E77-E100</f>
        <v/>
      </c>
      <c r="F106" s="9">
        <f>F77-F100</f>
        <v/>
      </c>
      <c r="G106" s="9">
        <f>G77-G100</f>
        <v/>
      </c>
      <c r="H106" s="9">
        <f>H77-H100</f>
        <v/>
      </c>
      <c r="I106" s="9">
        <f>I77-I100</f>
        <v/>
      </c>
      <c r="J106" s="9">
        <f>J77-J100</f>
        <v/>
      </c>
      <c r="K106" s="9">
        <f>K77-K100</f>
        <v/>
      </c>
      <c r="L106" s="9">
        <f>L77-L100</f>
        <v/>
      </c>
      <c r="M106" s="9">
        <f>M77-M100</f>
        <v/>
      </c>
      <c r="N106" s="9">
        <f>N77-N100</f>
        <v/>
      </c>
      <c r="O106" s="9">
        <f>O77-O100</f>
        <v/>
      </c>
      <c r="P106" s="9">
        <f>P77-P100</f>
        <v/>
      </c>
      <c r="Q106" s="9">
        <f>Q77-Q100</f>
        <v/>
      </c>
      <c r="R106" s="9">
        <f>R77-R100</f>
        <v/>
      </c>
      <c r="S106" s="9">
        <f>S77-S100</f>
        <v/>
      </c>
      <c r="T106" s="9">
        <f>T77-T100</f>
        <v/>
      </c>
      <c r="U106" s="9">
        <f>U77-U100</f>
        <v/>
      </c>
      <c r="V106" s="9">
        <f>V77-V100</f>
        <v/>
      </c>
      <c r="W106" s="9">
        <f>W77-W100</f>
        <v/>
      </c>
      <c r="X106" s="9">
        <f>X77-X100</f>
        <v/>
      </c>
    </row>
    <row r="108">
      <c r="A108" s="1" t="inlineStr">
        <is>
          <t>═══ EXIT VALUES ═══</t>
        </is>
      </c>
    </row>
    <row r="109">
      <c r="A109" t="inlineStr">
        <is>
          <t>Life Hold: Residual (Y20)</t>
        </is>
      </c>
      <c r="B109" t="inlineStr">
        <is>
          <t>$</t>
        </is>
      </c>
      <c r="X109" s="18">
        <f>$D$36</f>
        <v/>
      </c>
    </row>
    <row r="110">
      <c r="A110" t="inlineStr">
        <is>
          <t>Life Hold: Equity CF</t>
        </is>
      </c>
      <c r="B110" t="inlineStr">
        <is>
          <t>$</t>
        </is>
      </c>
      <c r="D110" s="9">
        <f>-$D$105</f>
        <v/>
      </c>
      <c r="E110" s="9">
        <f>E106</f>
        <v/>
      </c>
      <c r="F110" s="9">
        <f>F106</f>
        <v/>
      </c>
      <c r="G110" s="9">
        <f>G106</f>
        <v/>
      </c>
      <c r="H110" s="9">
        <f>H106</f>
        <v/>
      </c>
      <c r="I110" s="9">
        <f>I106</f>
        <v/>
      </c>
      <c r="J110" s="9">
        <f>J106</f>
        <v/>
      </c>
      <c r="K110" s="9">
        <f>K106</f>
        <v/>
      </c>
      <c r="L110" s="9">
        <f>L106</f>
        <v/>
      </c>
      <c r="M110" s="9">
        <f>M106</f>
        <v/>
      </c>
      <c r="N110" s="9">
        <f>N106</f>
        <v/>
      </c>
      <c r="O110" s="9">
        <f>O106</f>
        <v/>
      </c>
      <c r="P110" s="9">
        <f>P106</f>
        <v/>
      </c>
      <c r="Q110" s="9">
        <f>Q106</f>
        <v/>
      </c>
      <c r="R110" s="9">
        <f>R106</f>
        <v/>
      </c>
      <c r="S110" s="9">
        <f>S106</f>
        <v/>
      </c>
      <c r="T110" s="9">
        <f>T106</f>
        <v/>
      </c>
      <c r="U110" s="9">
        <f>U106</f>
        <v/>
      </c>
      <c r="V110" s="9">
        <f>V106</f>
        <v/>
      </c>
      <c r="W110" s="9">
        <f>W106</f>
        <v/>
      </c>
      <c r="X110" s="9">
        <f>X106+X109</f>
        <v/>
      </c>
    </row>
    <row r="112">
      <c r="A112" t="inlineStr">
        <is>
          <t>Short Hold: Sale Price (Y5)</t>
        </is>
      </c>
      <c r="B112" t="inlineStr">
        <is>
          <t>$</t>
        </is>
      </c>
      <c r="C112" t="inlineStr">
        <is>
          <t>PV of Y6-Y20 CFADS + Residual</t>
        </is>
      </c>
      <c r="I112" s="18">
        <f>NPV($D$37,J77:X77)+$D$36/(1+$D$37)^15</f>
        <v/>
      </c>
    </row>
    <row r="113">
      <c r="A113" t="inlineStr">
        <is>
          <t>Short Hold: Equity CF</t>
        </is>
      </c>
      <c r="B113" t="inlineStr">
        <is>
          <t>$</t>
        </is>
      </c>
      <c r="D113" s="9">
        <f>-$D$105</f>
        <v/>
      </c>
      <c r="E113" s="9">
        <f>E106</f>
        <v/>
      </c>
      <c r="F113" s="9">
        <f>F106</f>
        <v/>
      </c>
      <c r="G113" s="9">
        <f>G106</f>
        <v/>
      </c>
      <c r="H113" s="9">
        <f>H106</f>
        <v/>
      </c>
      <c r="I113" s="9">
        <f>I106+I112-I97-I84</f>
        <v/>
      </c>
    </row>
    <row r="115">
      <c r="A115" s="1" t="inlineStr">
        <is>
          <t>═══ RETURNS ═══</t>
        </is>
      </c>
    </row>
    <row r="116">
      <c r="A116" t="inlineStr">
        <is>
          <t>Life Hold: Equity IRR</t>
        </is>
      </c>
      <c r="B116" t="inlineStr">
        <is>
          <t>%</t>
        </is>
      </c>
      <c r="D116" s="19">
        <f>IRR(D110:X110)</f>
        <v/>
      </c>
    </row>
    <row r="117">
      <c r="A117" t="inlineStr">
        <is>
          <t>Life Hold: Avg Cash-on-Cash</t>
        </is>
      </c>
      <c r="B117" t="inlineStr">
        <is>
          <t>%</t>
        </is>
      </c>
      <c r="D117" s="19">
        <f>AVERAGE(E106:X106)/$D$105</f>
        <v/>
      </c>
    </row>
    <row r="118">
      <c r="A118" t="inlineStr">
        <is>
          <t>Life Hold: Whole Dollar Multiple</t>
        </is>
      </c>
      <c r="B118" t="inlineStr">
        <is>
          <t>x</t>
        </is>
      </c>
      <c r="D118" s="17">
        <f>(SUM(E110:X110))/-D110</f>
        <v/>
      </c>
    </row>
    <row r="120">
      <c r="A120" t="inlineStr">
        <is>
          <t>Short Hold: Equity IRR</t>
        </is>
      </c>
      <c r="B120" t="inlineStr">
        <is>
          <t>%</t>
        </is>
      </c>
      <c r="D120" s="19">
        <f>IRR(D113:I113)</f>
        <v/>
      </c>
    </row>
    <row r="121">
      <c r="A121" t="inlineStr">
        <is>
          <t>Short Hold: Avg Cash-on-Cash</t>
        </is>
      </c>
      <c r="B121" t="inlineStr">
        <is>
          <t>%</t>
        </is>
      </c>
      <c r="D121" s="19">
        <f>AVERAGE(E106:I106)/$D$105</f>
        <v/>
      </c>
    </row>
    <row r="122">
      <c r="A122" t="inlineStr">
        <is>
          <t>Short Hold: Whole Dollar Multiple</t>
        </is>
      </c>
      <c r="B122" t="inlineStr">
        <is>
          <t>x</t>
        </is>
      </c>
      <c r="D122" s="17">
        <f>(SUM(E113:I113))/-D113</f>
        <v/>
      </c>
    </row>
    <row r="124">
      <c r="A124" s="1" t="inlineStr">
        <is>
          <t>═══ SENSITIVITIES (SHORT HOLD) ═══</t>
        </is>
      </c>
    </row>
    <row r="125">
      <c r="A125" s="20" t="inlineStr">
        <is>
          <t>Note: Sensitivities require manual input changes or data tables in Excel</t>
        </is>
      </c>
    </row>
    <row r="127">
      <c r="A127" s="12" t="inlineStr">
        <is>
          <t>EAF Sensitivity</t>
        </is>
      </c>
    </row>
    <row r="128">
      <c r="A128" t="inlineStr">
        <is>
          <t>EAF</t>
        </is>
      </c>
      <c r="D128" s="21" t="n">
        <v>0.9</v>
      </c>
      <c r="E128" s="21" t="n">
        <v>0.91</v>
      </c>
      <c r="F128" s="21" t="n">
        <v>0.92</v>
      </c>
      <c r="G128" s="21" t="n">
        <v>0.93</v>
      </c>
      <c r="H128" s="21" t="n">
        <v>0.9399999999999999</v>
      </c>
      <c r="I128" s="21" t="n">
        <v>0.95</v>
      </c>
      <c r="J128" s="21" t="n">
        <v>0.96</v>
      </c>
      <c r="K128" s="21" t="n">
        <v>0.97</v>
      </c>
      <c r="L128" s="21" t="n">
        <v>0.98</v>
      </c>
      <c r="M128" s="21" t="n">
        <v>0.985</v>
      </c>
      <c r="N128" s="21" t="n">
        <v>0.99</v>
      </c>
      <c r="O128" s="21" t="n">
        <v>1</v>
      </c>
    </row>
    <row r="129">
      <c r="A129" t="inlineStr">
        <is>
          <t>IRR (base case at EAF=98.5%)</t>
        </is>
      </c>
      <c r="C129" t="inlineStr">
        <is>
          <t>→</t>
        </is>
      </c>
      <c r="M129" s="19">
        <f>$D$120</f>
        <v/>
      </c>
    </row>
    <row r="131">
      <c r="A131" s="12" t="inlineStr">
        <is>
          <t>LIBOR Sensitivity</t>
        </is>
      </c>
    </row>
    <row r="132">
      <c r="A132" t="inlineStr">
        <is>
          <t>LIBOR</t>
        </is>
      </c>
      <c r="D132" s="21" t="n">
        <v>0.02</v>
      </c>
      <c r="E132" s="21" t="n">
        <v>0.03</v>
      </c>
      <c r="F132" s="21" t="n">
        <v>0.04</v>
      </c>
    </row>
    <row r="133">
      <c r="A133" t="inlineStr">
        <is>
          <t>IRR (base case at 3%)</t>
        </is>
      </c>
      <c r="C133" t="inlineStr">
        <is>
          <t>→</t>
        </is>
      </c>
      <c r="E133" s="19">
        <f>$D$120</f>
        <v/>
      </c>
    </row>
    <row r="135">
      <c r="A135" s="12" t="inlineStr">
        <is>
          <t>Buyer CoE Sensitivity</t>
        </is>
      </c>
    </row>
    <row r="136">
      <c r="A136" t="inlineStr">
        <is>
          <t>Buyer CoE</t>
        </is>
      </c>
      <c r="D136" s="21" t="n">
        <v>0.09</v>
      </c>
      <c r="E136" s="21" t="n">
        <v>0.1</v>
      </c>
      <c r="F136" s="21" t="n">
        <v>0.11</v>
      </c>
      <c r="G136" s="21" t="n">
        <v>0.12</v>
      </c>
    </row>
    <row r="137">
      <c r="A137" t="inlineStr">
        <is>
          <t>IRR (base case at 10%)</t>
        </is>
      </c>
      <c r="C137" t="inlineStr">
        <is>
          <t>→</t>
        </is>
      </c>
      <c r="E137" s="19">
        <f>$D$120</f>
        <v/>
      </c>
    </row>
    <row r="139">
      <c r="A139" s="1" t="inlineStr">
        <is>
          <t>═══ QA CHECKS ═══</t>
        </is>
      </c>
    </row>
    <row r="140">
      <c r="A140" t="inlineStr">
        <is>
          <t>Senior ends at $0 by 2033</t>
        </is>
      </c>
      <c r="D140" s="22">
        <f>IF(X97&lt;1,"PASS","FAIL")</f>
        <v/>
      </c>
    </row>
    <row r="141">
      <c r="A141" t="inlineStr">
        <is>
          <t>Sub ends at $0 by 2033</t>
        </is>
      </c>
      <c r="D141" s="22">
        <f>IF(X84&lt;1,"PASS","FAIL")</f>
        <v/>
      </c>
    </row>
    <row r="142">
      <c r="A142" t="inlineStr">
        <is>
          <t>MIN(DSCR) &gt;= 1.40</t>
        </is>
      </c>
      <c r="D142" s="22">
        <f>IF($D$102&gt;=1.4,"PASS","FAIL")</f>
        <v/>
      </c>
    </row>
    <row r="143">
      <c r="A143" t="inlineStr">
        <is>
          <t>With EAF=98.5%, AAF=1.00</t>
        </is>
      </c>
      <c r="D143" s="22">
        <f>IF(E57=1,"PASS","FAIL")</f>
        <v/>
      </c>
    </row>
    <row r="144">
      <c r="A144" t="inlineStr">
        <is>
          <t>Annual starts (60) &lt;= 1,095</t>
        </is>
      </c>
      <c r="D144" s="22">
        <f>IF($D$13&lt;=1095,"PASS","FAIL")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2026-01-21T20:41:21Z</dcterms:created>
  <dcterms:modified xmlns:dcterms="http://purl.org/dc/terms/" xmlns:xsi="http://www.w3.org/2001/XMLSchema-instance" xsi:type="dcterms:W3CDTF">2026-01-21T20:42:08Z</dcterms:modified>
</cp:coreProperties>
</file>