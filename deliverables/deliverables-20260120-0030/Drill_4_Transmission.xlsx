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0&quot;x&quot;"/>
    <numFmt numFmtId="166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5" fontId="2" fillId="5" borderId="1" pivotButton="0" quotePrefix="0" xfId="0"/>
    <xf numFmtId="166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5" borderId="1" pivotButton="0" quotePrefix="0" xfId="0"/>
    <xf numFmtId="166" fontId="2" fillId="5" borderId="1" pivotButton="0" quotePrefix="0" xfId="0"/>
    <xf numFmtId="166" fontId="6" fillId="3" borderId="1" pivotButton="0" quotePrefix="0" xfId="0"/>
    <xf numFmtId="165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7" authorId="0" shapeId="0">
      <text>
        <t>Exit value = RAB × multiple, not EBITDA × multiple. RAB grows with capex, shrinks with depreciation.</t>
      </text>
    </comment>
    <comment ref="C8" authorId="0" shapeId="0">
      <text>
        <t>No revenue during build (Y0-Y2). Interest capitalizes into RAB. Equity deployed in phases.</t>
      </text>
    </comment>
    <comment ref="C12" authorId="0" shapeId="0">
      <text>
        <t>Interest accrues on outstanding balance. As principal amortizes, interest drops — the deleveraging benefit to equity.</t>
      </text>
    </comment>
    <comment ref="C15" authorId="0" shapeId="0">
      <text>
        <t>Exit value = RAB × multiple, not EBITDA × multiple. RAB grows with capex, shrinks with depreciation.</t>
      </text>
    </comment>
    <comment ref="C16" authorId="0" shapeId="0">
      <text>
        <t>Exit value = RAB × multiple, not EBITDA × multiple. RAB grows with capex, shrinks with depreciation.</t>
      </text>
    </comment>
    <comment ref="C17" authorId="0" shapeId="0">
      <text>
        <t>Exit value = RAB × multiple, not EBITDA × multiple. RAB grows with capex, shrinks with depreciation.</t>
      </text>
    </comment>
    <comment ref="C18" authorId="0" shapeId="0">
      <text>
        <t>Exit value = RAB × multiple, not EBITDA × multiple. RAB grows with capex, shrinks with depreciation.</t>
      </text>
    </comment>
    <comment ref="C26" authorId="0" shapeId="0">
      <text>
        <t>Debt Service Coverage Ratio. Key lender metric. &lt;1.0x means insufficient cash to pay debt. Target: 1.25-1.40x.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9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18" t="inlineStr">
        <is>
          <t>TRANSMISSION MODEL - INTUITION GUIDE</t>
        </is>
      </c>
      <c r="B1" s="19" t="inlineStr"/>
    </row>
    <row r="2" ht="30" customHeight="1">
      <c r="A2" s="18" t="inlineStr"/>
      <c r="B2" s="19" t="inlineStr"/>
    </row>
    <row r="3" ht="30" customHeight="1">
      <c r="A3" s="18" t="inlineStr">
        <is>
          <t>SECTION</t>
        </is>
      </c>
      <c r="B3" s="20" t="inlineStr">
        <is>
          <t>WHY IT MATTERS / KEY LOGIC</t>
        </is>
      </c>
    </row>
    <row r="4" ht="30" customHeight="1">
      <c r="A4" s="18" t="inlineStr"/>
      <c r="B4" s="19" t="inlineStr"/>
    </row>
    <row r="5" ht="30" customHeight="1">
      <c r="A5" s="21" t="inlineStr">
        <is>
          <t>═══ BUSINESS CONTEXT ═══</t>
        </is>
      </c>
      <c r="B5" s="22" t="n"/>
    </row>
    <row r="6" ht="30" customHeight="1">
      <c r="A6" s="18" t="inlineStr">
        <is>
          <t>What is Transmission?</t>
        </is>
      </c>
      <c r="B6" s="19" t="inlineStr">
        <is>
          <t>High-voltage lines connecting generation to load centers. Regulated asset - earns FERC-approved ROE on rate base.</t>
        </is>
      </c>
    </row>
    <row r="7" ht="30" customHeight="1">
      <c r="A7" s="18" t="inlineStr">
        <is>
          <t>RAB-Based Returns</t>
        </is>
      </c>
      <c r="B7" s="19" t="inlineStr">
        <is>
          <t>Rate base (RAB) = total invested capital. Tariff set to provide return ON and OF capital. Very stable, predictable.</t>
        </is>
      </c>
      <c r="C7" t="inlineStr">
        <is>
          <t>Regulated Asset Base</t>
        </is>
      </c>
    </row>
    <row r="8" ht="30" customHeight="1">
      <c r="A8" s="18" t="inlineStr">
        <is>
          <t>Construction Period</t>
        </is>
      </c>
      <c r="B8" s="19" t="inlineStr">
        <is>
          <t>Y0-Y2 is construction with no revenue. Must fund construction, then refinance at COD (Commercial Operation Date).</t>
        </is>
      </c>
      <c r="C8" t="inlineStr">
        <is>
          <t>Years before COD</t>
        </is>
      </c>
    </row>
    <row r="9" ht="30" customHeight="1">
      <c r="A9" s="18" t="inlineStr"/>
      <c r="B9" s="19" t="inlineStr"/>
    </row>
    <row r="10" ht="30" customHeight="1">
      <c r="A10" s="21" t="inlineStr">
        <is>
          <t>═══ CONSTRUCTION FINANCING ═══</t>
        </is>
      </c>
      <c r="B10" s="22" t="n"/>
    </row>
    <row r="11" ht="30" customHeight="1">
      <c r="A11" s="18" t="inlineStr">
        <is>
          <t>Construction Loan (85%)</t>
        </is>
      </c>
      <c r="B11" s="19" t="inlineStr">
        <is>
          <t>Short-term loan to fund construction. Higher leverage acceptable because it's temporary.</t>
        </is>
      </c>
    </row>
    <row r="12" ht="30" customHeight="1">
      <c r="A12" s="18" t="inlineStr">
        <is>
          <t>Interest Capitalization</t>
        </is>
      </c>
      <c r="B12" s="19" t="inlineStr">
        <is>
          <t>Construction interest added to RAB. You're earning on the interest you paid - improves economics.</t>
        </is>
      </c>
      <c r="C12">
        <f> Beg Bal × Rate</f>
        <v/>
      </c>
    </row>
    <row r="13" ht="30" customHeight="1">
      <c r="A13" s="18" t="inlineStr">
        <is>
          <t>Phased Equity</t>
        </is>
      </c>
      <c r="B13" s="19" t="inlineStr">
        <is>
          <t>Equity deployed over multiple years as construction progresses. IRR calculation must account for timing.</t>
        </is>
      </c>
    </row>
    <row r="14" ht="30" customHeight="1">
      <c r="A14" s="18" t="inlineStr"/>
      <c r="B14" s="19" t="inlineStr"/>
    </row>
    <row r="15" ht="30" customHeight="1">
      <c r="A15" s="21" t="inlineStr">
        <is>
          <t>═══ RAB CALCULATION ═══</t>
        </is>
      </c>
      <c r="B15" s="22" t="n"/>
      <c r="C15" t="inlineStr">
        <is>
          <t>Regulated Asset Base</t>
        </is>
      </c>
    </row>
    <row r="16" ht="30" customHeight="1">
      <c r="A16" s="18" t="inlineStr">
        <is>
          <t>RAB at COD</t>
        </is>
      </c>
      <c r="B16" s="19" t="inlineStr">
        <is>
          <t>Dev Y0 + Dev Y1 + Construction + Capitalized Interest. This is your 'invested capital' for rate-setting.</t>
        </is>
      </c>
      <c r="C16" t="inlineStr">
        <is>
          <t>Regulated Asset Base</t>
        </is>
      </c>
    </row>
    <row r="17" ht="30" customHeight="1">
      <c r="A17" s="18" t="inlineStr">
        <is>
          <t>RAB Depreciation</t>
        </is>
      </c>
      <c r="B17" s="19" t="inlineStr">
        <is>
          <t>RAB declines as you recover capital through depreciation. Exit RAB = COD RAB - Cumulative Depreciation.</t>
        </is>
      </c>
      <c r="C17" t="inlineStr">
        <is>
          <t>Regulated Asset Base</t>
        </is>
      </c>
    </row>
    <row r="18" ht="30" customHeight="1">
      <c r="A18" s="18" t="inlineStr">
        <is>
          <t>Exit at xRAB Multiple</t>
        </is>
      </c>
      <c r="B18" s="19" t="inlineStr">
        <is>
          <t>Transmission trades at premium to RAB (1.15x) because of stability and growth. Exit EV = Exit RAB × 1.15x.</t>
        </is>
      </c>
      <c r="C18" t="inlineStr">
        <is>
          <t>Regulated Asset Base</t>
        </is>
      </c>
    </row>
    <row r="19" ht="30" customHeight="1">
      <c r="A19" s="18" t="inlineStr"/>
      <c r="B19" s="19" t="inlineStr"/>
    </row>
    <row r="20" ht="30" customHeight="1">
      <c r="A20" s="21" t="inlineStr">
        <is>
          <t>═══ REFINANCING AT COD ═══</t>
        </is>
      </c>
      <c r="B20" s="22" t="n"/>
    </row>
    <row r="21" ht="30" customHeight="1">
      <c r="A21" s="18" t="inlineStr">
        <is>
          <t>What Happens at COD</t>
        </is>
      </c>
      <c r="B21" s="19" t="inlineStr">
        <is>
          <t>Construction loan + capitalized interest repaid. Replaced with term debt (60% of RAB) + refinancing equity.</t>
        </is>
      </c>
    </row>
    <row r="22" ht="30" customHeight="1">
      <c r="A22" s="18" t="inlineStr">
        <is>
          <t>Refi Equity Calculation</t>
        </is>
      </c>
      <c r="B22" s="19" t="inlineStr">
        <is>
          <t>(Construction Loan + Capitalized Interest) - Term Debt = equity needed to bridge the gap.</t>
        </is>
      </c>
    </row>
    <row r="23" ht="30" customHeight="1">
      <c r="A23" s="18" t="inlineStr"/>
      <c r="B23" s="19" t="inlineStr"/>
    </row>
    <row r="24" ht="30" customHeight="1">
      <c r="A24" s="21" t="inlineStr">
        <is>
          <t>═══ DEBT STRUCTURE ═══</t>
        </is>
      </c>
      <c r="B24" s="22" t="n"/>
    </row>
    <row r="25" ht="30" customHeight="1">
      <c r="A25" s="18" t="inlineStr">
        <is>
          <t>Why Sculpted?</t>
        </is>
      </c>
      <c r="B25" s="19" t="inlineStr">
        <is>
          <t>Regulated tariff provides very predictable cash flows. Sculpting is efficient - size debt service to DSCR target.</t>
        </is>
      </c>
    </row>
    <row r="26" ht="30" customHeight="1">
      <c r="A26" s="18" t="inlineStr">
        <is>
          <t>Higher DSCR (1.40x)</t>
        </is>
      </c>
      <c r="B26" s="19" t="inlineStr">
        <is>
          <t>Single-asset, long-lived infrastructure. Higher covenant provides cushion for multi-decade asset life.</t>
        </is>
      </c>
      <c r="C26">
        <f> CFADS / Debt Service</f>
        <v/>
      </c>
    </row>
    <row r="27" ht="30" customHeight="1">
      <c r="A27" s="18" t="inlineStr">
        <is>
          <t>No Debt Y1-Y2</t>
        </is>
      </c>
      <c r="B27" s="19" t="inlineStr">
        <is>
          <t>Construction period - no revenue to service debt. Term debt starts at COD (Y3).</t>
        </is>
      </c>
    </row>
    <row r="28" ht="30" customHeight="1">
      <c r="A28" s="18" t="inlineStr"/>
      <c r="B28" s="19" t="inlineStr"/>
    </row>
    <row r="29" ht="30" customHeight="1">
      <c r="A29" s="21" t="inlineStr">
        <is>
          <t>═══ COMMON IC QUESTIONS ═══</t>
        </is>
      </c>
      <c r="B29" s="22" t="n"/>
    </row>
    <row r="30" ht="30" customHeight="1">
      <c r="A30" s="23" t="inlineStr">
        <is>
          <t>Q: What's the regulatory risk?</t>
        </is>
      </c>
      <c r="B30" s="24" t="inlineStr">
        <is>
          <t>FERC could reduce allowed ROE. Mitigant: historically stable, bipartisan support for transmission investment.</t>
        </is>
      </c>
    </row>
    <row r="31" ht="30" customHeight="1">
      <c r="A31" s="23" t="inlineStr">
        <is>
          <t>Q: Why does transmission trade at premium?</t>
        </is>
      </c>
      <c r="B31" s="24" t="inlineStr">
        <is>
          <t>Stable regulated returns, long asset life (40+ years), critical infrastructure status. Scarcity value.</t>
        </is>
      </c>
    </row>
    <row r="32" ht="30" customHeight="1">
      <c r="A32" s="23" t="inlineStr">
        <is>
          <t>Q: What if construction is delayed?</t>
        </is>
      </c>
      <c r="B32" s="24" t="inlineStr">
        <is>
          <t>Higher capitalized interest, later revenue start. Run sensitivity on COD delay showing IRR impact.</t>
        </is>
      </c>
    </row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25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26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25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26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27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27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27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27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27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27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28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28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28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27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25">
        <f>IF(E83&gt;0,E76/E83,0)</f>
        <v/>
      </c>
      <c r="F85" s="25">
        <f>IF(F83&gt;0,F76/F83,0)</f>
        <v/>
      </c>
      <c r="G85" s="25">
        <f>IF(G83&gt;0,G76/G83,0)</f>
        <v/>
      </c>
      <c r="H85" s="25">
        <f>IF(H83&gt;0,H76/H83,0)</f>
        <v/>
      </c>
      <c r="I85" s="25">
        <f>IF(I83&gt;0,I76/I83,0)</f>
        <v/>
      </c>
      <c r="J85" s="25">
        <f>IF(J83&gt;0,J76/J83,0)</f>
        <v/>
      </c>
      <c r="K85" s="25">
        <f>IF(K83&gt;0,K76/K83,0)</f>
        <v/>
      </c>
      <c r="L85" s="25">
        <f>IF(L83&gt;0,L76/L83,0)</f>
        <v/>
      </c>
      <c r="M85" s="25">
        <f>IF(M83&gt;0,M76/M83,0)</f>
        <v/>
      </c>
      <c r="N85" s="25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26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25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26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2026-01-20T02:10:38Z</dcterms:created>
  <dcterms:modified xmlns:dcterms="http://purl.org/dc/terms/" xmlns:xsi="http://www.w3.org/2001/XMLSchema-instance" xsi:type="dcterms:W3CDTF">2026-01-20T02:50:58Z</dcterms:modified>
</cp:coreProperties>
</file>