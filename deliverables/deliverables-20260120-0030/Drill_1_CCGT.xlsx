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CCGT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CCGT?</t>
        </is>
      </c>
      <c r="B6" s="24" t="inlineStr">
        <is>
          <t>Combined Cycle Gas Turbine - efficient baseload gas plant that uses waste heat from gas turbines to power steam turbines. 'Combined' refers to combining gas and steam cycles for ~60% efficiency vs ~35% for simple cycle.</t>
        </is>
      </c>
    </row>
    <row r="7" ht="30" customHeight="1">
      <c r="A7" s="23" t="inlineStr">
        <is>
          <t>Revenue Streams</t>
        </is>
      </c>
      <c r="B7" s="24" t="inlineStr">
        <is>
          <t>1) Energy revenue (selling power at spot/contract prices) - driven by spark spread (power price - fuel cost)
2) Capacity revenue (payment for being available) - driven by capacity auction prices
Revenue volatility justifies cash sweep structure to accelerate debt paydown during good years.</t>
        </is>
      </c>
    </row>
    <row r="8" ht="30" customHeight="1">
      <c r="A8" s="23" t="inlineStr"/>
      <c r="B8" s="24" t="inlineStr"/>
    </row>
    <row r="9" ht="30" customHeight="1">
      <c r="A9" s="26" t="inlineStr">
        <is>
          <t>═══ INPUTS LOGIC ═══</t>
        </is>
      </c>
      <c r="B9" s="27" t="n"/>
    </row>
    <row r="10" ht="30" customHeight="1">
      <c r="A10" s="23" t="inlineStr">
        <is>
          <t>Entry EV ($520mm)</t>
        </is>
      </c>
      <c r="B10" s="24" t="inlineStr">
        <is>
          <t>Purchase price. EV = Equity + Debt, represents total asset value regardless of financing.</t>
        </is>
      </c>
    </row>
    <row r="11" ht="30" customHeight="1">
      <c r="A11" s="23" t="inlineStr">
        <is>
          <t>Capacity (365 MW)</t>
        </is>
      </c>
      <c r="B11" s="24" t="inlineStr">
        <is>
          <t>Nameplate rating - maximum output. Used to calculate generation and capacity revenue.</t>
        </is>
      </c>
    </row>
    <row r="12" ht="30" customHeight="1">
      <c r="A12" s="23" t="inlineStr">
        <is>
          <t>Heat Rate (7,000 Btu/kWh)</t>
        </is>
      </c>
      <c r="B12" s="24" t="inlineStr">
        <is>
          <t>Fuel efficiency - how much gas needed per kWh. Lower = better. 7,000 is efficient CCGT; peakers are 10,000+.</t>
        </is>
      </c>
    </row>
    <row r="13" ht="30" customHeight="1">
      <c r="A13" s="23" t="inlineStr">
        <is>
          <t>Capacity Factor (55%)</t>
        </is>
      </c>
      <c r="B13" s="24" t="inlineStr">
        <is>
          <t>Actual generation / max possible generation. 55% is typical merchant CCGT - runs when profitable but not always.</t>
        </is>
      </c>
    </row>
    <row r="14" ht="30" customHeight="1">
      <c r="A14" s="23" t="inlineStr">
        <is>
          <t>Forced Outage Rate (5%)</t>
        </is>
      </c>
      <c r="B14" s="24" t="inlineStr">
        <is>
          <t>Unplanned downtime. Reduces UCAP (capacity revenue) because you're paid for reliable capacity, not nameplate.</t>
        </is>
      </c>
    </row>
    <row r="15" ht="30" customHeight="1">
      <c r="A15" s="23" t="inlineStr">
        <is>
          <t>Leverage (45%)</t>
        </is>
      </c>
      <c r="B15" s="24" t="inlineStr">
        <is>
          <t>Debt / EV. 45% is moderate for merchant power - balances returns enhancement with covenant headroom.</t>
        </is>
      </c>
    </row>
    <row r="16" ht="30" customHeight="1">
      <c r="A16" s="23" t="inlineStr">
        <is>
          <t>Cash Sweep (75%)</t>
        </is>
      </c>
      <c r="B16" s="24" t="inlineStr">
        <is>
          <t>Mandatory prepayment of debt from excess cash flow. Higher sweep = faster paydown = lower refinancing risk.</t>
        </is>
      </c>
    </row>
    <row r="17" ht="30" customHeight="1">
      <c r="A17" s="23" t="inlineStr"/>
      <c r="B17" s="24" t="inlineStr"/>
    </row>
    <row r="18" ht="30" customHeight="1">
      <c r="A18" s="26" t="inlineStr">
        <is>
          <t>═══ CALCULATED ITEMS ═══</t>
        </is>
      </c>
      <c r="B18" s="27" t="n"/>
    </row>
    <row r="19" ht="30" customHeight="1">
      <c r="A19" s="23" t="inlineStr">
        <is>
          <t>UCAP (346.75 MW)</t>
        </is>
      </c>
      <c r="B19" s="24" t="inlineStr">
        <is>
          <t>Unforced Capacity = Nameplate × (1 - FOR). This is what you get paid for in capacity markets - your reliable capacity.</t>
        </is>
      </c>
    </row>
    <row r="20" ht="30" customHeight="1">
      <c r="A20" s="23" t="inlineStr">
        <is>
          <t>Generation (1,758,390 MWh)</t>
        </is>
      </c>
      <c r="B20" s="24" t="inlineStr">
        <is>
          <t>Annual output = Capacity × CF × 8,760 hours/year. This drives energy revenue.</t>
        </is>
      </c>
    </row>
    <row r="21" ht="30" customHeight="1">
      <c r="A21" s="23" t="inlineStr"/>
      <c r="B21" s="24" t="inlineStr"/>
    </row>
    <row r="22" ht="30" customHeight="1">
      <c r="A22" s="26" t="inlineStr">
        <is>
          <t>═══ OPERATING MODEL ═══</t>
        </is>
      </c>
      <c r="B22" s="27" t="n"/>
    </row>
    <row r="23" ht="30" customHeight="1">
      <c r="A23" s="23" t="inlineStr">
        <is>
          <t>Price Escalation</t>
        </is>
      </c>
      <c r="B23" s="24" t="inlineStr">
        <is>
          <t>All prices/costs grow at escalation rate (2.5%). Reflects inflation and market dynamics.</t>
        </is>
      </c>
    </row>
    <row r="24" ht="30" customHeight="1">
      <c r="A24" s="23" t="inlineStr">
        <is>
          <t>Energy Revenue</t>
        </is>
      </c>
      <c r="B24" s="24" t="inlineStr">
        <is>
          <t>Generation × Power Price / 1,000,000. Converting MWh × $/MWh to $mm.</t>
        </is>
      </c>
    </row>
    <row r="25" ht="30" customHeight="1">
      <c r="A25" s="23" t="inlineStr">
        <is>
          <t>Capacity Revenue</t>
        </is>
      </c>
      <c r="B25" s="24" t="inlineStr">
        <is>
          <t>UCAP (MW) × $/kW-yr × 1,000 kW/MW / 1,000,000. Note: capacity price is per kW, not MW.</t>
        </is>
      </c>
    </row>
    <row r="26" ht="30" customHeight="1">
      <c r="A26" s="23" t="inlineStr">
        <is>
          <t>Fuel Cost (CRITICAL)</t>
        </is>
      </c>
      <c r="B26" s="24" t="inlineStr">
        <is>
          <t>Generation × Heat Rate × Gas Price / 1,000,000,000.
Dimensional analysis: MWh × Btu/kWh × $/mmBtu / 10^9 = $mm
This is the #1 error candidates make - always verify the divisor.</t>
        </is>
      </c>
    </row>
    <row r="27" ht="30" customHeight="1">
      <c r="A27" s="23" t="inlineStr"/>
      <c r="B27" s="24" t="inlineStr"/>
    </row>
    <row r="28" ht="30" customHeight="1">
      <c r="A28" s="26" t="inlineStr">
        <is>
          <t>═══ DEBT MECHANICS ═══</t>
        </is>
      </c>
      <c r="B28" s="27" t="n"/>
    </row>
    <row r="29" ht="30" customHeight="1">
      <c r="A29" s="23" t="inlineStr">
        <is>
          <t>Why Cash Sweep?</t>
        </is>
      </c>
      <c r="B29" s="24" t="inlineStr">
        <is>
          <t>Merchant assets have volatile CFADS. Sweep structure pays down debt faster during good years, providing cushion for bad years. Alternative is sculpting (seen in contracted assets).</t>
        </is>
      </c>
    </row>
    <row r="30" ht="30" customHeight="1">
      <c r="A30" s="23" t="inlineStr">
        <is>
          <t>DSRA Purpose</t>
        </is>
      </c>
      <c r="B30" s="24" t="inlineStr">
        <is>
          <t>6 months of debt service held in reserve. If CFADS drops, DSRA provides liquidity to make debt payments and avoid covenant breach.</t>
        </is>
      </c>
    </row>
    <row r="31" ht="30" customHeight="1">
      <c r="A31" s="23" t="inlineStr">
        <is>
          <t>Lock-up Test</t>
        </is>
      </c>
      <c r="B31" s="24" t="inlineStr">
        <is>
          <t>If DSCR &lt; 1.10x, distributions are 'locked up' - all cash goes to debt paydown. Protects lenders.</t>
        </is>
      </c>
    </row>
    <row r="32" ht="30" customHeight="1">
      <c r="A32" s="23" t="inlineStr"/>
      <c r="B32" s="24" t="inlineStr"/>
    </row>
    <row r="33" ht="30" customHeight="1">
      <c r="A33" s="26" t="inlineStr">
        <is>
          <t>═══ RETURNS ═══</t>
        </is>
      </c>
      <c r="B33" s="27" t="n"/>
    </row>
    <row r="34" ht="30" customHeight="1">
      <c r="A34" s="23" t="inlineStr">
        <is>
          <t>IRR vs MOIC</t>
        </is>
      </c>
      <c r="B34" s="24" t="inlineStr">
        <is>
          <t>IRR measures time-weighted return (sensitive to timing). MOIC measures total cash-on-cash return (ignores timing). Both matter.</t>
        </is>
      </c>
    </row>
    <row r="35" ht="30" customHeight="1">
      <c r="A35" s="23" t="inlineStr">
        <is>
          <t>Levered vs Unlevered</t>
        </is>
      </c>
      <c r="B35" s="24" t="inlineStr">
        <is>
          <t>Levered IRR = return to equity. Unlevered IRR = return to total capital. Difference is the 'leverage benefit.'</t>
        </is>
      </c>
    </row>
    <row r="36" ht="30" customHeight="1">
      <c r="A36" s="23" t="inlineStr">
        <is>
          <t>Exit at 7.0x EBITDA</t>
        </is>
      </c>
      <c r="B36" s="24" t="inlineStr">
        <is>
          <t>Standard infrastructure exit assumption. Buyer universe: other PE funds, utilities, infrastructure yield vehicles.</t>
        </is>
      </c>
    </row>
    <row r="37" ht="30" customHeight="1">
      <c r="A37" s="23" t="inlineStr"/>
      <c r="B37" s="24" t="inlineStr"/>
    </row>
    <row r="38" ht="30" customHeight="1">
      <c r="A38" s="26" t="inlineStr">
        <is>
          <t>═══ COMMON IC QUESTIONS ═══</t>
        </is>
      </c>
      <c r="B38" s="27" t="n"/>
    </row>
    <row r="39" ht="30" customHeight="1">
      <c r="A39" s="28" t="inlineStr">
        <is>
          <t>Q: Walk me through IRR bridge</t>
        </is>
      </c>
      <c r="B39" s="29" t="inlineStr">
        <is>
          <t>Start with unlevered IRR, add leverage benefit (cheaper debt vs equity), subtract financing costs (interest, fees).</t>
        </is>
      </c>
    </row>
    <row r="40" ht="30" customHeight="1">
      <c r="A40" s="28" t="inlineStr">
        <is>
          <t>Q: What if gas prices spike?</t>
        </is>
      </c>
      <c r="B40" s="29" t="inlineStr">
        <is>
          <t>Higher fuel costs reduce spark spread and EBITDA. Run sensitivity showing EBITDA and DSCR impact.</t>
        </is>
      </c>
    </row>
    <row r="41" ht="30" customHeight="1">
      <c r="A41" s="28" t="inlineStr">
        <is>
          <t>Q: Why 45% leverage?</t>
        </is>
      </c>
      <c r="B41" s="29" t="inlineStr">
        <is>
          <t>Balances return enhancement with covenant headroom. Higher leverage = higher returns but less cushion for volatility.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3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3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3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3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3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3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3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3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$D$54*$D$24*E63/1000000000</f>
        <v/>
      </c>
      <c r="F69" s="18">
        <f>$D$54*$D$24*F63/1000000000</f>
        <v/>
      </c>
      <c r="G69" s="18">
        <f>$D$54*$D$24*G63/1000000000</f>
        <v/>
      </c>
      <c r="H69" s="18">
        <f>$D$54*$D$24*H63/1000000000</f>
        <v/>
      </c>
      <c r="I69" s="18">
        <f>$D$54*$D$24*I63/1000000000</f>
        <v/>
      </c>
      <c r="J69" s="18">
        <f>$D$54*$D$24*J63/1000000000</f>
        <v/>
      </c>
      <c r="K69" s="18">
        <f>$D$54*$D$24*K63/1000000000</f>
        <v/>
      </c>
      <c r="L69" s="18">
        <f>$D$54*$D$24*L63/1000000000</f>
        <v/>
      </c>
      <c r="M69" s="18">
        <f>$D$54*$D$24*M63/1000000000</f>
        <v/>
      </c>
      <c r="N69" s="18">
        <f>$D$54*$D$24*N63/1000000000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IF(E87&gt;0,E80/E87,0)</f>
        <v/>
      </c>
      <c r="F92" s="30">
        <f>IF(F87&gt;0,F80/F87,0)</f>
        <v/>
      </c>
      <c r="G92" s="30">
        <f>IF(G87&gt;0,G80/G87,0)</f>
        <v/>
      </c>
      <c r="H92" s="30">
        <f>IF(H87&gt;0,H80/H87,0)</f>
        <v/>
      </c>
      <c r="I92" s="30">
        <f>IF(I87&gt;0,I80/I87,0)</f>
        <v/>
      </c>
      <c r="J92" s="30">
        <f>IF(J87&gt;0,J80/J87,0)</f>
        <v/>
      </c>
      <c r="K92" s="30">
        <f>IF(K87&gt;0,K80/K87,0)</f>
        <v/>
      </c>
      <c r="L92" s="30">
        <f>IF(L87&gt;0,L80/L87,0)</f>
        <v/>
      </c>
      <c r="M92" s="30">
        <f>IF(M87&gt;0,M80/M87,0)</f>
        <v/>
      </c>
      <c r="N92" s="30">
        <f>IF(N87&gt;0,N80/N87,0)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DS × DSRA Months / 12</t>
        </is>
      </c>
      <c r="D96" s="18">
        <f>E87*$D$42/12</f>
        <v/>
      </c>
      <c r="E96" s="18">
        <f>F87*$D$42/12</f>
        <v/>
      </c>
      <c r="F96" s="18">
        <f>G87*$D$42/12</f>
        <v/>
      </c>
      <c r="G96" s="18">
        <f>H87*$D$42/12</f>
        <v/>
      </c>
      <c r="H96" s="18">
        <f>I87*$D$42/12</f>
        <v/>
      </c>
      <c r="I96" s="18">
        <f>J87*$D$42/12</f>
        <v/>
      </c>
      <c r="J96" s="18">
        <f>K87*$D$42/12</f>
        <v/>
      </c>
      <c r="K96" s="18">
        <f>L87*$D$42/12</f>
        <v/>
      </c>
      <c r="L96" s="18">
        <f>M87*$D$42/12</f>
        <v/>
      </c>
      <c r="M96" s="18">
        <f>N87*$D$42/12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31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30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2026-01-19T22:59:44Z</dcterms:created>
  <dcterms:modified xmlns:dcterms="http://purl.org/dc/terms/" xmlns:xsi="http://www.w3.org/2001/XMLSchema-instance" xsi:type="dcterms:W3CDTF">2026-01-19T23:25:52Z</dcterms:modified>
</cp:coreProperties>
</file>