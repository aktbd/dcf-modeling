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7" authorId="0" shapeId="0">
      <text>
        <t>Fee-for-service revenue. Predictable but volume-dependent. Check MVC terms.</t>
      </text>
    </comment>
    <comment ref="C8" authorId="0" shapeId="0">
      <text>
        <t>Growth phase (Y1-5) as wells connect, then decline (Y6+) as reservoir depletes. Model inflection carefully.</t>
      </text>
    </comment>
    <comment ref="C10" authorId="0" shapeId="0">
      <text>
        <t>Growth phase (Y1-5) as wells connect, then decline (Y6+) as reservoir depletes. Model inflection carefully.</t>
      </text>
    </comment>
    <comment ref="C13" authorId="0" shapeId="0">
      <text>
        <t>Growth phase (Y1-5) as wells connect, then decline (Y6+) as reservoir depletes. Model inflection carefully.</t>
      </text>
    </comment>
    <comment ref="C17" authorId="0" shapeId="0">
      <text>
        <t>Mandatory prepayment from excess cash. Lenders require this for merchant assets to accelerate deleveraging.</t>
      </text>
    </comment>
    <comment ref="C18" authorId="0" shapeId="0">
      <text>
        <t>Higher leverage amplifies equity returns but increases risk. Merchant assets: 40-50%. Contracted: 60-70%.</t>
      </text>
    </comment>
    <comment ref="C23" authorId="0" shapeId="0">
      <text>
        <t>Cash Flow Available for Debt Service. What remains after taxes to pay interest and principal. DSCR = CFADS ÷ DS.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1" t="inlineStr">
        <is>
          <t>MIDSTREAM MODEL - INTUITION GUIDE</t>
        </is>
      </c>
      <c r="B1" s="22" t="inlineStr"/>
    </row>
    <row r="2" ht="30" customHeight="1">
      <c r="A2" s="21" t="inlineStr"/>
      <c r="B2" s="22" t="inlineStr"/>
    </row>
    <row r="3" ht="30" customHeight="1">
      <c r="A3" s="21" t="inlineStr">
        <is>
          <t>SECTION</t>
        </is>
      </c>
      <c r="B3" s="23" t="inlineStr">
        <is>
          <t>WHY IT MATTERS / KEY LOGIC</t>
        </is>
      </c>
    </row>
    <row r="4" ht="30" customHeight="1">
      <c r="A4" s="21" t="inlineStr"/>
      <c r="B4" s="22" t="inlineStr"/>
    </row>
    <row r="5" ht="30" customHeight="1">
      <c r="A5" s="24" t="inlineStr">
        <is>
          <t>═══ BUSINESS CONTEXT ═══</t>
        </is>
      </c>
      <c r="B5" s="25" t="n"/>
    </row>
    <row r="6" ht="30" customHeight="1">
      <c r="A6" s="21" t="inlineStr">
        <is>
          <t>What is Midstream?</t>
        </is>
      </c>
      <c r="B6" s="22" t="inlineStr">
        <is>
          <t>Gas gathering systems collect production from wellheads and deliver to processing plants/pipelines. Fee-for-service model.</t>
        </is>
      </c>
    </row>
    <row r="7" ht="30" customHeight="1">
      <c r="A7" s="21" t="inlineStr">
        <is>
          <t>Fee-for-Service</t>
        </is>
      </c>
      <c r="B7" s="22" t="inlineStr">
        <is>
          <t>Revenue = Volume × Fee ($/Mcf). No commodity exposure - you're paid to move gas, not sell it.</t>
        </is>
      </c>
      <c r="C7" t="inlineStr">
        <is>
          <t>$/Mcf gathering fee</t>
        </is>
      </c>
    </row>
    <row r="8" ht="30" customHeight="1">
      <c r="A8" s="21" t="inlineStr">
        <is>
          <t>Volume Risk</t>
        </is>
      </c>
      <c r="B8" s="22" t="inlineStr">
        <is>
          <t>Key risk is producer activity. If drilling slows, volumes decline. Hence the growth-then-decline profile.</t>
        </is>
      </c>
      <c r="C8">
        <f> Growth then Decline</f>
        <v/>
      </c>
    </row>
    <row r="9" ht="30" customHeight="1">
      <c r="A9" s="21" t="inlineStr"/>
      <c r="B9" s="22" t="inlineStr"/>
    </row>
    <row r="10" ht="30" customHeight="1">
      <c r="A10" s="24" t="inlineStr">
        <is>
          <t>═══ VOLUME PROFILE ═══</t>
        </is>
      </c>
      <c r="B10" s="25" t="n"/>
      <c r="C10">
        <f> Growth then Decline</f>
        <v/>
      </c>
    </row>
    <row r="11" ht="30" customHeight="1">
      <c r="A11" s="21" t="inlineStr">
        <is>
          <t>Growth Phase (Y1-Y5)</t>
        </is>
      </c>
      <c r="B11" s="22" t="inlineStr">
        <is>
          <t>Active drilling - new wells connected. Volume grows 3%/year as producer develops acreage.</t>
        </is>
      </c>
    </row>
    <row r="12" ht="30" customHeight="1">
      <c r="A12" s="21" t="inlineStr">
        <is>
          <t>Decline Phase (Y6-Y10)</t>
        </is>
      </c>
      <c r="B12" s="22" t="inlineStr">
        <is>
          <t>Wells deplete naturally. 5%/year decline as production tails off. No new drilling assumed.</t>
        </is>
      </c>
    </row>
    <row r="13" ht="30" customHeight="1">
      <c r="A13" s="21" t="inlineStr">
        <is>
          <t>Y5 Peak Volume</t>
        </is>
      </c>
      <c r="B13" s="22" t="inlineStr">
        <is>
          <t>Y1 Volume × (1.03)^4 = peak. Then Y6 = Peak × (0.95), Y7 = Peak × (0.95)^2, etc.</t>
        </is>
      </c>
      <c r="C13">
        <f> Growth then Decline</f>
        <v/>
      </c>
    </row>
    <row r="14" ht="30" customHeight="1">
      <c r="A14" s="21" t="inlineStr"/>
      <c r="B14" s="22" t="inlineStr"/>
    </row>
    <row r="15" ht="30" customHeight="1">
      <c r="A15" s="24" t="inlineStr">
        <is>
          <t>═══ FINANCING RATIONALE ═══</t>
        </is>
      </c>
      <c r="B15" s="25" t="n"/>
    </row>
    <row r="16" ht="30" customHeight="1">
      <c r="A16" s="21" t="inlineStr">
        <is>
          <t>Short Tenor (5 years)</t>
        </is>
      </c>
      <c r="B16" s="22" t="inlineStr">
        <is>
          <t>Must pay off debt BEFORE decline phase. Can't service debt with declining cash flows. De-risk early.</t>
        </is>
      </c>
    </row>
    <row r="17" ht="30" customHeight="1">
      <c r="A17" s="21" t="inlineStr">
        <is>
          <t>Aggressive Sweep (75%)</t>
        </is>
      </c>
      <c r="B17" s="22" t="inlineStr">
        <is>
          <t>Maximize paydown during growth phase. Every dollar of sweep reduces refinancing risk.</t>
        </is>
      </c>
      <c r="C17" t="inlineStr">
        <is>
          <t>% of excess cash to prepay</t>
        </is>
      </c>
    </row>
    <row r="18" ht="30" customHeight="1">
      <c r="A18" s="21" t="inlineStr">
        <is>
          <t>Lower Leverage (30%)</t>
        </is>
      </c>
      <c r="B18" s="22" t="inlineStr">
        <is>
          <t>Basin/producer risk. More conservative than contracted assets. Single counterparty exposure.</t>
        </is>
      </c>
      <c r="C18" t="inlineStr">
        <is>
          <t>Debt / EV</t>
        </is>
      </c>
    </row>
    <row r="19" ht="30" customHeight="1">
      <c r="A19" s="21" t="inlineStr">
        <is>
          <t>Higher Rate (7%)</t>
        </is>
      </c>
      <c r="B19" s="22" t="inlineStr">
        <is>
          <t>Basin-specific risk premium. Smaller asset, producer concentration, decline exposure.</t>
        </is>
      </c>
    </row>
    <row r="20" ht="30" customHeight="1">
      <c r="A20" s="21" t="inlineStr"/>
      <c r="B20" s="22" t="inlineStr"/>
    </row>
    <row r="21" ht="30" customHeight="1">
      <c r="A21" s="24" t="inlineStr">
        <is>
          <t>═══ GROWTH CAPEX ═══</t>
        </is>
      </c>
      <c r="B21" s="25" t="n"/>
    </row>
    <row r="22" ht="30" customHeight="1">
      <c r="A22" s="21" t="inlineStr">
        <is>
          <t>Y1-Y5 Only ($2mm/yr)</t>
        </is>
      </c>
      <c r="B22" s="22" t="inlineStr">
        <is>
          <t>Compression, looping to handle growing volumes. Stops in Y6 when growth ends.</t>
        </is>
      </c>
    </row>
    <row r="23" ht="30" customHeight="1">
      <c r="A23" s="21" t="inlineStr">
        <is>
          <t>Impact on CFADS</t>
        </is>
      </c>
      <c r="B23" s="22" t="inlineStr">
        <is>
          <t>Capex reduces CFADS and thus available cash for debt paydown. Factor into covenant analysis.</t>
        </is>
      </c>
      <c r="C23">
        <f> EBITDA − Taxes</f>
        <v/>
      </c>
    </row>
    <row r="24" ht="30" customHeight="1">
      <c r="A24" s="21" t="inlineStr"/>
      <c r="B24" s="22" t="inlineStr"/>
    </row>
    <row r="25" ht="30" customHeight="1">
      <c r="A25" s="24" t="inlineStr">
        <is>
          <t>═══ EXIT CONSIDERATIONS ═══</t>
        </is>
      </c>
      <c r="B25" s="25" t="n"/>
    </row>
    <row r="26" ht="30" customHeight="1">
      <c r="A26" s="21" t="inlineStr">
        <is>
          <t>Compressed Multiple (6.5x)</t>
        </is>
      </c>
      <c r="B26" s="22" t="inlineStr">
        <is>
          <t>Declining asset commands lower multiple than stable/growing assets. Reflects PDP-like value.</t>
        </is>
      </c>
    </row>
    <row r="27" ht="30" customHeight="1">
      <c r="A27" s="21" t="inlineStr">
        <is>
          <t>Exit at Y7 (Not Y10)</t>
        </is>
      </c>
      <c r="B27" s="22" t="inlineStr">
        <is>
          <t>Better exit in early decline (Y7) when volumes still meaningful, vs late decline (Y10) with lower EBITDA.</t>
        </is>
      </c>
    </row>
    <row r="28" ht="30" customHeight="1">
      <c r="A28" s="21" t="inlineStr">
        <is>
          <t>Buyer Universe</t>
        </is>
      </c>
      <c r="B28" s="22" t="inlineStr">
        <is>
          <t>Producer looking for vertical integration, larger midstream looking for bolt-on, PE doing roll-up.</t>
        </is>
      </c>
    </row>
    <row r="29" ht="30" customHeight="1">
      <c r="A29" s="21" t="inlineStr"/>
      <c r="B29" s="22" t="inlineStr"/>
    </row>
    <row r="30" ht="30" customHeight="1">
      <c r="A30" s="24" t="inlineStr">
        <is>
          <t>═══ COMMON IC QUESTIONS ═══</t>
        </is>
      </c>
      <c r="B30" s="25" t="n"/>
    </row>
    <row r="31" ht="30" customHeight="1">
      <c r="A31" s="26" t="inlineStr">
        <is>
          <t>Q: What if producer goes bankrupt?</t>
        </is>
      </c>
      <c r="B31" s="27" t="inlineStr">
        <is>
          <t>Volume risk - gatherer has no MVC protection typically. Counter: producer needs gatherer to monetize gas.</t>
        </is>
      </c>
    </row>
    <row r="32" ht="30" customHeight="1">
      <c r="A32" s="26" t="inlineStr">
        <is>
          <t>Q: Why not longer hold period?</t>
        </is>
      </c>
      <c r="B32" s="27" t="inlineStr">
        <is>
          <t>Exit before steep decline. Y7 EBITDA &gt; Y10 EBITDA. Don't ride declining asset down.</t>
        </is>
      </c>
    </row>
    <row r="33" ht="30" customHeight="1">
      <c r="A33" s="26" t="inlineStr">
        <is>
          <t>Q: Commodity exposure?</t>
        </is>
      </c>
      <c r="B33" s="27" t="inlineStr">
        <is>
          <t>Fee-for-service = no direct commodity risk. But indirectly: low gas prices = less drilling = lower volumes.</t>
        </is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2026-01-20T02:10:39Z</dcterms:created>
  <dcterms:modified xmlns:dcterms="http://purl.org/dc/terms/" xmlns:xsi="http://www.w3.org/2001/XMLSchema-instance" xsi:type="dcterms:W3CDTF">2026-01-20T02:50:58Z</dcterms:modified>
</cp:coreProperties>
</file>