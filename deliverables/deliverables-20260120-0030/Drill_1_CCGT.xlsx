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2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61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9" t="inlineStr">
        <is>
          <t>+/- 5% Entry → ~+/- 1% IRR</t>
        </is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  <c r="M5" s="59" t="inlineStr">
        <is>
          <t>+/- 0.5x Exit → ~+/- 1.5% IRR</t>
        </is>
      </c>
    </row>
    <row r="6">
      <c r="A6" s="49" t="inlineStr">
        <is>
          <t>Min DSCR</t>
        </is>
      </c>
      <c r="B6" s="49" t="inlineStr">
        <is>
          <t>x</t>
        </is>
      </c>
      <c r="C6" s="49" t="inlineStr">
        <is>
          <t>Minimum debt service coverage ratio</t>
        </is>
      </c>
      <c r="D6" s="60">
        <f>IF(COUNTIF(E104:K104,"&gt;0")&gt;0,MINIFS(E104:K104,E104:K104,"&gt;0"),0)</f>
        <v/>
      </c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B20" s="49" t="n"/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n"/>
      <c r="C22" s="6" t="n"/>
      <c r="D22" s="10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Debt Payoff Y7</t>
        </is>
      </c>
      <c r="B23" s="6" t="n"/>
      <c r="C23" s="6" t="n"/>
      <c r="D23" s="10">
        <f>IF(K103&lt;1,"PASS","FAIL")</f>
        <v/>
      </c>
    </row>
    <row r="24">
      <c r="A24" s="5" t="inlineStr">
        <is>
          <t>Min DSCR ≥ 1.25x</t>
        </is>
      </c>
      <c r="B24" s="6" t="n"/>
      <c r="C24" s="6" t="inlineStr">
        <is>
          <t>CFADS / Debt Service</t>
        </is>
      </c>
      <c r="D24" s="10">
        <f>IF(D6&gt;=1.25,"PASS","FAIL")</f>
        <v/>
      </c>
    </row>
    <row r="25">
      <c r="A25" s="5" t="n"/>
      <c r="B25" s="6" t="n"/>
      <c r="C25" s="6" t="n"/>
      <c r="D25" s="10" t="n"/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>
      <c r="A32" s="5" t="n"/>
      <c r="B32" s="6" t="n"/>
      <c r="C32" s="6" t="n"/>
      <c r="D32" s="14" t="n"/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>
      <c r="A38" s="5" t="n"/>
      <c r="B38" s="6" t="n"/>
      <c r="C38" s="6" t="n"/>
      <c r="D38" s="32" t="n"/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>
      <c r="A44" s="5" t="n"/>
      <c r="B44" s="6" t="n"/>
      <c r="C44" s="6" t="n"/>
      <c r="D44" s="32" t="n"/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>
      <c r="A48" s="5" t="n"/>
      <c r="B48" s="6" t="n"/>
      <c r="C48" s="6" t="n"/>
      <c r="D48" s="15" t="n"/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>
      <c r="A56" s="5" t="n"/>
      <c r="B56" s="6" t="n"/>
      <c r="C56" s="6" t="n"/>
      <c r="D56" s="33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>
      <c r="A61" s="5" t="n"/>
      <c r="B61" s="6" t="n"/>
      <c r="C61" s="6" t="n"/>
      <c r="D61" s="14" t="n"/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69">
      <c r="A69" s="5" t="n"/>
      <c r="B69" s="6" t="n"/>
      <c r="C69" s="6" t="n"/>
      <c r="D69" s="18" t="n"/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D72" s="4" t="n"/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5">
      <c r="A75" s="5" t="n"/>
      <c r="B75" s="6" t="n"/>
      <c r="C75" s="6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62" t="n"/>
      <c r="F76" s="62" t="n"/>
      <c r="G76" s="62" t="n"/>
      <c r="H76" s="62" t="n"/>
      <c r="I76" s="62" t="n"/>
      <c r="J76" s="62" t="n"/>
      <c r="K76" s="62" t="n"/>
      <c r="L76" s="62" t="n"/>
      <c r="M76" s="62" t="n"/>
      <c r="N76" s="62" t="n"/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62" t="n"/>
      <c r="F77" s="62" t="n"/>
      <c r="G77" s="62" t="n"/>
      <c r="H77" s="62" t="n"/>
      <c r="I77" s="62" t="n"/>
      <c r="J77" s="62" t="n"/>
      <c r="K77" s="62" t="n"/>
      <c r="L77" s="62" t="n"/>
      <c r="M77" s="62" t="n"/>
      <c r="N77" s="62" t="n"/>
    </row>
    <row r="78">
      <c r="A78" s="5" t="inlineStr">
        <is>
          <t>Total Revenue</t>
        </is>
      </c>
      <c r="B78" s="6" t="inlineStr">
        <is>
          <t>$mm</t>
        </is>
      </c>
      <c r="C78" s="6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</row>
    <row r="79">
      <c r="A79" s="5" t="n"/>
      <c r="B79" s="6" t="n"/>
      <c r="C79" s="6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62" t="n"/>
      <c r="F80" s="62" t="n"/>
      <c r="G80" s="62" t="n"/>
      <c r="H80" s="62" t="n"/>
      <c r="I80" s="62" t="n"/>
      <c r="J80" s="62" t="n"/>
      <c r="K80" s="62" t="n"/>
      <c r="L80" s="62" t="n"/>
      <c r="M80" s="62" t="n"/>
      <c r="N80" s="62" t="n"/>
    </row>
    <row r="81">
      <c r="A81" s="34" t="inlineStr">
        <is>
          <t>Spark Spread</t>
        </is>
      </c>
      <c r="B81" s="6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6">
        <f>E72-($D$35/1000)*E74</f>
        <v/>
      </c>
      <c r="F81" s="56">
        <f>F72-($D$35/1000)*F74</f>
        <v/>
      </c>
      <c r="G81" s="56">
        <f>G72-($D$35/1000)*G74</f>
        <v/>
      </c>
      <c r="H81" s="56">
        <f>H72-($D$35/1000)*H74</f>
        <v/>
      </c>
      <c r="I81" s="56">
        <f>I72-($D$35/1000)*I74</f>
        <v/>
      </c>
      <c r="J81" s="56">
        <f>J72-($D$35/1000)*J74</f>
        <v/>
      </c>
      <c r="K81" s="56">
        <f>K72-($D$35/1000)*K74</f>
        <v/>
      </c>
      <c r="L81" s="56">
        <f>L72-($D$35/1000)*L74</f>
        <v/>
      </c>
      <c r="M81" s="56">
        <f>M72-($D$35/1000)*M74</f>
        <v/>
      </c>
      <c r="N81" s="56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62" t="n"/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62" t="n"/>
      <c r="F83" s="62" t="n"/>
      <c r="G83" s="62" t="n"/>
      <c r="H83" s="62" t="n"/>
      <c r="I83" s="62" t="n"/>
      <c r="J83" s="62" t="n"/>
      <c r="K83" s="62" t="n"/>
      <c r="L83" s="62" t="n"/>
      <c r="M83" s="62" t="n"/>
      <c r="N83" s="62" t="n"/>
    </row>
    <row r="84">
      <c r="A84" s="5" t="inlineStr">
        <is>
          <t>Total Operating Costs</t>
        </is>
      </c>
      <c r="B84" s="6" t="inlineStr">
        <is>
          <t>$mm</t>
        </is>
      </c>
      <c r="C84" s="6" t="n"/>
      <c r="E84" s="62" t="n"/>
      <c r="F84" s="62" t="n"/>
      <c r="G84" s="62" t="n"/>
      <c r="H84" s="62" t="n"/>
      <c r="I84" s="62" t="n"/>
      <c r="J84" s="62" t="n"/>
      <c r="K84" s="62" t="n"/>
      <c r="L84" s="62" t="n"/>
      <c r="M84" s="62" t="n"/>
      <c r="N84" s="62" t="n"/>
    </row>
    <row r="85">
      <c r="A85" s="5" t="n"/>
      <c r="B85" s="6" t="n"/>
      <c r="C85" s="6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</row>
    <row r="87">
      <c r="A87" s="5" t="n"/>
      <c r="B87" s="6" t="n"/>
      <c r="C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D90" s="4" t="n"/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62" t="n"/>
      <c r="F91" s="62" t="n"/>
      <c r="G91" s="62" t="n"/>
      <c r="H91" s="62" t="n"/>
      <c r="I91" s="62" t="n"/>
      <c r="J91" s="62" t="n"/>
      <c r="K91" s="62" t="n"/>
      <c r="L91" s="62" t="n"/>
      <c r="M91" s="62" t="n"/>
      <c r="N91" s="62" t="n"/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</row>
    <row r="93">
      <c r="A93" s="5" t="n"/>
      <c r="B93" s="6" t="n"/>
      <c r="C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n"/>
      <c r="D96" s="4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62" t="n"/>
      <c r="F97" s="62" t="n"/>
      <c r="G97" s="62" t="n"/>
      <c r="H97" s="62" t="n"/>
      <c r="I97" s="62" t="n"/>
      <c r="J97" s="62" t="n"/>
      <c r="K97" s="62" t="n"/>
      <c r="L97" s="62" t="n"/>
      <c r="M97" s="62" t="n"/>
      <c r="N97" s="62" t="n"/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62" t="n"/>
      <c r="F98" s="62" t="n"/>
      <c r="G98" s="62" t="n"/>
      <c r="H98" s="62" t="n"/>
      <c r="I98" s="62" t="n"/>
      <c r="J98" s="62" t="n"/>
      <c r="K98" s="62" t="n"/>
      <c r="L98" s="62" t="n"/>
      <c r="M98" s="62" t="n"/>
      <c r="N98" s="62" t="n"/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62" t="n"/>
      <c r="F99" s="62" t="n"/>
      <c r="G99" s="62" t="n"/>
      <c r="H99" s="62" t="n"/>
      <c r="I99" s="62" t="n"/>
      <c r="J99" s="62" t="n"/>
      <c r="K99" s="62" t="n"/>
      <c r="L99" s="62" t="n"/>
      <c r="M99" s="62" t="n"/>
      <c r="N99" s="62" t="n"/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62" t="n"/>
      <c r="F101" s="62" t="n"/>
      <c r="G101" s="62" t="n"/>
      <c r="H101" s="62" t="n"/>
      <c r="I101" s="62" t="n"/>
      <c r="J101" s="62" t="n"/>
      <c r="K101" s="62" t="n"/>
      <c r="L101" s="62" t="n"/>
      <c r="M101" s="62" t="n"/>
      <c r="N101" s="62" t="n"/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62" t="n"/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62" t="n"/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A106" s="5" t="n"/>
      <c r="B106" s="6" t="n"/>
      <c r="C106" s="6" t="n"/>
      <c r="E106" s="18">
        <f>MAX(0,$D$66-(1-1)*$D$68)*$D$51+$D$68</f>
        <v/>
      </c>
      <c r="F106" s="18">
        <f>MAX(0,$D$66-(2-1)*$D$68)*$D$51+$D$68</f>
        <v/>
      </c>
      <c r="G106" s="18">
        <f>MAX(0,$D$66-(3-1)*$D$68)*$D$51+$D$68</f>
        <v/>
      </c>
      <c r="H106" s="18">
        <f>MAX(0,$D$66-(4-1)*$D$68)*$D$51+$D$68</f>
        <v/>
      </c>
      <c r="I106" s="18">
        <f>MAX(0,$D$66-(5-1)*$D$68)*$D$51+$D$68</f>
        <v/>
      </c>
      <c r="J106" s="18">
        <f>MAX(0,$D$66-(6-1)*$D$68)*$D$51+$D$68</f>
        <v/>
      </c>
      <c r="K106" s="18">
        <f>MAX(0,$D$66-(7-1)*$D$68)*$D$51+$D$68</f>
        <v/>
      </c>
      <c r="L106" s="18">
        <f>MAX(0,$D$66-(8-1)*$D$68)*$D$51+$D$68</f>
        <v/>
      </c>
      <c r="M106" s="18">
        <f>MAX(0,$D$66-(9-1)*$D$68)*$D$51+$D$68</f>
        <v/>
      </c>
      <c r="N106" s="18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n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62" t="n"/>
      <c r="F111" s="62" t="n"/>
      <c r="G111" s="62" t="n"/>
      <c r="H111" s="62" t="n"/>
      <c r="I111" s="62" t="n"/>
      <c r="J111" s="62" t="n"/>
      <c r="K111" s="62" t="n"/>
      <c r="L111" s="62" t="n"/>
      <c r="M111" s="62" t="n"/>
      <c r="N111" s="62" t="n"/>
    </row>
    <row r="112">
      <c r="A112" s="5" t="n"/>
      <c r="B112" s="6" t="n"/>
      <c r="C112" s="6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D115" s="4" t="n"/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n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</row>
    <row r="118">
      <c r="A118" s="5" t="n"/>
      <c r="B118" s="6" t="n"/>
      <c r="C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n"/>
      <c r="C121" s="6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n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n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n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n"/>
      <c r="D125" s="7">
        <f>D122+D123+D124</f>
        <v/>
      </c>
    </row>
    <row r="126">
      <c r="A126" s="5" t="n"/>
      <c r="B126" s="6" t="n"/>
      <c r="C126" s="6" t="n"/>
      <c r="D126" s="7">
        <f>$D$28*$D$29</f>
        <v/>
      </c>
    </row>
    <row r="127">
      <c r="A127" s="23" t="inlineStr">
        <is>
          <t>SOURCES</t>
        </is>
      </c>
      <c r="B127" s="6" t="n"/>
      <c r="C127" s="6" t="n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n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n"/>
      <c r="D130" s="7">
        <f>D128+D129</f>
        <v/>
      </c>
    </row>
    <row r="131">
      <c r="A131" s="5" t="inlineStr">
        <is>
          <t>Balance Check</t>
        </is>
      </c>
      <c r="B131" s="6" t="n"/>
      <c r="C131" s="6" t="n"/>
      <c r="D131" s="10">
        <f>$D$28*$D$50</f>
        <v/>
      </c>
    </row>
    <row r="132">
      <c r="A132" s="5" t="n"/>
      <c r="B132" s="6" t="n"/>
      <c r="C132" s="6" t="n"/>
      <c r="D132" s="10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 s="4">
        <f>D128-D133</f>
        <v/>
      </c>
      <c r="E135" s="4" t="n"/>
      <c r="F135" s="4" t="n"/>
      <c r="G135" s="4" t="n"/>
      <c r="H135" s="4" t="n"/>
      <c r="I135" s="4" t="n"/>
      <c r="J135" s="4" t="n"/>
      <c r="K135" s="18">
        <f>$D$19*K74</f>
        <v/>
      </c>
      <c r="L135" s="4" t="n"/>
      <c r="M135" s="4" t="n"/>
      <c r="N135" s="4" t="n"/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s="5" t="inlineStr">
        <is>
          <t>Exit EBITDA</t>
        </is>
      </c>
      <c r="B139" s="6" t="n"/>
      <c r="C139" s="6" t="n"/>
      <c r="D139">
        <f>K86</f>
        <v/>
      </c>
      <c r="K139" s="7" t="n"/>
    </row>
    <row r="140">
      <c r="A140" s="3" t="inlineStr">
        <is>
          <t>Exit EV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n"/>
      <c r="D141" s="18">
        <f>-D129</f>
        <v/>
      </c>
      <c r="E141" s="62" t="n"/>
      <c r="F141" s="62" t="n"/>
      <c r="G141" s="62" t="n"/>
      <c r="H141" s="62" t="n"/>
      <c r="I141" s="62" t="n"/>
      <c r="J141" s="62" t="n"/>
      <c r="K141" s="62" t="n"/>
      <c r="L141" s="62" t="n"/>
      <c r="M141" s="62" t="n"/>
      <c r="N141" s="62" t="n"/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65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</row>
    <row r="143">
      <c r="A143" s="5" t="inlineStr">
        <is>
          <t>Exit Equity Proceeds</t>
        </is>
      </c>
      <c r="B143" s="6" t="inlineStr">
        <is>
          <t>x</t>
        </is>
      </c>
      <c r="C143" s="6" t="inlineStr">
        <is>
          <t>Sum inflows / outflow</t>
        </is>
      </c>
      <c r="D143" s="30">
        <f>D140-D144+D145</f>
        <v/>
      </c>
    </row>
    <row r="144">
      <c r="A144" s="5" t="inlineStr">
        <is>
          <t>Exit Debt Balance</t>
        </is>
      </c>
      <c r="B144" s="6" t="n"/>
      <c r="C144" s="6" t="n"/>
      <c r="D144" s="30">
        <f>K103</f>
        <v/>
      </c>
    </row>
    <row r="145">
      <c r="A145" s="23" t="inlineStr">
        <is>
          <t>Exit DSRA Release</t>
        </is>
      </c>
      <c r="B145" s="6" t="n"/>
      <c r="C145" s="6" t="n"/>
      <c r="D145">
        <f>K111</f>
        <v/>
      </c>
    </row>
    <row r="146">
      <c r="A146" s="5" t="inlineStr">
        <is>
          <t>Unlevered Cash Flow</t>
        </is>
      </c>
      <c r="B146" s="6" t="inlineStr">
        <is>
          <t>$mm</t>
        </is>
      </c>
      <c r="C146" s="6" t="n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MOIC</t>
        </is>
      </c>
      <c r="B147" s="6" t="inlineStr">
        <is>
          <t>%</t>
        </is>
      </c>
      <c r="C147" s="6" t="inlineStr">
        <is>
          <t>IRR of Equity CFs</t>
        </is>
      </c>
      <c r="D147" s="64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</row>
    <row r="148">
      <c r="A148" s="5" t="n"/>
      <c r="B148" s="6" t="n"/>
      <c r="C148" s="6" t="n"/>
      <c r="D148" s="60">
        <f>(SUM(E146:K146))/-D146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2026-01-21T03:03:36Z</dcterms:modified>
</cp:coreProperties>
</file>