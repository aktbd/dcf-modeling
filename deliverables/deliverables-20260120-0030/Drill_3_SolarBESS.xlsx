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ition Guid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_Quick" sheetId="4" state="visible" r:id="rId4"/>
    <sheet xmlns:r="http://schemas.openxmlformats.org/officeDocument/2006/relationships" name="Model_Standard" sheetId="5" state="visible" r:id="rId5"/>
    <sheet xmlns:r="http://schemas.openxmlformats.org/officeDocument/2006/relationships" name="Model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_);(#,##0.0)"/>
    <numFmt numFmtId="165" formatCode="0.00&quot;x&quot;"/>
    <numFmt numFmtId="166" formatCode="0.0%"/>
    <numFmt numFmtId="167" formatCode="#,##0.0"/>
  </numFmts>
  <fonts count="19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b val="1"/>
    </font>
    <font>
      <i val="1"/>
      <color rgb="000066CC"/>
    </font>
    <font>
      <b val="1"/>
      <sz val="12"/>
    </font>
    <font>
      <b val="1"/>
      <sz val="11"/>
    </font>
    <font>
      <b val="1"/>
      <color rgb="001F4E79"/>
      <sz val="14"/>
    </font>
    <font>
      <sz val="10"/>
    </font>
    <font>
      <b val="1"/>
      <color rgb="001F4E79"/>
      <sz val="12"/>
    </font>
    <font/>
    <font>
      <b val="1"/>
      <i val="1"/>
      <color rgb="00666666"/>
    </font>
    <font>
      <b val="1"/>
      <color rgb="00C00000"/>
      <sz val="11"/>
    </font>
    <font>
      <b val="1"/>
      <sz val="9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DEEAF6"/>
        <bgColor rgb="00DE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applyAlignment="1" pivotButton="0" quotePrefix="0" xfId="0">
      <alignment wrapText="1"/>
    </xf>
    <xf numFmtId="0" fontId="2" fillId="6" borderId="0" pivotButton="0" quotePrefix="0" xfId="0"/>
    <xf numFmtId="0" fontId="4" fillId="6" borderId="0" applyAlignment="1" pivotButton="0" quotePrefix="0" xfId="0">
      <alignment wrapText="1"/>
    </xf>
    <xf numFmtId="165" fontId="2" fillId="4" borderId="1" pivotButton="0" quotePrefix="0" xfId="0"/>
    <xf numFmtId="166" fontId="2" fillId="4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9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5" fontId="0" fillId="4" borderId="0" pivotButton="0" quotePrefix="0" xfId="0"/>
    <xf numFmtId="0" fontId="6" fillId="3" borderId="0" pivotButton="0" quotePrefix="0" xfId="0"/>
    <xf numFmtId="167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14" fillId="0" borderId="1" pivotButton="0" quotePrefix="0" xfId="0"/>
    <xf numFmtId="165" fontId="14" fillId="0" borderId="1" pivotButton="0" quotePrefix="0" xfId="0"/>
    <xf numFmtId="166" fontId="14" fillId="0" borderId="1" pivotButton="0" quotePrefix="0" xfId="0"/>
    <xf numFmtId="0" fontId="7" fillId="0" borderId="0" applyAlignment="1" pivotButton="0" quotePrefix="0" xfId="0">
      <alignment horizontal="left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6" t="inlineStr">
        <is>
          <t>Intuition Guide - 3_SolarBESS</t>
        </is>
      </c>
    </row>
    <row r="2">
      <c r="A2" s="1" t="inlineStr">
        <is>
          <t>LOTUS INFRASTRUCTURE PARTNERS</t>
        </is>
      </c>
    </row>
    <row r="3">
      <c r="A3" s="1" t="inlineStr">
        <is>
          <t>CASE STUDY: SOLAR PV + BATTERY ENERGY STORAGE ACQUISITION</t>
        </is>
      </c>
    </row>
    <row r="4">
      <c r="A4">
        <f>==========================================================================</f>
        <v/>
      </c>
    </row>
    <row r="6">
      <c r="A6" t="inlineStr">
        <is>
          <t>TIME: 4 Hours | DATE: January 2026 | DELIVERABLES: Model + IC Memo</t>
        </is>
      </c>
    </row>
    <row r="8">
      <c r="A8" s="31" t="inlineStr">
        <is>
          <t>--- MODEL TIMELINE ---</t>
        </is>
      </c>
    </row>
    <row r="9">
      <c r="A9" t="inlineStr">
        <is>
          <t>Year 0 (2025): Transaction close Q4</t>
        </is>
      </c>
    </row>
    <row r="10">
      <c r="A10" t="inlineStr">
        <is>
          <t>Year 1 (2026): First full year; PPA Year 3</t>
        </is>
      </c>
    </row>
    <row r="11">
      <c r="A11" t="inlineStr">
        <is>
          <t>Year 13 (2038): PPA expiration; merchant transition</t>
        </is>
      </c>
    </row>
    <row r="12">
      <c r="A12" t="inlineStr">
        <is>
          <t>Year 15 (2040): End of typical solar asset life</t>
        </is>
      </c>
    </row>
    <row r="14">
      <c r="A14" s="31" t="inlineStr">
        <is>
          <t>--- SITUATION ---</t>
        </is>
      </c>
    </row>
    <row r="15">
      <c r="A15" s="34" t="inlineStr">
        <is>
          <t>Lotus Infrastructure Partners is evaluating a 150 MW solar PV facility
with co-located 75 MW / 300 MWh battery storage in ERCOT West zone. The
project achieved COD in Q1 2024 (operating ~2 years).</t>
        </is>
      </c>
    </row>
    <row r="17">
      <c r="A17" s="34" t="inlineStr">
        <is>
          <t>The solar facility has a 15-year fixed-price PPA at $35/MWh with an IG utility
offtaker (A- rating). Approximately 13 years remain from close. Post-PPA
revenue depends on merchant market conditions.</t>
        </is>
      </c>
    </row>
    <row r="19">
      <c r="A19" s="34" t="inlineStr">
        <is>
          <t>The battery generates revenue through energy arbitrage and ancillary services,
limited to ~365 cycles/year for warranty preservation. The project received
30% ITC at COD (already monetized) with MACRS depreciation through Year 6.</t>
        </is>
      </c>
    </row>
    <row r="21">
      <c r="A21" s="34" t="inlineStr">
        <is>
          <t>The seller is asking $280mm with bids due by February 28, 2026.</t>
        </is>
      </c>
    </row>
    <row r="23">
      <c r="A23" s="31" t="inlineStr">
        <is>
          <t>--- KEY VALUE DRIVERS ---</t>
        </is>
      </c>
    </row>
    <row r="24">
      <c r="A24" t="inlineStr">
        <is>
          <t>* PPA Price/Tenor: Contracted revenue at $35/MWh for 13 remaining years</t>
        </is>
      </c>
    </row>
    <row r="25">
      <c r="A25" t="inlineStr">
        <is>
          <t>* Degradation: 0.5%/year panel efficiency loss - compounds over time</t>
        </is>
      </c>
    </row>
    <row r="26">
      <c r="A26" t="inlineStr">
        <is>
          <t>* Battery Cycling: 365 cycles/year limit; affects arbitrage opportunity</t>
        </is>
      </c>
    </row>
    <row r="27">
      <c r="A27" t="inlineStr">
        <is>
          <t>* Post-PPA Merchant: Tail value uncertain; conservative assumptions key</t>
        </is>
      </c>
    </row>
    <row r="29">
      <c r="A29" s="31" t="inlineStr">
        <is>
          <t>--- STEP-BY-STEP MODEL BUILDING GUIDE ---</t>
        </is>
      </c>
    </row>
    <row r="30">
      <c r="A30" s="34" t="inlineStr">
        <is>
          <t>STEP-BY-STEP MODEL BUILDING GUIDE FOR SOLAR+BESS</t>
        </is>
      </c>
    </row>
    <row r="31">
      <c r="A31" s="34" t="inlineStr"/>
    </row>
    <row r="32">
      <c r="A32" s="34" t="inlineStr">
        <is>
          <t>KEY DIFFERENCES:</t>
        </is>
      </c>
    </row>
    <row r="33">
      <c r="A33" s="34" t="inlineStr">
        <is>
          <t>- NO fuel cost - margins effectively 100%</t>
        </is>
      </c>
    </row>
    <row r="34">
      <c r="A34" s="34" t="inlineStr">
        <is>
          <t>- Degradation reduces output each year (compounds!)</t>
        </is>
      </c>
    </row>
    <row r="35">
      <c r="A35" s="34" t="inlineStr">
        <is>
          <t>- PPA provides contracted revenue</t>
        </is>
      </c>
    </row>
    <row r="36">
      <c r="A36" s="34" t="inlineStr">
        <is>
          <t>- Tax treatment: ITC taken, MACRS shield through Y6</t>
        </is>
      </c>
    </row>
    <row r="37">
      <c r="A37" s="34" t="inlineStr"/>
    </row>
    <row r="38">
      <c r="A38" s="34" t="inlineStr">
        <is>
          <t>1. SET UP INPUTS</t>
        </is>
      </c>
    </row>
    <row r="39">
      <c r="A39" s="34" t="inlineStr">
        <is>
          <t xml:space="preserve">   - Solar Capacity: 150 MW</t>
        </is>
      </c>
    </row>
    <row r="40">
      <c r="A40" s="34" t="inlineStr">
        <is>
          <t xml:space="preserve">   - Capacity Factor: 25-28%</t>
        </is>
      </c>
    </row>
    <row r="41">
      <c r="A41" s="34" t="inlineStr">
        <is>
          <t xml:space="preserve">   - Degradation: 0.5%/year (COMPOUNDS)</t>
        </is>
      </c>
    </row>
    <row r="42">
      <c r="A42" s="34" t="inlineStr">
        <is>
          <t xml:space="preserve">   - PPA Price: $35/MWh (fixed)</t>
        </is>
      </c>
    </row>
    <row r="43">
      <c r="A43" s="34" t="inlineStr">
        <is>
          <t xml:space="preserve">   - PPA Tenor: 13 years remaining</t>
        </is>
      </c>
    </row>
    <row r="44">
      <c r="A44" s="34" t="inlineStr">
        <is>
          <t xml:space="preserve">   - Post-PPA Price: Conservative merchant</t>
        </is>
      </c>
    </row>
    <row r="45">
      <c r="A45" s="34" t="inlineStr"/>
    </row>
    <row r="46">
      <c r="A46" s="34" t="inlineStr">
        <is>
          <t>2. BUILD GENERATION WITH DEGRADATION</t>
        </is>
      </c>
    </row>
    <row r="47">
      <c r="A47" s="34" t="inlineStr">
        <is>
          <t xml:space="preserve">   Year 1 Generation = Capacity x CF x 8760</t>
        </is>
      </c>
    </row>
    <row r="48">
      <c r="A48" s="34" t="inlineStr">
        <is>
          <t xml:space="preserve">   Year n Generation = Year 1 x (1 - Degradation)^(n-1)</t>
        </is>
      </c>
    </row>
    <row r="49">
      <c r="A49" s="34" t="inlineStr">
        <is>
          <t xml:space="preserve">   Example: Y10 = Y1 x 0.995^9 = ~95.6% of Y1</t>
        </is>
      </c>
    </row>
    <row r="50">
      <c r="A50" s="34" t="inlineStr"/>
    </row>
    <row r="51">
      <c r="A51" s="34" t="inlineStr">
        <is>
          <t>3. BUILD TAX SCHEDULE</t>
        </is>
      </c>
    </row>
    <row r="52">
      <c r="A52" s="34" t="inlineStr">
        <is>
          <t xml:space="preserve">   - Years 1-6: MACRS shield = ZERO taxes</t>
        </is>
      </c>
    </row>
    <row r="53">
      <c r="A53" s="34" t="inlineStr">
        <is>
          <t xml:space="preserve">   - Years 7+: Normal taxation</t>
        </is>
      </c>
    </row>
    <row r="54">
      <c r="A54" s="34" t="inlineStr">
        <is>
          <t xml:space="preserve">   Formula: =IF(Year &lt;= Shield_Years, 0, MAX(0, EBIT) x Rate)</t>
        </is>
      </c>
    </row>
    <row r="55">
      <c r="A55" s="34" t="inlineStr"/>
    </row>
    <row r="56">
      <c r="A56" s="34" t="inlineStr">
        <is>
          <t>4. SCULPTED DEBT (NOT Cash Sweep)</t>
        </is>
      </c>
    </row>
    <row r="57">
      <c r="A57" s="34" t="inlineStr">
        <is>
          <t xml:space="preserve">   Solar+BESS with PPA uses SCULPTED debt:</t>
        </is>
      </c>
    </row>
    <row r="58">
      <c r="A58" s="34" t="inlineStr">
        <is>
          <t xml:space="preserve">   - Cash flows predictable (contracted)</t>
        </is>
      </c>
    </row>
    <row r="59">
      <c r="A59" s="34" t="inlineStr">
        <is>
          <t xml:space="preserve">   - Lenders comfortable with 1.30-1.40x DSCR</t>
        </is>
      </c>
    </row>
    <row r="60">
      <c r="A60" s="34" t="inlineStr">
        <is>
          <t xml:space="preserve">   Sculpted Principal = MIN(MAX(0, CFADS/Target_DSCR - Interest), Beg_Bal)</t>
        </is>
      </c>
    </row>
    <row r="62">
      <c r="A62" s="31" t="inlineStr">
        <is>
          <t>--- HOW TO AVOID CIRCULARITY ---</t>
        </is>
      </c>
    </row>
    <row r="63">
      <c r="A63" t="inlineStr">
        <is>
          <t>SCULPTED DEBT - NO CIRCULARITY ISSUE</t>
        </is>
      </c>
    </row>
    <row r="65">
      <c r="A65" t="inlineStr">
        <is>
          <t>Unlike cash sweep, sculpted debt is calculated FROM CFADS:</t>
        </is>
      </c>
    </row>
    <row r="66">
      <c r="A66" t="inlineStr">
        <is>
          <t>1. Know CFADS (revenue - opex - taxes)</t>
        </is>
      </c>
    </row>
    <row r="67">
      <c r="A67" t="inlineStr">
        <is>
          <t>2. Calculate Target DS = CFADS / Target DSCR</t>
        </is>
      </c>
    </row>
    <row r="68">
      <c r="A68" t="inlineStr">
        <is>
          <t>3. Calculate Principal = Target DS - Interest</t>
        </is>
      </c>
    </row>
    <row r="69">
      <c r="A69" t="inlineStr">
        <is>
          <t>4. DSRA Target references this known DS</t>
        </is>
      </c>
    </row>
    <row r="71">
      <c r="A71" t="inlineStr">
        <is>
          <t>No circular loop because everything flows from CFADS downward.</t>
        </is>
      </c>
    </row>
    <row r="73">
      <c r="A73" s="31" t="inlineStr">
        <is>
          <t>--- ALTERNATIVE SCENARIOS ---</t>
        </is>
      </c>
    </row>
    <row r="74">
      <c r="A74" t="inlineStr">
        <is>
          <t>ALTERNATIVE SCENARIOS</t>
        </is>
      </c>
    </row>
    <row r="76">
      <c r="A76" t="inlineStr">
        <is>
          <t>A. Tax Equity Partnership:</t>
        </is>
      </c>
    </row>
    <row r="77">
      <c r="A77" t="inlineStr">
        <is>
          <t xml:space="preserve">   - If ITC not yet monetized</t>
        </is>
      </c>
    </row>
    <row r="78">
      <c r="A78" t="inlineStr">
        <is>
          <t xml:space="preserve">   - Complex waterfall with flip date</t>
        </is>
      </c>
    </row>
    <row r="80">
      <c r="A80" t="inlineStr">
        <is>
          <t>B. Merchant Solar (No PPA):</t>
        </is>
      </c>
    </row>
    <row r="81">
      <c r="A81" t="inlineStr">
        <is>
          <t xml:space="preserve">   - Much riskier - lower leverage</t>
        </is>
      </c>
    </row>
    <row r="82">
      <c r="A82" t="inlineStr">
        <is>
          <t xml:space="preserve">   - May not be financeable with project debt</t>
        </is>
      </c>
    </row>
    <row r="84">
      <c r="A84" t="inlineStr">
        <is>
          <t>C. Standalone BESS:</t>
        </is>
      </c>
    </row>
    <row r="85">
      <c r="A85" t="inlineStr">
        <is>
          <t xml:space="preserve">   - No solar, just storage</t>
        </is>
      </c>
    </row>
    <row r="86">
      <c r="A86" t="inlineStr">
        <is>
          <t xml:space="preserve">   - Revenue from pure arbitrage</t>
        </is>
      </c>
    </row>
    <row r="88">
      <c r="A88" s="31" t="inlineStr">
        <is>
          <t>--- QA CHECKS ---</t>
        </is>
      </c>
    </row>
    <row r="89">
      <c r="A89" t="inlineStr">
        <is>
          <t>QA CHECKS</t>
        </is>
      </c>
    </row>
    <row r="91">
      <c r="A91" t="inlineStr">
        <is>
          <t>1. Degradation compounds correctly (Y10 &lt; 95% of Y1)</t>
        </is>
      </c>
    </row>
    <row r="92">
      <c r="A92" t="inlineStr">
        <is>
          <t>2. Tax is $0 for MACRS shield years</t>
        </is>
      </c>
    </row>
    <row r="93">
      <c r="A93" t="inlineStr">
        <is>
          <t>3. Tax formula has MAX(0,...) guardrail</t>
        </is>
      </c>
    </row>
    <row r="94">
      <c r="A94" t="inlineStr">
        <is>
          <t>4. PPA revenue switches to merchant at correct year</t>
        </is>
      </c>
    </row>
    <row r="95">
      <c r="A95" t="inlineStr">
        <is>
          <t>5. DSCR is ~1.30-1.40x (sculpted to target)</t>
        </is>
      </c>
    </row>
    <row r="97">
      <c r="A97" s="31" t="inlineStr">
        <is>
          <t>--- HINTS &amp; PITFALLS ---</t>
        </is>
      </c>
    </row>
    <row r="98">
      <c r="A98" s="32" t="inlineStr">
        <is>
          <t>* Degradation at 0.5%/yr means Y10 is ~95.6% of Y1 (not 95%)</t>
        </is>
      </c>
    </row>
    <row r="99">
      <c r="A99" s="32" t="inlineStr">
        <is>
          <t>* ITC already taken - no tax equity modeling needed</t>
        </is>
      </c>
    </row>
    <row r="100">
      <c r="A100" s="32" t="inlineStr">
        <is>
          <t>* Post-PPA price should be conservative (70-80% of PPA)</t>
        </is>
      </c>
    </row>
    <row r="101">
      <c r="A101" s="32" t="inlineStr">
        <is>
          <t>* MACRS shield means ~6 years of zero taxes</t>
        </is>
      </c>
    </row>
    <row r="103">
      <c r="A103" s="31" t="inlineStr">
        <is>
          <t>--- INTERVIEW QUESTIONS ---</t>
        </is>
      </c>
    </row>
    <row r="104">
      <c r="A104" t="inlineStr">
        <is>
          <t>Q: How does 0.5% vs 0.7% annual degradation affect exit value?</t>
        </is>
      </c>
    </row>
    <row r="105">
      <c r="A105" t="inlineStr">
        <is>
          <t>Q: What's your post-PPA merchant assumption and why?</t>
        </is>
      </c>
    </row>
    <row r="106">
      <c r="A106" t="inlineStr">
        <is>
          <t>Q: Why use sculpted debt instead of cash sweep?</t>
        </is>
      </c>
    </row>
    <row r="107">
      <c r="A107" t="inlineStr">
        <is>
          <t>Q: What would make you walk away from this deal?</t>
        </is>
      </c>
    </row>
    <row r="109">
      <c r="A109" s="35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10">
      <c r="A110" s="36" t="inlineStr">
        <is>
          <t>COLD START WORKFLOW (4-Hour Test)</t>
        </is>
      </c>
    </row>
    <row r="112">
      <c r="A112" s="35" t="inlineStr">
        <is>
          <t>Phase 1: Setup (15 min)</t>
        </is>
      </c>
    </row>
    <row r="113">
      <c r="A113" s="37" t="inlineStr">
        <is>
          <t>→ Create workbook, freeze panes at E2</t>
        </is>
      </c>
    </row>
    <row r="114">
      <c r="A114" s="37" t="inlineStr">
        <is>
          <t>→ Set column widths: A=32, B=12, C=38, D-N=14</t>
        </is>
      </c>
    </row>
    <row r="115">
      <c r="A115" s="37" t="inlineStr">
        <is>
          <t>→ Build year headers: Y0 (2025), Y1 (2026), ... Y10 (2035)</t>
        </is>
      </c>
    </row>
    <row r="116">
      <c r="A116" s="37" t="inlineStr">
        <is>
          <t>→ Create section placeholders with ═══ dividers</t>
        </is>
      </c>
    </row>
    <row r="118">
      <c r="A118" s="35" t="inlineStr">
        <is>
          <t>Phase 2: Inputs &amp; S&amp;U (30 min)</t>
        </is>
      </c>
    </row>
    <row r="119">
      <c r="A119" s="37" t="inlineStr">
        <is>
          <t>→ Transaction: Entry EV, Fees %, Exit Multiple, Exit Year</t>
        </is>
      </c>
    </row>
    <row r="120">
      <c r="A120" s="37" t="inlineStr">
        <is>
          <t>→ Asset: Capacity, CF/Dispatch, Prices, Escalation</t>
        </is>
      </c>
    </row>
    <row r="121">
      <c r="A121" s="37" t="inlineStr">
        <is>
          <t>→ Financing: Leverage, Rate, Tenor, DSRA months, Sweep %</t>
        </is>
      </c>
    </row>
    <row r="122">
      <c r="A122" s="37" t="inlineStr">
        <is>
          <t>→ Build Uses first, then Sources (balancing item = equity)</t>
        </is>
      </c>
    </row>
    <row r="124">
      <c r="A124" s="35" t="inlineStr">
        <is>
          <t>Phase 3: Operating Model (45 min)</t>
        </is>
      </c>
    </row>
    <row r="125">
      <c r="A125" s="37" t="inlineStr">
        <is>
          <t>→ Generation = Capacity × CF × 8760 (baseload) OR Capacity × Dispatch × Avail (peaker)</t>
        </is>
      </c>
    </row>
    <row r="126">
      <c r="A126" s="37" t="inlineStr">
        <is>
          <t>→ Revenue = Generation × Price / 1E6  (careful: capacity $/kW needs ×1000)</t>
        </is>
      </c>
    </row>
    <row r="127">
      <c r="A127" s="37" t="inlineStr">
        <is>
          <t>→ Fuel = Gen × HR × Gas / 1E9  (CRITICAL: divide by BILLION)</t>
        </is>
      </c>
    </row>
    <row r="128">
      <c r="A128" s="37" t="inlineStr">
        <is>
          <t>→ EBITDA = Revenue - OpEx</t>
        </is>
      </c>
    </row>
    <row r="129">
      <c r="A129" s="37" t="inlineStr">
        <is>
          <t>→ Taxes = MAX(0, Taxable Income) × Rate  (no negative taxes!)</t>
        </is>
      </c>
    </row>
    <row r="131">
      <c r="A131" s="35" t="inlineStr">
        <is>
          <t>Phase 4: Debt Schedule (45 min)</t>
        </is>
      </c>
    </row>
    <row r="132">
      <c r="A132" s="37" t="inlineStr">
        <is>
          <t>→ Beginning Bal Y1 = Funded Debt; Yn = Prior Ending</t>
        </is>
      </c>
    </row>
    <row r="133">
      <c r="A133" s="37" t="inlineStr">
        <is>
          <t>→ Interest = Beg Bal × Rate</t>
        </is>
      </c>
    </row>
    <row r="134">
      <c r="A134" s="37" t="inlineStr">
        <is>
          <t>→ Principal: Straight-line OR Sculpted OR Sweep</t>
        </is>
      </c>
    </row>
    <row r="135">
      <c r="A135" s="37" t="inlineStr">
        <is>
          <t>→ DSCR = CFADS / Debt Service</t>
        </is>
      </c>
    </row>
    <row r="136">
      <c r="A136" s="37" t="inlineStr">
        <is>
          <t>→ DSRA Target = NEXT year's DS × (months/12)  [TRAP: not current year!]</t>
        </is>
      </c>
    </row>
    <row r="138">
      <c r="A138" s="35" t="inlineStr">
        <is>
          <t>Phase 5: Exit &amp; Returns (30 min)</t>
        </is>
      </c>
    </row>
    <row r="139">
      <c r="A139" s="37" t="inlineStr">
        <is>
          <t>→ Exit EV = Exit EBITDA × Multiple</t>
        </is>
      </c>
    </row>
    <row r="140">
      <c r="A140" s="37" t="inlineStr">
        <is>
          <t>→ Exit Equity = Exit EV - Debt Payoff + DSRA Release</t>
        </is>
      </c>
    </row>
    <row r="141">
      <c r="A141" s="37" t="inlineStr">
        <is>
          <t>→ Equity CF row: Y0 = -Entry Equity, Y1-n = Distributions, Exit Year += Exit Equity</t>
        </is>
      </c>
    </row>
    <row r="142">
      <c r="A142" s="37" t="inlineStr">
        <is>
          <t>→ IRR = IRR(Y0:Y10 equity CFs)</t>
        </is>
      </c>
    </row>
    <row r="143">
      <c r="A143" s="37" t="inlineStr">
        <is>
          <t>→ MOIC = (Distributions + Exit) / Entry Equity</t>
        </is>
      </c>
    </row>
    <row r="145">
      <c r="A145" s="35" t="inlineStr">
        <is>
          <t>Phase 6: QA &amp; Polish (15 min)</t>
        </is>
      </c>
    </row>
    <row r="146">
      <c r="A146" s="37" t="inlineStr">
        <is>
          <t>→ S&amp;U Balance Check = PASS</t>
        </is>
      </c>
    </row>
    <row r="147">
      <c r="A147" s="37" t="inlineStr">
        <is>
          <t>→ Debt Payoff Check = PASS (ending bal &lt; $1mm)</t>
        </is>
      </c>
    </row>
    <row r="148">
      <c r="A148" s="37" t="inlineStr">
        <is>
          <t>→ Min DSCR Check = PASS (≥1.25x merchant, ≥1.30x contracted)</t>
        </is>
      </c>
    </row>
    <row r="149">
      <c r="A149" s="37" t="inlineStr">
        <is>
          <t>→ Sanity: DSCR 1.2-2.5x, IRR 12-25%, Fuel $30-50mm (CCGT)</t>
        </is>
      </c>
    </row>
    <row r="152">
      <c r="A152" s="38" t="inlineStr">
        <is>
          <t>4-HOUR TIME BUDGET</t>
        </is>
      </c>
    </row>
    <row r="154">
      <c r="A154" t="inlineStr">
        <is>
          <t>Setup &amp; Structure</t>
        </is>
      </c>
      <c r="B154" t="inlineStr">
        <is>
          <t>15 min</t>
        </is>
      </c>
      <c r="C154" t="inlineStr">
        <is>
          <t>Workbook, headers, freeze panes</t>
        </is>
      </c>
    </row>
    <row r="155">
      <c r="A155" t="inlineStr">
        <is>
          <t>Transaction Inputs</t>
        </is>
      </c>
      <c r="B155" t="inlineStr">
        <is>
          <t>15 min</t>
        </is>
      </c>
      <c r="C155" t="inlineStr">
        <is>
          <t>EV, fees, leverage, rates</t>
        </is>
      </c>
    </row>
    <row r="156">
      <c r="A156" t="inlineStr">
        <is>
          <t>Sources &amp; Uses</t>
        </is>
      </c>
      <c r="B156" t="inlineStr">
        <is>
          <t>15 min</t>
        </is>
      </c>
      <c r="C156" t="inlineStr">
        <is>
          <t>Uses first, equity = balancing</t>
        </is>
      </c>
    </row>
    <row r="157">
      <c r="A157" t="inlineStr">
        <is>
          <t>Operating Model</t>
        </is>
      </c>
      <c r="B157" t="inlineStr">
        <is>
          <t>45 min</t>
        </is>
      </c>
      <c r="C157" t="inlineStr">
        <is>
          <t>Revenue, costs, EBITDA</t>
        </is>
      </c>
    </row>
    <row r="158">
      <c r="A158" t="inlineStr">
        <is>
          <t>Depreciation &amp; Tax</t>
        </is>
      </c>
      <c r="B158" t="inlineStr">
        <is>
          <t>15 min</t>
        </is>
      </c>
      <c r="C158" t="inlineStr">
        <is>
          <t>Straight-line, MAX(0) guardrail</t>
        </is>
      </c>
    </row>
    <row r="159">
      <c r="A159" t="inlineStr">
        <is>
          <t>Debt Schedule</t>
        </is>
      </c>
      <c r="B159" t="inlineStr">
        <is>
          <t>45 min</t>
        </is>
      </c>
      <c r="C159" t="inlineStr">
        <is>
          <t>Amort, interest, DSCR</t>
        </is>
      </c>
    </row>
    <row r="160">
      <c r="A160" t="inlineStr">
        <is>
          <t>DSRA (if needed)</t>
        </is>
      </c>
      <c r="B160" t="inlineStr">
        <is>
          <t>15 min</t>
        </is>
      </c>
      <c r="C160" t="inlineStr">
        <is>
          <t>Target = NEXT year DS</t>
        </is>
      </c>
    </row>
    <row r="161">
      <c r="A161" t="inlineStr">
        <is>
          <t>Waterfall &amp; Returns</t>
        </is>
      </c>
      <c r="B161" t="inlineStr">
        <is>
          <t>30 min</t>
        </is>
      </c>
      <c r="C161" t="inlineStr">
        <is>
          <t>Distributable, IRR, MOIC</t>
        </is>
      </c>
    </row>
    <row r="162">
      <c r="A162" t="inlineStr">
        <is>
          <t>Exit Mechanics</t>
        </is>
      </c>
      <c r="B162" t="inlineStr">
        <is>
          <t>15 min</t>
        </is>
      </c>
      <c r="C162" t="inlineStr">
        <is>
          <t>Exit EV, debt payoff, equity</t>
        </is>
      </c>
    </row>
    <row r="163">
      <c r="A163" t="inlineStr">
        <is>
          <t>QA &amp; Sanity Checks</t>
        </is>
      </c>
      <c r="B163" t="inlineStr">
        <is>
          <t>15 min</t>
        </is>
      </c>
      <c r="C163" t="inlineStr">
        <is>
          <t>Balance, DSCR, #REF sweep</t>
        </is>
      </c>
    </row>
    <row r="164">
      <c r="A164" t="inlineStr">
        <is>
          <t>Buffer / Iterate</t>
        </is>
      </c>
      <c r="B164" t="inlineStr">
        <is>
          <t>15 min</t>
        </is>
      </c>
      <c r="C164" t="inlineStr">
        <is>
          <t>Fix issues, polish</t>
        </is>
      </c>
    </row>
    <row r="165">
      <c r="A165" s="31" t="inlineStr">
        <is>
          <t>TOTAL</t>
        </is>
      </c>
      <c r="B165" s="31" t="inlineStr">
        <is>
          <t>4:00</t>
        </is>
      </c>
    </row>
    <row r="168">
      <c r="A168" s="38" t="inlineStr">
        <is>
          <t>DEBT SIZING APPROACHES</t>
        </is>
      </c>
    </row>
    <row r="170">
      <c r="A170" s="35" t="inlineStr">
        <is>
          <t>1. STRAIGHT-LINE (Simplest)</t>
        </is>
      </c>
    </row>
    <row r="171">
      <c r="A171" s="37" t="inlineStr">
        <is>
          <t xml:space="preserve">  Principal = Debt Amount / Tenor</t>
        </is>
      </c>
    </row>
    <row r="172">
      <c r="A172" s="37" t="inlineStr">
        <is>
          <t xml:space="preserve">  Best for: Quick models, Model_Quick, when told 'ignore sweep'</t>
        </is>
      </c>
    </row>
    <row r="173">
      <c r="A173" s="37" t="inlineStr">
        <is>
          <t xml:space="preserve">  Pros: No circularity, fast to build</t>
        </is>
      </c>
    </row>
    <row r="174">
      <c r="A174" s="37" t="inlineStr">
        <is>
          <t xml:space="preserve">  Cons: May not reflect economic reality</t>
        </is>
      </c>
    </row>
    <row r="176">
      <c r="A176" s="35" t="inlineStr">
        <is>
          <t>2. CASH SWEEP (Merchant)</t>
        </is>
      </c>
    </row>
    <row r="177">
      <c r="A177" s="37" t="inlineStr">
        <is>
          <t xml:space="preserve">  Sweep = Excess Cash × Sweep%  (Excess = CFADS - DS - DSRA)</t>
        </is>
      </c>
    </row>
    <row r="178">
      <c r="A178" s="37" t="inlineStr">
        <is>
          <t xml:space="preserve">  Best for: Merchant assets, volatile CFADS</t>
        </is>
      </c>
    </row>
    <row r="179">
      <c r="A179" s="37" t="inlineStr">
        <is>
          <t xml:space="preserve">  Pros: Realistic for bank debt, de-levers faster</t>
        </is>
      </c>
    </row>
    <row r="180">
      <c r="A180" s="37" t="inlineStr">
        <is>
          <t xml:space="preserve">  Cons: Requires DSRA logic, near-circular (use scheduled_ds trick)</t>
        </is>
      </c>
    </row>
    <row r="182">
      <c r="A182" s="35" t="inlineStr">
        <is>
          <t>3. SCULPTED (Contracted)</t>
        </is>
      </c>
    </row>
    <row r="183">
      <c r="A183" s="37" t="inlineStr">
        <is>
          <t xml:space="preserve">  Target DS = CFADS / Target DSCR; Principal = Target DS - Interest</t>
        </is>
      </c>
    </row>
    <row r="184">
      <c r="A184" s="37" t="inlineStr">
        <is>
          <t xml:space="preserve">  Best for: PPAs, regulated assets, predictable CFADS</t>
        </is>
      </c>
    </row>
    <row r="185">
      <c r="A185" s="37" t="inlineStr">
        <is>
          <t xml:space="preserve">  Pros: Maximizes debt capacity, matches CF profile</t>
        </is>
      </c>
    </row>
    <row r="186">
      <c r="A186" s="37" t="inlineStr">
        <is>
          <t xml:space="preserve">  Cons: More complex, requires CFADS forecast first</t>
        </is>
      </c>
    </row>
    <row r="189">
      <c r="A189" s="38" t="inlineStr">
        <is>
          <t>KEY FORMULA CONCEPTS</t>
        </is>
      </c>
    </row>
    <row r="191">
      <c r="A191" s="35" t="inlineStr">
        <is>
          <t>SPARK SPREAD (Thermal Plants)</t>
        </is>
      </c>
    </row>
    <row r="192">
      <c r="A192" s="37" t="inlineStr">
        <is>
          <t xml:space="preserve">  = Power Price ($/MWh) - Fuel Cost per MWh</t>
        </is>
      </c>
    </row>
    <row r="193">
      <c r="A193" s="37" t="inlineStr">
        <is>
          <t xml:space="preserve">  = Power Price - (Heat Rate × Gas Price / 1000)</t>
        </is>
      </c>
    </row>
    <row r="194">
      <c r="A194" s="37" t="inlineStr">
        <is>
          <t xml:space="preserve">  Example: $45/MWh - (7000 Btu/kWh × $3/mmBtu / 1000) = $45 - $21 = $24/MWh</t>
        </is>
      </c>
    </row>
    <row r="195">
      <c r="A195" s="37" t="inlineStr">
        <is>
          <t xml:space="preserve">  Core margin driver for CCGT/Peaker dispatch economics</t>
        </is>
      </c>
    </row>
    <row r="197">
      <c r="A197" s="35" t="inlineStr">
        <is>
          <t>UCAP (Unforced Capacity)</t>
        </is>
      </c>
    </row>
    <row r="198">
      <c r="A198" s="37" t="inlineStr">
        <is>
          <t xml:space="preserve">  = Nameplate Capacity × (1 - Forced Outage Rate)</t>
        </is>
      </c>
    </row>
    <row r="199">
      <c r="A199" s="37" t="inlineStr">
        <is>
          <t xml:space="preserve">  = 365 MW × (1 - 5%) = 346.75 MW</t>
        </is>
      </c>
    </row>
    <row r="200">
      <c r="A200" s="37" t="inlineStr">
        <is>
          <t xml:space="preserve">  Capacity revenue uses UCAP, not nameplate</t>
        </is>
      </c>
    </row>
    <row r="201">
      <c r="A201" s="37" t="inlineStr">
        <is>
          <t xml:space="preserve">  Capacity Price is $/kW-yr, so: UCAP × Price × 1000 / 1E6</t>
        </is>
      </c>
    </row>
    <row r="203">
      <c r="A203" s="35" t="inlineStr">
        <is>
          <t>LLCR / PLCR (Project Finance)</t>
        </is>
      </c>
    </row>
    <row r="204">
      <c r="A204" s="37" t="inlineStr">
        <is>
          <t xml:space="preserve">  LLCR = NPV(CFADS over loan life) / Debt Outstanding</t>
        </is>
      </c>
    </row>
    <row r="205">
      <c r="A205" s="37" t="inlineStr">
        <is>
          <t xml:space="preserve">  PLCR = NPV(CFADS over project life) / Debt Outstanding</t>
        </is>
      </c>
    </row>
    <row r="206">
      <c r="A206" s="37" t="inlineStr">
        <is>
          <t xml:space="preserve">  LLCR ~1.4x+ typical for investment grade</t>
        </is>
      </c>
    </row>
    <row r="207">
      <c r="A207" s="37" t="inlineStr">
        <is>
          <t xml:space="preserve">  Covenant-based lending uses these vs DSCR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SolarBESS ACQUISITION</t>
        </is>
      </c>
    </row>
    <row r="3">
      <c r="A3" t="inlineStr">
        <is>
          <t>Time: 4 hours | Deliverables: Model + IC Memo</t>
        </is>
      </c>
    </row>
    <row r="5">
      <c r="A5" s="31" t="inlineStr">
        <is>
          <t>SITUATION</t>
        </is>
      </c>
    </row>
    <row r="6">
      <c r="A6" t="inlineStr">
        <is>
          <t>150 MW solar + 75MW BESS in ERCOT at $280mm.</t>
        </is>
      </c>
    </row>
    <row r="8">
      <c r="A8" s="31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IC MEMO - COACHING FRAMEWORK</t>
        </is>
      </c>
    </row>
    <row r="3">
      <c r="A3" s="31" t="inlineStr">
        <is>
          <t>1. EXECUTIVE SUMMARY</t>
        </is>
      </c>
    </row>
    <row r="4">
      <c r="A4" s="32" t="inlineStr">
        <is>
          <t>Tip: Lead with IRR and recommendation</t>
        </is>
      </c>
    </row>
    <row r="5">
      <c r="A5" t="inlineStr">
        <is>
          <t>[Your answer: ___________]</t>
        </is>
      </c>
    </row>
    <row r="6">
      <c r="A6" s="31" t="inlineStr">
        <is>
          <t>2. TRANSACTION OVERVIEW</t>
        </is>
      </c>
    </row>
    <row r="7">
      <c r="A7" s="32" t="inlineStr">
        <is>
          <t>Tip: Sources &amp; uses, debt terms</t>
        </is>
      </c>
    </row>
    <row r="8">
      <c r="A8" t="inlineStr">
        <is>
          <t>[Your answer: ___________]</t>
        </is>
      </c>
    </row>
    <row r="9">
      <c r="A9" s="31" t="inlineStr">
        <is>
          <t>3. INVESTMENT THESIS</t>
        </is>
      </c>
    </row>
    <row r="10">
      <c r="A10" s="32" t="inlineStr">
        <is>
          <t>Tip: 3-4 bullets on attractiveness</t>
        </is>
      </c>
    </row>
    <row r="11">
      <c r="A11" t="inlineStr">
        <is>
          <t>[Your answer: ___________]</t>
        </is>
      </c>
    </row>
    <row r="12">
      <c r="A12" s="31" t="inlineStr">
        <is>
          <t>4. KEY RISKS</t>
        </is>
      </c>
    </row>
    <row r="13">
      <c r="A13" s="32" t="inlineStr">
        <is>
          <t>Tip: Market, operational, regulatory</t>
        </is>
      </c>
    </row>
    <row r="14">
      <c r="A14" t="inlineStr">
        <is>
          <t>[Your answer: ___________]</t>
        </is>
      </c>
    </row>
    <row r="15">
      <c r="A15" s="31" t="inlineStr">
        <is>
          <t>5. MITIGANTS</t>
        </is>
      </c>
    </row>
    <row r="16">
      <c r="A16" s="32" t="inlineStr">
        <is>
          <t>Tip: Hedging, contracts, structure</t>
        </is>
      </c>
    </row>
    <row r="17">
      <c r="A17" t="inlineStr">
        <is>
          <t>[Your answer: ___________]</t>
        </is>
      </c>
    </row>
    <row r="18">
      <c r="A18" s="31" t="inlineStr">
        <is>
          <t>6. SENSITIVITIES</t>
        </is>
      </c>
    </row>
    <row r="19">
      <c r="A19" s="32" t="inlineStr">
        <is>
          <t>Tip: ±10-20% on key inputs</t>
        </is>
      </c>
    </row>
    <row r="20">
      <c r="A20" t="inlineStr">
        <is>
          <t>[Your answer: ___________]</t>
        </is>
      </c>
    </row>
    <row r="21">
      <c r="A21" s="31" t="inlineStr">
        <is>
          <t>7. RECOMMENDATION</t>
        </is>
      </c>
    </row>
    <row r="22">
      <c r="A22" s="32" t="inlineStr">
        <is>
          <t>Tip: Clear yes/no with walk-away price</t>
        </is>
      </c>
    </row>
    <row r="23">
      <c r="A23" t="inlineStr">
        <is>
          <t>[Your answer: ___________]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9" t="inlineStr">
        <is>
          <t>Model_Quick - SolarBESS (90-min build)</t>
        </is>
      </c>
    </row>
    <row r="2">
      <c r="D2" s="31" t="inlineStr">
        <is>
          <t>Y0 (2025)</t>
        </is>
      </c>
      <c r="E2" s="31" t="inlineStr">
        <is>
          <t>Y1 (2026)</t>
        </is>
      </c>
      <c r="F2" s="31" t="inlineStr">
        <is>
          <t>Y2 (2027)</t>
        </is>
      </c>
      <c r="G2" s="31" t="inlineStr">
        <is>
          <t>Y3 (2028)</t>
        </is>
      </c>
      <c r="H2" s="31" t="inlineStr">
        <is>
          <t>Y4 (2029)</t>
        </is>
      </c>
      <c r="I2" s="31" t="inlineStr">
        <is>
          <t>Y5 (2030)</t>
        </is>
      </c>
      <c r="J2" s="31" t="inlineStr">
        <is>
          <t>Y6 (2031)</t>
        </is>
      </c>
      <c r="K2" s="31" t="inlineStr">
        <is>
          <t>Y7 (2032)</t>
        </is>
      </c>
      <c r="L2" s="31" t="inlineStr">
        <is>
          <t>Y8 (2033)</t>
        </is>
      </c>
      <c r="M2" s="31" t="inlineStr">
        <is>
          <t>Y9 (2034)</t>
        </is>
      </c>
      <c r="N2" s="31" t="inlineStr">
        <is>
          <t>Y10 (2035)</t>
        </is>
      </c>
    </row>
    <row r="4">
      <c r="A4" s="35" t="inlineStr">
        <is>
          <t>═══ KEY METRICS ═══</t>
        </is>
      </c>
    </row>
    <row r="5">
      <c r="A5" t="inlineStr">
        <is>
          <t>Entry EV</t>
        </is>
      </c>
      <c r="B5" t="inlineStr">
        <is>
          <t>$mm</t>
        </is>
      </c>
      <c r="D5" s="40">
        <f>D12</f>
        <v/>
      </c>
    </row>
    <row r="6">
      <c r="A6" t="inlineStr">
        <is>
          <t>Debt %</t>
        </is>
      </c>
      <c r="B6" t="inlineStr">
        <is>
          <t>%</t>
        </is>
      </c>
      <c r="D6" s="41">
        <f>D35/D12</f>
        <v/>
      </c>
    </row>
    <row r="7">
      <c r="A7" t="inlineStr">
        <is>
          <t>Y1 EBITDA</t>
        </is>
      </c>
      <c r="B7" t="inlineStr">
        <is>
          <t>$mm</t>
        </is>
      </c>
      <c r="D7" s="42">
        <f>E41</f>
        <v/>
      </c>
    </row>
    <row r="8">
      <c r="A8" t="inlineStr">
        <is>
          <t>Levered IRR</t>
        </is>
      </c>
      <c r="B8" t="inlineStr">
        <is>
          <t>%</t>
        </is>
      </c>
      <c r="D8" s="41">
        <f>D57</f>
        <v/>
      </c>
    </row>
    <row r="9">
      <c r="A9" t="inlineStr">
        <is>
          <t>MOIC</t>
        </is>
      </c>
      <c r="B9" t="inlineStr">
        <is>
          <t>x</t>
        </is>
      </c>
      <c r="D9" s="43">
        <f>D58</f>
        <v/>
      </c>
    </row>
    <row r="11">
      <c r="A11" s="35" t="inlineStr">
        <is>
          <t>═══ TRANSACTION INPUTS ═══</t>
        </is>
      </c>
    </row>
    <row r="12">
      <c r="A12" t="inlineStr">
        <is>
          <t>Entry EV</t>
        </is>
      </c>
      <c r="B12" t="inlineStr">
        <is>
          <t>$mm</t>
        </is>
      </c>
      <c r="D12" s="44" t="n">
        <v>425</v>
      </c>
    </row>
    <row r="13">
      <c r="A13" t="inlineStr">
        <is>
          <t>Transaction Fees</t>
        </is>
      </c>
      <c r="B13" t="inlineStr">
        <is>
          <t>%</t>
        </is>
      </c>
      <c r="D13" s="44" t="n">
        <v>0.015</v>
      </c>
    </row>
    <row r="14">
      <c r="A14" t="inlineStr">
        <is>
          <t>Exit Multiple</t>
        </is>
      </c>
      <c r="B14" t="inlineStr">
        <is>
          <t>x</t>
        </is>
      </c>
      <c r="D14" s="44" t="n">
        <v>8</v>
      </c>
    </row>
    <row r="15">
      <c r="A15" t="inlineStr">
        <is>
          <t>Exit Year</t>
        </is>
      </c>
      <c r="B15" t="inlineStr">
        <is>
          <t>yr</t>
        </is>
      </c>
      <c r="D15" s="44" t="n">
        <v>15</v>
      </c>
    </row>
    <row r="17">
      <c r="A17" s="35" t="inlineStr">
        <is>
          <t>═══ ASSET INPUTS ═══</t>
        </is>
      </c>
    </row>
    <row r="18">
      <c r="A18" t="inlineStr">
        <is>
          <t>Capacity</t>
        </is>
      </c>
      <c r="B18" t="inlineStr">
        <is>
          <t>MW</t>
        </is>
      </c>
      <c r="D18" s="44" t="n">
        <v>365</v>
      </c>
    </row>
    <row r="19">
      <c r="A19" t="inlineStr">
        <is>
          <t>Capacity Factor</t>
        </is>
      </c>
      <c r="B19" t="inlineStr">
        <is>
          <t>%</t>
        </is>
      </c>
      <c r="D19" s="44" t="n">
        <v>0.55</v>
      </c>
    </row>
    <row r="20">
      <c r="A20" t="inlineStr">
        <is>
          <t>Y1 EBITDA</t>
        </is>
      </c>
      <c r="B20" t="inlineStr">
        <is>
          <t>$mm</t>
        </is>
      </c>
      <c r="D20" s="44" t="n">
        <v>52</v>
      </c>
    </row>
    <row r="21">
      <c r="A21" t="inlineStr">
        <is>
          <t>EBITDA Escalation</t>
        </is>
      </c>
      <c r="B21" t="inlineStr">
        <is>
          <t>%</t>
        </is>
      </c>
      <c r="D21" s="44" t="n">
        <v>0.02</v>
      </c>
    </row>
    <row r="23">
      <c r="A23" s="35" t="inlineStr">
        <is>
          <t>═══ FINANCING INPUTS ═══</t>
        </is>
      </c>
    </row>
    <row r="24">
      <c r="A24" t="inlineStr">
        <is>
          <t>Leverage</t>
        </is>
      </c>
      <c r="B24" t="inlineStr">
        <is>
          <t>%</t>
        </is>
      </c>
      <c r="D24" s="44" t="n">
        <v>0.7</v>
      </c>
    </row>
    <row r="25">
      <c r="A25" t="inlineStr">
        <is>
          <t>Interest Rate</t>
        </is>
      </c>
      <c r="B25" t="inlineStr">
        <is>
          <t>%</t>
        </is>
      </c>
      <c r="D25" s="44" t="n">
        <v>0.055</v>
      </c>
    </row>
    <row r="26">
      <c r="A26" t="inlineStr">
        <is>
          <t>Debt Tenor</t>
        </is>
      </c>
      <c r="B26" t="inlineStr">
        <is>
          <t>yrs</t>
        </is>
      </c>
      <c r="D26" s="44" t="n">
        <v>15</v>
      </c>
    </row>
    <row r="28">
      <c r="A28" s="35" t="inlineStr">
        <is>
          <t>═══ SOURCES &amp; USES ═══</t>
        </is>
      </c>
    </row>
    <row r="29">
      <c r="A29" s="31" t="inlineStr">
        <is>
          <t>USES:</t>
        </is>
      </c>
    </row>
    <row r="30">
      <c r="A30" t="inlineStr">
        <is>
          <t>Purchase Price</t>
        </is>
      </c>
      <c r="D30">
        <f>D12</f>
        <v/>
      </c>
    </row>
    <row r="31">
      <c r="A31" t="inlineStr">
        <is>
          <t>Transaction Fees</t>
        </is>
      </c>
      <c r="D31">
        <f>D12*D13</f>
        <v/>
      </c>
    </row>
    <row r="32">
      <c r="A32" s="31" t="inlineStr">
        <is>
          <t>Total Uses</t>
        </is>
      </c>
      <c r="D32" s="40">
        <f>D30+D31</f>
        <v/>
      </c>
    </row>
    <row r="34">
      <c r="A34" s="31" t="inlineStr">
        <is>
          <t>SOURCES:</t>
        </is>
      </c>
    </row>
    <row r="35">
      <c r="A35" t="inlineStr">
        <is>
          <t>Funded Debt</t>
        </is>
      </c>
      <c r="D35">
        <f>D12*D24</f>
        <v/>
      </c>
    </row>
    <row r="36">
      <c r="A36" t="inlineStr">
        <is>
          <t>Entry Equity</t>
        </is>
      </c>
      <c r="D36">
        <f>D32-D35</f>
        <v/>
      </c>
    </row>
    <row r="37">
      <c r="A37" s="31" t="inlineStr">
        <is>
          <t>Total Sources</t>
        </is>
      </c>
      <c r="D37" s="40">
        <f>D35+D36</f>
        <v/>
      </c>
    </row>
    <row r="38">
      <c r="A38" t="inlineStr">
        <is>
          <t>Balance Check</t>
        </is>
      </c>
      <c r="D38" s="40">
        <f>IF(ABS(D32-D37)&lt;0.01,"PASS","FAIL")</f>
        <v/>
      </c>
    </row>
    <row r="40">
      <c r="A40" s="35" t="inlineStr">
        <is>
          <t>═══ OPERATING MODEL ═══</t>
        </is>
      </c>
    </row>
    <row r="41">
      <c r="A41" t="inlineStr">
        <is>
          <t>EBITDA</t>
        </is>
      </c>
      <c r="B41" t="inlineStr">
        <is>
          <t>$mm</t>
        </is>
      </c>
      <c r="C41" t="inlineStr">
        <is>
          <t>Y1 input, then escalated</t>
        </is>
      </c>
      <c r="E41" s="42">
        <f>$D$20*(1+$D$21)^(1-1)</f>
        <v/>
      </c>
      <c r="F41" s="42">
        <f>$D$20*(1+$D$21)^(2-1)</f>
        <v/>
      </c>
      <c r="G41" s="42">
        <f>$D$20*(1+$D$21)^(3-1)</f>
        <v/>
      </c>
      <c r="H41" s="42">
        <f>$D$20*(1+$D$21)^(4-1)</f>
        <v/>
      </c>
      <c r="I41" s="42">
        <f>$D$20*(1+$D$21)^(5-1)</f>
        <v/>
      </c>
      <c r="J41" s="42">
        <f>$D$20*(1+$D$21)^(6-1)</f>
        <v/>
      </c>
      <c r="K41" s="42">
        <f>$D$20*(1+$D$21)^(7-1)</f>
        <v/>
      </c>
      <c r="L41" s="42">
        <f>$D$20*(1+$D$21)^(8-1)</f>
        <v/>
      </c>
      <c r="M41" s="42">
        <f>$D$20*(1+$D$21)^(9-1)</f>
        <v/>
      </c>
      <c r="N41" s="42">
        <f>$D$20*(1+$D$21)^(10-1)</f>
        <v/>
      </c>
    </row>
    <row r="43">
      <c r="A43" s="35" t="inlineStr">
        <is>
          <t>═══ DEBT SCHEDULE (Straight-Line) ═══</t>
        </is>
      </c>
    </row>
    <row r="44">
      <c r="A44" t="inlineStr">
        <is>
          <t>Beginning Balance</t>
        </is>
      </c>
      <c r="B44" t="inlineStr">
        <is>
          <t>$mm</t>
        </is>
      </c>
      <c r="E44">
        <f>D35</f>
        <v/>
      </c>
      <c r="F44">
        <f>E47</f>
        <v/>
      </c>
      <c r="G44">
        <f>F47</f>
        <v/>
      </c>
      <c r="H44">
        <f>G47</f>
        <v/>
      </c>
      <c r="I44">
        <f>H47</f>
        <v/>
      </c>
      <c r="J44">
        <f>I47</f>
        <v/>
      </c>
      <c r="K44">
        <f>J47</f>
        <v/>
      </c>
      <c r="L44">
        <f>K47</f>
        <v/>
      </c>
      <c r="M44">
        <f>L47</f>
        <v/>
      </c>
      <c r="N44">
        <f>M47</f>
        <v/>
      </c>
    </row>
    <row r="45">
      <c r="A45" t="inlineStr">
        <is>
          <t>Interest</t>
        </is>
      </c>
      <c r="B45" t="inlineStr">
        <is>
          <t>$mm</t>
        </is>
      </c>
      <c r="E45" s="45">
        <f>E44*$D$25</f>
        <v/>
      </c>
      <c r="F45" s="45">
        <f>F44*$D$25</f>
        <v/>
      </c>
      <c r="G45" s="45">
        <f>G44*$D$25</f>
        <v/>
      </c>
      <c r="H45" s="45">
        <f>H44*$D$25</f>
        <v/>
      </c>
      <c r="I45" s="45">
        <f>I44*$D$25</f>
        <v/>
      </c>
      <c r="J45" s="45">
        <f>J44*$D$25</f>
        <v/>
      </c>
      <c r="K45" s="45">
        <f>K44*$D$25</f>
        <v/>
      </c>
      <c r="L45" s="45">
        <f>L44*$D$25</f>
        <v/>
      </c>
      <c r="M45" s="45">
        <f>M44*$D$25</f>
        <v/>
      </c>
      <c r="N45" s="45">
        <f>N44*$D$25</f>
        <v/>
      </c>
    </row>
    <row r="46">
      <c r="A46" t="inlineStr">
        <is>
          <t>Principal</t>
        </is>
      </c>
      <c r="B46" t="inlineStr">
        <is>
          <t>$mm</t>
        </is>
      </c>
      <c r="C46" t="inlineStr">
        <is>
          <t>Straight-line: Debt / Tenor</t>
        </is>
      </c>
      <c r="E46" s="45">
        <f>MIN($D$35/$D$26,E44)</f>
        <v/>
      </c>
      <c r="F46" s="45">
        <f>MIN($D$35/$D$26,F44)</f>
        <v/>
      </c>
      <c r="G46" s="45">
        <f>MIN($D$35/$D$26,G44)</f>
        <v/>
      </c>
      <c r="H46" s="45">
        <f>MIN($D$35/$D$26,H44)</f>
        <v/>
      </c>
      <c r="I46" s="45">
        <f>MIN($D$35/$D$26,I44)</f>
        <v/>
      </c>
      <c r="J46" s="45">
        <f>MIN($D$35/$D$26,J44)</f>
        <v/>
      </c>
      <c r="K46" s="45">
        <f>MIN($D$35/$D$26,K44)</f>
        <v/>
      </c>
      <c r="L46" s="45">
        <f>MIN($D$35/$D$26,L44)</f>
        <v/>
      </c>
      <c r="M46" s="45">
        <f>MIN($D$35/$D$26,M44)</f>
        <v/>
      </c>
      <c r="N46" s="45">
        <f>MIN($D$35/$D$26,N44)</f>
        <v/>
      </c>
    </row>
    <row r="47">
      <c r="A47" t="inlineStr">
        <is>
          <t>Ending Balance</t>
        </is>
      </c>
      <c r="B47" t="inlineStr">
        <is>
          <t>$mm</t>
        </is>
      </c>
      <c r="E47" s="45">
        <f>MAX(0,E44-E46)</f>
        <v/>
      </c>
      <c r="F47" s="45">
        <f>MAX(0,F44-F46)</f>
        <v/>
      </c>
      <c r="G47" s="45">
        <f>MAX(0,G44-G46)</f>
        <v/>
      </c>
      <c r="H47" s="45">
        <f>MAX(0,H44-H46)</f>
        <v/>
      </c>
      <c r="I47" s="45">
        <f>MAX(0,I44-I46)</f>
        <v/>
      </c>
      <c r="J47" s="45">
        <f>MAX(0,J44-J46)</f>
        <v/>
      </c>
      <c r="K47" s="45">
        <f>MAX(0,K44-K46)</f>
        <v/>
      </c>
      <c r="L47" s="45">
        <f>MAX(0,L44-L46)</f>
        <v/>
      </c>
      <c r="M47" s="45">
        <f>MAX(0,M44-M46)</f>
        <v/>
      </c>
      <c r="N47" s="45">
        <f>MAX(0,N44-N46)</f>
        <v/>
      </c>
    </row>
    <row r="49">
      <c r="A49" s="35" t="inlineStr">
        <is>
          <t>═══ RETURNS ═══</t>
        </is>
      </c>
    </row>
    <row r="50">
      <c r="A50" t="inlineStr">
        <is>
          <t>Exit Year EBITDA</t>
        </is>
      </c>
      <c r="B50" t="inlineStr">
        <is>
          <t>$mm</t>
        </is>
      </c>
      <c r="D50" s="45">
        <f>OFFSET(E41,0,$D$15-1)</f>
        <v/>
      </c>
    </row>
    <row r="51">
      <c r="A51" t="inlineStr">
        <is>
          <t>Exit EV</t>
        </is>
      </c>
      <c r="B51" t="inlineStr">
        <is>
          <t>$mm</t>
        </is>
      </c>
      <c r="D51" s="42">
        <f>D50*$D$14</f>
        <v/>
      </c>
    </row>
    <row r="52">
      <c r="A52" t="inlineStr">
        <is>
          <t>Exit Debt Payoff</t>
        </is>
      </c>
      <c r="B52" t="inlineStr">
        <is>
          <t>$mm</t>
        </is>
      </c>
      <c r="D52" s="45">
        <f>OFFSET(E47,0,$D$15-1)</f>
        <v/>
      </c>
    </row>
    <row r="53">
      <c r="A53" t="inlineStr">
        <is>
          <t>Exit Equity Proceeds</t>
        </is>
      </c>
      <c r="B53" t="inlineStr">
        <is>
          <t>$mm</t>
        </is>
      </c>
      <c r="D53" s="42">
        <f>D51-D52</f>
        <v/>
      </c>
    </row>
    <row r="55">
      <c r="A55" t="inlineStr">
        <is>
          <t>Equity Cash Flow</t>
        </is>
      </c>
      <c r="B55" t="inlineStr">
        <is>
          <t>$mm</t>
        </is>
      </c>
      <c r="D55">
        <f>-D36</f>
        <v/>
      </c>
      <c r="E55" s="45">
        <f>IF(1=$D$15,D53,0)</f>
        <v/>
      </c>
      <c r="F55" s="45">
        <f>IF(2=$D$15,D53,0)</f>
        <v/>
      </c>
      <c r="G55" s="45">
        <f>IF(3=$D$15,D53,0)</f>
        <v/>
      </c>
      <c r="H55" s="45">
        <f>IF(4=$D$15,D53,0)</f>
        <v/>
      </c>
      <c r="I55" s="45">
        <f>IF(5=$D$15,D53,0)</f>
        <v/>
      </c>
      <c r="J55" s="45">
        <f>IF(6=$D$15,D53,0)</f>
        <v/>
      </c>
      <c r="K55" s="45">
        <f>IF(7=$D$15,D53,0)</f>
        <v/>
      </c>
      <c r="L55" s="45">
        <f>IF(8=$D$15,D53,0)</f>
        <v/>
      </c>
      <c r="M55" s="45">
        <f>IF(9=$D$15,D53,0)</f>
        <v/>
      </c>
      <c r="N55" s="45">
        <f>IF(10=$D$15,D53,0)</f>
        <v/>
      </c>
    </row>
    <row r="57">
      <c r="A57" s="31" t="inlineStr">
        <is>
          <t>Levered IRR</t>
        </is>
      </c>
      <c r="B57" t="inlineStr">
        <is>
          <t>%</t>
        </is>
      </c>
      <c r="D57" s="41">
        <f>IRR(D55:N55)</f>
        <v/>
      </c>
    </row>
    <row r="58">
      <c r="A58" s="31" t="inlineStr">
        <is>
          <t>MOIC</t>
        </is>
      </c>
      <c r="B58" t="inlineStr">
        <is>
          <t>x</t>
        </is>
      </c>
      <c r="D58" s="43">
        <f>D53/D36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Solar+BESS Model - Lotus Infrastructure Partners</t>
        </is>
      </c>
      <c r="D1" s="33" t="inlineStr">
        <is>
          <t>Y0 (2025)</t>
        </is>
      </c>
      <c r="E1" s="33" t="inlineStr">
        <is>
          <t>Y1 (2026)</t>
        </is>
      </c>
      <c r="F1" s="33" t="inlineStr">
        <is>
          <t>Y2 (2027)</t>
        </is>
      </c>
      <c r="G1" s="33" t="inlineStr">
        <is>
          <t>Y3 (2028)</t>
        </is>
      </c>
      <c r="H1" s="33" t="inlineStr">
        <is>
          <t>Y4 (2029)</t>
        </is>
      </c>
      <c r="I1" s="33" t="inlineStr">
        <is>
          <t>Y5 (2030)</t>
        </is>
      </c>
      <c r="J1" s="33" t="inlineStr">
        <is>
          <t>Y6 (2031)</t>
        </is>
      </c>
      <c r="K1" s="33" t="inlineStr">
        <is>
          <t>Y7 (2032)</t>
        </is>
      </c>
      <c r="L1" s="33" t="inlineStr">
        <is>
          <t>Y8 (2033)</t>
        </is>
      </c>
      <c r="M1" s="33" t="inlineStr">
        <is>
          <t>Y9 (2034)</t>
        </is>
      </c>
      <c r="N1" s="33" t="inlineStr">
        <is>
          <t>Y10 (2035)</t>
        </is>
      </c>
    </row>
    <row r="2">
      <c r="A2" s="3" t="inlineStr">
        <is>
          <t>═══ DRILL MODE - Fill in yellow cells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>
        <is>
          <t>Purchase price for asset</t>
        </is>
      </c>
      <c r="D3" s="7">
        <f>$D$27</f>
        <v/>
      </c>
      <c r="E3" s="4" t="n"/>
      <c r="F3" s="4" t="n"/>
      <c r="G3" s="4" t="n"/>
      <c r="H3" s="4" t="n"/>
      <c r="I3" s="4" t="n"/>
      <c r="J3" s="4" t="n"/>
      <c r="K3" s="4" t="n"/>
      <c r="L3" s="4" t="n"/>
      <c r="M3" s="53" t="inlineStr">
        <is>
          <t>IRR Sensitivity:</t>
        </is>
      </c>
      <c r="N3" s="4" t="n"/>
    </row>
    <row r="4">
      <c r="A4" s="5" t="inlineStr">
        <is>
          <t>Y1 EBITDA</t>
        </is>
      </c>
      <c r="B4" s="6" t="inlineStr">
        <is>
          <t>$mm</t>
        </is>
      </c>
      <c r="C4" s="6" t="inlineStr">
        <is>
          <t>Revenue minus OpEx</t>
        </is>
      </c>
      <c r="D4" s="7">
        <f>E78</f>
        <v/>
      </c>
      <c r="M4" s="54" t="inlineStr">
        <is>
          <t>+/- 5% Entry → ~+/- 1% IRR</t>
        </is>
      </c>
    </row>
    <row r="5">
      <c r="A5" s="35" t="inlineStr">
        <is>
          <t>═══════════ CONTROL PANEL ═══════════</t>
        </is>
      </c>
      <c r="B5" s="46" t="n"/>
      <c r="C5" s="46" t="n"/>
      <c r="D5" s="46" t="n"/>
      <c r="M5" s="54" t="inlineStr">
        <is>
          <t>+/- 0.5x Exit → ~+/- 1.5% IRR</t>
        </is>
      </c>
    </row>
    <row r="6">
      <c r="A6" s="46" t="n"/>
      <c r="B6" s="46" t="n"/>
      <c r="C6" s="46" t="n"/>
      <c r="D6" s="46" t="n"/>
    </row>
    <row r="7">
      <c r="A7" s="47" t="inlineStr">
        <is>
          <t>REVENUE</t>
        </is>
      </c>
      <c r="B7" s="46" t="n"/>
      <c r="C7" s="46" t="n"/>
      <c r="D7" s="46" t="n"/>
    </row>
    <row r="8">
      <c r="A8" s="31" t="inlineStr">
        <is>
          <t>Revenue Mode</t>
        </is>
      </c>
      <c r="B8" s="46" t="n"/>
      <c r="C8" s="6" t="inlineStr">
        <is>
          <t>Merchant / Contracted / Hybrid</t>
        </is>
      </c>
      <c r="D8" s="44" t="inlineStr">
        <is>
          <t>Merchant</t>
        </is>
      </c>
    </row>
    <row r="9">
      <c r="A9" s="31" t="inlineStr">
        <is>
          <t>Contract End Year</t>
        </is>
      </c>
      <c r="B9" s="46" t="n"/>
      <c r="C9" s="6" t="inlineStr">
        <is>
          <t>0 = pure merchant; else year PPA ends</t>
        </is>
      </c>
      <c r="D9" s="44" t="n">
        <v>0</v>
      </c>
    </row>
    <row r="10">
      <c r="A10" s="46" t="n"/>
      <c r="B10" s="46" t="n"/>
      <c r="C10" s="46" t="n"/>
      <c r="D10" s="46" t="n"/>
    </row>
    <row r="11">
      <c r="A11" s="47" t="inlineStr">
        <is>
          <t>TIMING</t>
        </is>
      </c>
      <c r="B11" s="46" t="n"/>
      <c r="C11" s="46" t="n"/>
      <c r="D11" s="46" t="n"/>
    </row>
    <row r="12">
      <c r="A12" s="31" t="inlineStr">
        <is>
          <t>Exit Year</t>
        </is>
      </c>
      <c r="B12" s="46" t="n"/>
      <c r="C12" s="6" t="inlineStr">
        <is>
          <t>5 / 7 / 10</t>
        </is>
      </c>
      <c r="D12" s="44" t="n">
        <v>7</v>
      </c>
    </row>
    <row r="13">
      <c r="A13" s="31" t="inlineStr">
        <is>
          <t>Tax Credit End Year</t>
        </is>
      </c>
      <c r="B13" s="46" t="n"/>
      <c r="C13" s="6" t="inlineStr">
        <is>
          <t>0 = N/A; else last year of PTC/ITC</t>
        </is>
      </c>
      <c r="D13" s="44" t="n">
        <v>0</v>
      </c>
    </row>
    <row r="14">
      <c r="A14" s="46" t="n"/>
      <c r="B14" s="46" t="n"/>
      <c r="C14" s="46" t="n"/>
      <c r="D14" s="46" t="n"/>
    </row>
    <row r="15">
      <c r="A15" s="47" t="inlineStr">
        <is>
          <t>DEBT</t>
        </is>
      </c>
      <c r="B15" s="46" t="n"/>
      <c r="C15" s="46" t="n"/>
      <c r="D15" s="48" t="n"/>
    </row>
    <row r="16">
      <c r="A16" s="31" t="inlineStr">
        <is>
          <t>Debt Sweep</t>
        </is>
      </c>
      <c r="B16" s="46" t="n"/>
      <c r="C16" s="6" t="inlineStr">
        <is>
          <t>ON / OFF (for sweep assets)</t>
        </is>
      </c>
      <c r="D16" s="30" t="inlineStr">
        <is>
          <t>ON</t>
        </is>
      </c>
    </row>
    <row r="17">
      <c r="A17" s="31" t="inlineStr">
        <is>
          <t>Sweep %</t>
        </is>
      </c>
      <c r="B17" s="46" t="n"/>
      <c r="C17" s="6" t="inlineStr">
        <is>
          <t>Active when Sweep = ON</t>
        </is>
      </c>
      <c r="D17" s="29" t="inlineStr">
        <is>
          <t>75%</t>
        </is>
      </c>
    </row>
    <row r="18">
      <c r="A18" s="46" t="n"/>
      <c r="B18" s="46" t="n"/>
      <c r="C18" s="46" t="n"/>
      <c r="D18" s="49" t="n"/>
    </row>
    <row r="19">
      <c r="A19" s="47" t="inlineStr">
        <is>
          <t>OTHER</t>
        </is>
      </c>
      <c r="B19" s="46" t="n"/>
      <c r="C19" s="46" t="n"/>
      <c r="D19" s="50" t="n"/>
    </row>
    <row r="20">
      <c r="A20" s="51" t="inlineStr">
        <is>
          <t>Exit Method</t>
        </is>
      </c>
      <c r="B20" s="46" t="n"/>
      <c r="C20" s="6" t="inlineStr">
        <is>
          <t>Multiple / DCF</t>
        </is>
      </c>
      <c r="D20" s="44" t="inlineStr">
        <is>
          <t>Multiple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5" t="inlineStr">
        <is>
          <t>════════════════════════════════════</t>
        </is>
      </c>
      <c r="B21" s="6" t="n"/>
      <c r="C21" s="6" t="n"/>
      <c r="D21" s="10">
        <f>D108</f>
        <v/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inlineStr">
        <is>
          <t>Debt Payoff Y10</t>
        </is>
      </c>
      <c r="B22" s="6" t="n"/>
      <c r="C22" s="6" t="n"/>
      <c r="D22" s="10">
        <f>IF(N91&lt;1,"PASS","FAIL")</f>
        <v/>
      </c>
    </row>
    <row r="23">
      <c r="A23" s="5" t="inlineStr">
        <is>
          <t>Min DSCR ≥ 1.30x</t>
        </is>
      </c>
      <c r="B23" s="6" t="n"/>
      <c r="C23" s="6" t="inlineStr">
        <is>
          <t>CFADS / Debt Service</t>
        </is>
      </c>
      <c r="D23" s="10">
        <f>IF(D6&gt;=1.30,"PASS","FAIL")</f>
        <v/>
      </c>
    </row>
    <row r="24">
      <c r="A24" s="5" t="n"/>
      <c r="B24" s="6" t="n"/>
      <c r="C24" s="6" t="n"/>
      <c r="D24" s="10" t="n"/>
    </row>
    <row r="26">
      <c r="A26" s="3" t="inlineStr">
        <is>
          <t>TRANSACTION INPUTS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Entry EV</t>
        </is>
      </c>
      <c r="B27" s="6" t="inlineStr">
        <is>
          <t>$mm</t>
        </is>
      </c>
      <c r="C27" s="6" t="inlineStr">
        <is>
          <t>Purchase price</t>
        </is>
      </c>
      <c r="D27" s="11" t="n">
        <v>145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inlineStr">
        <is>
          <t>Transaction Fees</t>
        </is>
      </c>
      <c r="B28" s="6" t="inlineStr">
        <is>
          <t>%</t>
        </is>
      </c>
      <c r="C28" s="6" t="inlineStr">
        <is>
          <t>Legal, advisory, financing</t>
        </is>
      </c>
      <c r="D28" s="29" t="n">
        <v>0.015</v>
      </c>
    </row>
    <row r="29">
      <c r="A29" s="5" t="inlineStr">
        <is>
          <t>ITC Rate</t>
        </is>
      </c>
      <c r="B29" s="6" t="inlineStr">
        <is>
          <t>%</t>
        </is>
      </c>
      <c r="C29" s="6" t="inlineStr">
        <is>
          <t>Investment Tax Credit</t>
        </is>
      </c>
      <c r="D29" s="29" t="n">
        <v>0.3</v>
      </c>
    </row>
    <row r="30">
      <c r="A30" s="5" t="inlineStr">
        <is>
          <t>Exit Multiple</t>
        </is>
      </c>
      <c r="B30" s="6" t="inlineStr">
        <is>
          <t>x</t>
        </is>
      </c>
      <c r="C30" s="6" t="inlineStr">
        <is>
          <t>On exit year EBITDA</t>
        </is>
      </c>
      <c r="D30" s="30" t="n">
        <v>8</v>
      </c>
    </row>
    <row r="31">
      <c r="A31" s="5" t="inlineStr">
        <is>
          <t>Exit Year</t>
        </is>
      </c>
      <c r="B31" s="6" t="inlineStr">
        <is>
          <t>#</t>
        </is>
      </c>
      <c r="C31" s="6" t="inlineStr">
        <is>
          <t>Hold period</t>
        </is>
      </c>
      <c r="D31" s="14" t="n">
        <v>10</v>
      </c>
    </row>
    <row r="32">
      <c r="A32" s="5" t="n"/>
      <c r="B32" s="6" t="n"/>
      <c r="C32" s="6" t="n"/>
      <c r="D32" s="14" t="n"/>
    </row>
    <row r="33">
      <c r="A33" s="3" t="inlineStr">
        <is>
          <t>ASSET INPUTS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inlineStr">
        <is>
          <t>AC Capacity</t>
        </is>
      </c>
      <c r="B34" s="6" t="inlineStr">
        <is>
          <t>MWac</t>
        </is>
      </c>
      <c r="C34" s="6" t="inlineStr">
        <is>
          <t>Inverter rating</t>
        </is>
      </c>
      <c r="D34" s="14" t="n">
        <v>115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5" t="inlineStr">
        <is>
          <t>Capacity Factor</t>
        </is>
      </c>
      <c r="B35" s="6" t="inlineStr">
        <is>
          <t>%</t>
        </is>
      </c>
      <c r="C35" s="6" t="inlineStr">
        <is>
          <t>P50 estimate</t>
        </is>
      </c>
      <c r="D35" s="29" t="n">
        <v>0.26</v>
      </c>
    </row>
    <row r="36">
      <c r="A36" s="5" t="inlineStr">
        <is>
          <t>Degradation</t>
        </is>
      </c>
      <c r="B36" s="6" t="inlineStr">
        <is>
          <t>%/yr</t>
        </is>
      </c>
      <c r="C36" s="6" t="inlineStr">
        <is>
          <t>Annual output decline</t>
        </is>
      </c>
      <c r="D36" s="29" t="n">
        <v>0.005</v>
      </c>
    </row>
    <row r="37">
      <c r="A37" s="5" t="n"/>
      <c r="B37" s="6" t="n"/>
      <c r="C37" s="6" t="n"/>
      <c r="D37" s="29" t="n"/>
    </row>
    <row r="38">
      <c r="A38" s="3" t="inlineStr">
        <is>
          <t>PRICING INPUTS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5" t="inlineStr">
        <is>
          <t>PPA Price Y1</t>
        </is>
      </c>
      <c r="B39" s="6" t="inlineStr">
        <is>
          <t>$/MWh</t>
        </is>
      </c>
      <c r="C39" s="6" t="inlineStr">
        <is>
          <t>Contracted price</t>
        </is>
      </c>
      <c r="D39" s="11" t="n">
        <v>35</v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5" t="inlineStr">
        <is>
          <t>PPA Escalation</t>
        </is>
      </c>
      <c r="B40" s="6" t="inlineStr">
        <is>
          <t>%/yr</t>
        </is>
      </c>
      <c r="C40" s="6" t="inlineStr">
        <is>
          <t>Contract escalation</t>
        </is>
      </c>
      <c r="D40" s="29" t="n">
        <v>0.015</v>
      </c>
    </row>
    <row r="41">
      <c r="A41" s="5" t="inlineStr">
        <is>
          <t>BESS Revenue Y1</t>
        </is>
      </c>
      <c r="B41" s="6" t="inlineStr">
        <is>
          <t>$mm</t>
        </is>
      </c>
      <c r="C41" s="6" t="inlineStr">
        <is>
          <t>Arbitrage + ancillary</t>
        </is>
      </c>
      <c r="D41" s="11" t="n">
        <v>4.5</v>
      </c>
    </row>
    <row r="42">
      <c r="A42" s="5" t="inlineStr">
        <is>
          <t>BESS Revenue Escalation</t>
        </is>
      </c>
      <c r="B42" s="6" t="inlineStr">
        <is>
          <t>%/yr</t>
        </is>
      </c>
      <c r="C42" s="6" t="inlineStr">
        <is>
          <t>Revenue growth</t>
        </is>
      </c>
      <c r="D42" s="29" t="n">
        <v>0.02</v>
      </c>
    </row>
    <row r="43">
      <c r="A43" s="5" t="n"/>
      <c r="B43" s="6" t="n"/>
      <c r="C43" s="6" t="n"/>
      <c r="D43" s="29" t="n"/>
    </row>
    <row r="44">
      <c r="A44" s="3" t="inlineStr">
        <is>
          <t>COST INPUTS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5" t="inlineStr">
        <is>
          <t>O&amp;M Cost</t>
        </is>
      </c>
      <c r="B45" s="6" t="inlineStr">
        <is>
          <t>$mm/yr</t>
        </is>
      </c>
      <c r="C45" s="6" t="inlineStr">
        <is>
          <t>Fixed operating costs</t>
        </is>
      </c>
      <c r="D45" s="11" t="n">
        <v>2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5" t="inlineStr">
        <is>
          <t>O&amp;M Escalation</t>
        </is>
      </c>
      <c r="B46" s="6" t="inlineStr">
        <is>
          <t>%/yr</t>
        </is>
      </c>
      <c r="C46" s="6" t="inlineStr">
        <is>
          <t>Cost escalation</t>
        </is>
      </c>
      <c r="D46" s="29" t="n">
        <v>0.02</v>
      </c>
    </row>
    <row r="47">
      <c r="A47" s="5" t="inlineStr">
        <is>
          <t>Augmentation Year</t>
        </is>
      </c>
      <c r="B47" s="6" t="inlineStr">
        <is>
          <t>#</t>
        </is>
      </c>
      <c r="C47" s="6" t="inlineStr">
        <is>
          <t>BESS capacity augment</t>
        </is>
      </c>
      <c r="D47" s="14" t="n">
        <v>7</v>
      </c>
    </row>
    <row r="48">
      <c r="A48" s="5" t="inlineStr">
        <is>
          <t>Augmentation Cost</t>
        </is>
      </c>
      <c r="B48" s="6" t="inlineStr">
        <is>
          <t>$mm</t>
        </is>
      </c>
      <c r="C48" s="6" t="inlineStr">
        <is>
          <t>Battery replacement</t>
        </is>
      </c>
      <c r="D48" s="11" t="n">
        <v>5</v>
      </c>
    </row>
    <row r="49">
      <c r="A49" s="5" t="n"/>
      <c r="B49" s="6" t="n"/>
      <c r="C49" s="6" t="n"/>
      <c r="D49" s="11" t="n"/>
    </row>
    <row r="50">
      <c r="A50" s="3" t="inlineStr">
        <is>
          <t>FINANCING INPUTS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5" t="inlineStr">
        <is>
          <t>Leverage</t>
        </is>
      </c>
      <c r="B51" s="6" t="inlineStr">
        <is>
          <t>%</t>
        </is>
      </c>
      <c r="C51" s="6" t="inlineStr">
        <is>
          <t>Debt / Entry EV</t>
        </is>
      </c>
      <c r="D51" s="29" t="n">
        <v>0.35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5" t="inlineStr">
        <is>
          <t>Interest Rate</t>
        </is>
      </c>
      <c r="B52" s="6" t="inlineStr">
        <is>
          <t>%</t>
        </is>
      </c>
      <c r="C52" s="6" t="inlineStr">
        <is>
          <t>Lower (contracted)</t>
        </is>
      </c>
      <c r="D52" s="29" t="n">
        <v>0.055</v>
      </c>
    </row>
    <row r="53">
      <c r="A53" s="5" t="inlineStr">
        <is>
          <t>Debt Tenor</t>
        </is>
      </c>
      <c r="B53" s="6" t="inlineStr">
        <is>
          <t>years</t>
        </is>
      </c>
      <c r="C53" s="6" t="inlineStr">
        <is>
          <t>Longer for contracted</t>
        </is>
      </c>
      <c r="D53" s="14" t="n">
        <v>10</v>
      </c>
    </row>
    <row r="54">
      <c r="A54" s="5" t="inlineStr">
        <is>
          <t>DSRA Months</t>
        </is>
      </c>
      <c r="B54" s="6" t="inlineStr">
        <is>
          <t>months</t>
        </is>
      </c>
      <c r="C54" s="6" t="inlineStr">
        <is>
          <t>Debt service reserve</t>
        </is>
      </c>
      <c r="D54" s="14" t="n">
        <v>6</v>
      </c>
    </row>
    <row r="55">
      <c r="A55" s="5" t="inlineStr">
        <is>
          <t>Target DSCR</t>
        </is>
      </c>
      <c r="B55" s="6" t="inlineStr">
        <is>
          <t>x</t>
        </is>
      </c>
      <c r="C55" s="6" t="inlineStr">
        <is>
          <t>For sculpting</t>
        </is>
      </c>
      <c r="D55" s="30" t="n">
        <v>1.35</v>
      </c>
    </row>
    <row r="56">
      <c r="A56" s="5" t="inlineStr">
        <is>
          <t>Lock-up DSCR</t>
        </is>
      </c>
      <c r="B56" s="6" t="inlineStr">
        <is>
          <t>x</t>
        </is>
      </c>
      <c r="C56" s="6" t="inlineStr">
        <is>
          <t>Distribution threshold</t>
        </is>
      </c>
      <c r="D56" s="30" t="n">
        <v>1.1</v>
      </c>
    </row>
    <row r="57">
      <c r="A57" s="5" t="n"/>
      <c r="B57" s="6" t="n"/>
      <c r="C57" s="6" t="n"/>
      <c r="D57" s="30" t="n"/>
    </row>
    <row r="58">
      <c r="A58" s="3" t="inlineStr">
        <is>
          <t>TAX INPUTS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5" t="inlineStr">
        <is>
          <t>Tax Rate</t>
        </is>
      </c>
      <c r="B59" s="6" t="inlineStr">
        <is>
          <t>%</t>
        </is>
      </c>
      <c r="C59" s="6" t="inlineStr">
        <is>
          <t>Blended federal + state</t>
        </is>
      </c>
      <c r="D59" s="29" t="n">
        <v>0.25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5" t="inlineStr">
        <is>
          <t>MACRS Shield Years</t>
        </is>
      </c>
      <c r="B60" s="6" t="inlineStr">
        <is>
          <t>#</t>
        </is>
      </c>
      <c r="C60" s="6" t="inlineStr">
        <is>
          <t>Years with no tax</t>
        </is>
      </c>
      <c r="D60" s="14" t="n">
        <v>6</v>
      </c>
    </row>
    <row r="61">
      <c r="A61" s="5" t="inlineStr">
        <is>
          <t>Post-MACRS Tax Rate</t>
        </is>
      </c>
      <c r="B61" s="6" t="inlineStr">
        <is>
          <t>%</t>
        </is>
      </c>
      <c r="C61" s="6" t="inlineStr">
        <is>
          <t>Reduced effective rate</t>
        </is>
      </c>
      <c r="D61" s="29" t="n">
        <v>0.15</v>
      </c>
    </row>
    <row r="62">
      <c r="A62" s="5" t="n"/>
      <c r="B62" s="6" t="n"/>
      <c r="C62" s="6" t="n"/>
      <c r="D62" s="29" t="n"/>
    </row>
    <row r="63">
      <c r="A63" s="3" t="inlineStr">
        <is>
          <t>CALCULATED ITEMS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5" t="inlineStr">
        <is>
          <t>Y1 Generation</t>
        </is>
      </c>
      <c r="B64" s="6" t="inlineStr">
        <is>
          <t>MWh</t>
        </is>
      </c>
      <c r="C64" s="6" t="inlineStr">
        <is>
          <t>AC Cap × CF × 8760</t>
        </is>
      </c>
      <c r="D64" s="15">
        <f>$D$34*$D$35*8760</f>
        <v/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Debt Amount</t>
        </is>
      </c>
      <c r="B65" s="6" t="inlineStr">
        <is>
          <t>$mm</t>
        </is>
      </c>
      <c r="C65" s="6" t="inlineStr">
        <is>
          <t>Entry EV × Leverage</t>
        </is>
      </c>
      <c r="D65" s="16">
        <f>$D$27*$D$51</f>
        <v/>
      </c>
    </row>
    <row r="66">
      <c r="A66" s="5" t="inlineStr">
        <is>
          <t>ITC Benefit</t>
        </is>
      </c>
      <c r="B66" s="6" t="inlineStr">
        <is>
          <t>$mm</t>
        </is>
      </c>
      <c r="C66" s="6" t="inlineStr">
        <is>
          <t>Entry EV × ITC Rate</t>
        </is>
      </c>
      <c r="D66" s="16">
        <f>$D$27*$D$29</f>
        <v/>
      </c>
    </row>
    <row r="67">
      <c r="A67" s="5" t="n"/>
      <c r="B67" s="6" t="n"/>
      <c r="C67" s="6" t="n"/>
      <c r="D67" s="16" t="n"/>
    </row>
    <row r="68">
      <c r="A68" s="3" t="inlineStr">
        <is>
          <t>OPERATING MODEL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5" t="inlineStr">
        <is>
          <t>Generation</t>
        </is>
      </c>
      <c r="B69" s="6" t="inlineStr">
        <is>
          <t>MWh</t>
        </is>
      </c>
      <c r="C69" s="6" t="inlineStr">
        <is>
          <t>With degradation</t>
        </is>
      </c>
      <c r="D69" s="4" t="n"/>
      <c r="E69" s="15">
        <f>$D$64*(1-$D$36)^(1-1)</f>
        <v/>
      </c>
      <c r="F69" s="15">
        <f>$D$64*(1-$D$36)^(2-1)</f>
        <v/>
      </c>
      <c r="G69" s="15">
        <f>$D$64*(1-$D$36)^(3-1)</f>
        <v/>
      </c>
      <c r="H69" s="15">
        <f>$D$64*(1-$D$36)^(4-1)</f>
        <v/>
      </c>
      <c r="I69" s="15">
        <f>$D$64*(1-$D$36)^(5-1)</f>
        <v/>
      </c>
      <c r="J69" s="15">
        <f>$D$64*(1-$D$36)^(6-1)</f>
        <v/>
      </c>
      <c r="K69" s="15">
        <f>$D$64*(1-$D$36)^(7-1)</f>
        <v/>
      </c>
      <c r="L69" s="15">
        <f>$D$64*(1-$D$36)^(8-1)</f>
        <v/>
      </c>
      <c r="M69" s="15">
        <f>$D$64*(1-$D$36)^(9-1)</f>
        <v/>
      </c>
      <c r="N69" s="15">
        <f>$D$64*(1-$D$36)^(10-1)</f>
        <v/>
      </c>
    </row>
    <row r="70">
      <c r="A70" s="5" t="inlineStr">
        <is>
          <t>PPA Price</t>
        </is>
      </c>
      <c r="B70" s="6" t="inlineStr">
        <is>
          <t>$/MWh</t>
        </is>
      </c>
      <c r="C70" s="6" t="inlineStr">
        <is>
          <t>Escalated</t>
        </is>
      </c>
      <c r="E70" s="16">
        <f>$D$39*(1+$D$40)^(1-1)</f>
        <v/>
      </c>
      <c r="F70" s="16">
        <f>$D$39*(1+$D$40)^(2-1)</f>
        <v/>
      </c>
      <c r="G70" s="16">
        <f>$D$39*(1+$D$40)^(3-1)</f>
        <v/>
      </c>
      <c r="H70" s="16">
        <f>$D$39*(1+$D$40)^(4-1)</f>
        <v/>
      </c>
      <c r="I70" s="16">
        <f>$D$39*(1+$D$40)^(5-1)</f>
        <v/>
      </c>
      <c r="J70" s="16">
        <f>$D$39*(1+$D$40)^(6-1)</f>
        <v/>
      </c>
      <c r="K70" s="16">
        <f>$D$39*(1+$D$40)^(7-1)</f>
        <v/>
      </c>
      <c r="L70" s="16">
        <f>$D$39*(1+$D$40)^(8-1)</f>
        <v/>
      </c>
      <c r="M70" s="16">
        <f>$D$39*(1+$D$40)^(9-1)</f>
        <v/>
      </c>
      <c r="N70" s="16">
        <f>$D$39*(1+$D$40)^(10-1)</f>
        <v/>
      </c>
    </row>
    <row r="71">
      <c r="A71" s="5" t="n"/>
      <c r="B71" s="6" t="n"/>
      <c r="C71" s="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</row>
    <row r="72">
      <c r="A72" s="5" t="inlineStr">
        <is>
          <t>PPA Revenue</t>
        </is>
      </c>
      <c r="B72" s="6" t="inlineStr">
        <is>
          <t>$mm</t>
        </is>
      </c>
      <c r="C72" s="6" t="inlineStr">
        <is>
          <t>Gen × PPA Price / 1M</t>
        </is>
      </c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</row>
    <row r="73">
      <c r="A73" s="5" t="inlineStr">
        <is>
          <t>BESS Revenue</t>
        </is>
      </c>
      <c r="B73" s="6" t="inlineStr">
        <is>
          <t>$mm</t>
        </is>
      </c>
      <c r="C73" s="6" t="inlineStr">
        <is>
          <t>Arbitrage + ancillary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</row>
    <row r="74">
      <c r="A74" s="5" t="inlineStr">
        <is>
          <t>Total Revenue</t>
        </is>
      </c>
      <c r="B74" s="6" t="inlineStr">
        <is>
          <t>$mm</t>
        </is>
      </c>
      <c r="C74" s="6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</row>
    <row r="75">
      <c r="A75" s="5" t="n"/>
      <c r="B75" s="6" t="n"/>
      <c r="C75" s="6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</row>
    <row r="76">
      <c r="A76" s="5" t="inlineStr">
        <is>
          <t>O&amp;M Cost</t>
        </is>
      </c>
      <c r="B76" s="6" t="inlineStr">
        <is>
          <t>$mm</t>
        </is>
      </c>
      <c r="C76" s="6" t="inlineStr">
        <is>
          <t>Escalated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</row>
    <row r="77">
      <c r="A77" s="5" t="n"/>
      <c r="B77" s="6" t="n"/>
      <c r="C77" s="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</row>
    <row r="78">
      <c r="A78" s="5" t="inlineStr">
        <is>
          <t>EBITDA</t>
        </is>
      </c>
      <c r="B78" s="6" t="inlineStr">
        <is>
          <t>$mm</t>
        </is>
      </c>
      <c r="C78" s="6" t="inlineStr">
        <is>
          <t>Revenue minus OpEx</t>
        </is>
      </c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5" t="n"/>
      <c r="B79" s="6" t="n"/>
      <c r="C79" s="6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3" t="inlineStr">
        <is>
          <t>CASH FLOW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inlineStr">
        <is>
          <t>Taxes</t>
        </is>
      </c>
      <c r="B81" s="6" t="inlineStr">
        <is>
          <t>$mm</t>
        </is>
      </c>
      <c r="C81" s="6" t="inlineStr">
        <is>
          <t>MACRS shield Y1-Y6</t>
        </is>
      </c>
      <c r="D81" s="4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</row>
    <row r="82">
      <c r="A82" s="5" t="inlineStr">
        <is>
          <t>BESS Augmentation</t>
        </is>
      </c>
      <c r="B82" s="6" t="inlineStr">
        <is>
          <t>$mm</t>
        </is>
      </c>
      <c r="C82" s="6" t="inlineStr">
        <is>
          <t>Battery replacement</t>
        </is>
      </c>
      <c r="E82" s="18">
        <f>IF(1=$D$47,$D$48,0)</f>
        <v/>
      </c>
      <c r="F82" s="18">
        <f>IF(2=$D$47,$D$48,0)</f>
        <v/>
      </c>
      <c r="G82" s="18">
        <f>IF(3=$D$47,$D$48,0)</f>
        <v/>
      </c>
      <c r="H82" s="18">
        <f>IF(4=$D$47,$D$48,0)</f>
        <v/>
      </c>
      <c r="I82" s="18">
        <f>IF(5=$D$47,$D$48,0)</f>
        <v/>
      </c>
      <c r="J82" s="18">
        <f>IF(6=$D$47,$D$48,0)</f>
        <v/>
      </c>
      <c r="K82" s="18">
        <f>IF(7=$D$47,$D$48,0)</f>
        <v/>
      </c>
      <c r="L82" s="18">
        <f>IF(8=$D$47,$D$48,0)</f>
        <v/>
      </c>
      <c r="M82" s="18">
        <f>IF(9=$D$47,$D$48,0)</f>
        <v/>
      </c>
      <c r="N82" s="18">
        <f>IF(10=$D$47,$D$48,0)</f>
        <v/>
      </c>
    </row>
    <row r="83">
      <c r="A83" s="5" t="inlineStr">
        <is>
          <t>CFADS</t>
        </is>
      </c>
      <c r="B83" s="6" t="inlineStr">
        <is>
          <t>$mm</t>
        </is>
      </c>
      <c r="C83" s="6" t="inlineStr">
        <is>
          <t>EBITDA - Taxes - Augment</t>
        </is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5" t="n"/>
      <c r="B84" s="6" t="n"/>
      <c r="C84" s="6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3" t="inlineStr">
        <is>
          <t>DEBT SCHEDULE (Sculpted to 1.35x DSCR)</t>
        </is>
      </c>
      <c r="B85" s="4" t="n"/>
      <c r="C85" s="4" t="inlineStr">
        <is>
          <t>CFADS / Debt Service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5" t="inlineStr">
        <is>
          <t>Beginning Balance</t>
        </is>
      </c>
      <c r="B86" s="6" t="inlineStr">
        <is>
          <t>$mm</t>
        </is>
      </c>
      <c r="C86" s="6" t="n"/>
      <c r="D86" s="4" t="n">
        <v>0</v>
      </c>
      <c r="E86" s="16">
        <f>$D$65</f>
        <v/>
      </c>
      <c r="F86" s="16">
        <f>E91</f>
        <v/>
      </c>
      <c r="G86" s="16">
        <f>F91</f>
        <v/>
      </c>
      <c r="H86" s="16">
        <f>G91</f>
        <v/>
      </c>
      <c r="I86" s="16">
        <f>H91</f>
        <v/>
      </c>
      <c r="J86" s="16">
        <f>I91</f>
        <v/>
      </c>
      <c r="K86" s="16">
        <f>J91</f>
        <v/>
      </c>
      <c r="L86" s="16">
        <f>K91</f>
        <v/>
      </c>
      <c r="M86" s="16">
        <f>L91</f>
        <v/>
      </c>
      <c r="N86" s="16">
        <f>M91</f>
        <v/>
      </c>
    </row>
    <row r="87">
      <c r="A87" s="5" t="inlineStr">
        <is>
          <t>Interest</t>
        </is>
      </c>
      <c r="B87" s="6" t="inlineStr">
        <is>
          <t>$mm</t>
        </is>
      </c>
      <c r="C87" s="6" t="inlineStr">
        <is>
          <t>Beg Bal × Int Rate</t>
        </is>
      </c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</row>
    <row r="88">
      <c r="A88" s="5" t="inlineStr">
        <is>
          <t>Target Debt Service</t>
        </is>
      </c>
      <c r="B88" s="6" t="inlineStr">
        <is>
          <t>$mm</t>
        </is>
      </c>
      <c r="C88" s="6" t="inlineStr">
        <is>
          <t>CFADS / Target DSCR</t>
        </is>
      </c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</row>
    <row r="89">
      <c r="A89" s="5" t="inlineStr">
        <is>
          <t>Sculpted Principal</t>
        </is>
      </c>
      <c r="B89" s="6" t="inlineStr">
        <is>
          <t>$mm</t>
        </is>
      </c>
      <c r="C89" s="6" t="inlineStr">
        <is>
          <t>Target DS - Interest</t>
        </is>
      </c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</row>
    <row r="90">
      <c r="A90" s="5" t="inlineStr">
        <is>
          <t>Actual Debt Service</t>
        </is>
      </c>
      <c r="B90" s="6" t="inlineStr">
        <is>
          <t>$mm</t>
        </is>
      </c>
      <c r="C90" s="6" t="inlineStr">
        <is>
          <t>Interest + Principal</t>
        </is>
      </c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</row>
    <row r="91">
      <c r="A91" s="5" t="inlineStr">
        <is>
          <t>Ending Balance</t>
        </is>
      </c>
      <c r="B91" s="6" t="inlineStr">
        <is>
          <t>$mm</t>
        </is>
      </c>
      <c r="C91" s="6" t="inlineStr">
        <is>
          <t>Beg - Principal</t>
        </is>
      </c>
      <c r="D91">
        <f>$D$65</f>
        <v/>
      </c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</row>
    <row r="92">
      <c r="A92" s="5" t="inlineStr">
        <is>
          <t>Actual DSCR</t>
        </is>
      </c>
      <c r="B92" s="6" t="inlineStr">
        <is>
          <t>x</t>
        </is>
      </c>
      <c r="C92" s="6" t="inlineStr">
        <is>
          <t>CFADS / Actual DS</t>
        </is>
      </c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</row>
    <row r="93">
      <c r="A93" s="5" t="n"/>
      <c r="B93" s="6" t="n"/>
      <c r="C93" s="6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</row>
    <row r="94">
      <c r="A94" s="3" t="inlineStr">
        <is>
          <t>DSRA (Debt Service Reserve Account)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5" t="inlineStr">
        <is>
          <t>DSRA Target</t>
        </is>
      </c>
      <c r="B95" s="6" t="inlineStr">
        <is>
          <t>$mm</t>
        </is>
      </c>
      <c r="C95" s="6" t="inlineStr">
        <is>
          <t>Next Yr DS × DSRA Months / 12</t>
        </is>
      </c>
      <c r="D95" s="16">
        <f>E80*$D$44/12</f>
        <v/>
      </c>
      <c r="E95" s="16">
        <f>F90*$D$54/12</f>
        <v/>
      </c>
      <c r="F95" s="16">
        <f>G90*$D$54/12</f>
        <v/>
      </c>
      <c r="G95" s="16">
        <f>H90*$D$54/12</f>
        <v/>
      </c>
      <c r="H95" s="16">
        <f>I90*$D$54/12</f>
        <v/>
      </c>
      <c r="I95" s="16">
        <f>J90*$D$54/12</f>
        <v/>
      </c>
      <c r="J95" s="16">
        <f>K90*$D$54/12</f>
        <v/>
      </c>
      <c r="K95" s="16">
        <f>L90*$D$54/12</f>
        <v/>
      </c>
      <c r="L95" s="16">
        <f>M90*$D$54/12</f>
        <v/>
      </c>
      <c r="M95" s="16">
        <f>N90*$D$54/12</f>
        <v/>
      </c>
      <c r="N95" s="16" t="n">
        <v>0</v>
      </c>
    </row>
    <row r="96">
      <c r="A96" s="5" t="inlineStr">
        <is>
          <t>DSRA Beginning</t>
        </is>
      </c>
      <c r="B96" s="6" t="inlineStr">
        <is>
          <t>$mm</t>
        </is>
      </c>
      <c r="C96" s="6" t="n"/>
      <c r="D96" s="16" t="n">
        <v>0</v>
      </c>
      <c r="E96" s="16">
        <f>D109</f>
        <v/>
      </c>
      <c r="F96" s="16">
        <f>E98</f>
        <v/>
      </c>
      <c r="G96" s="16">
        <f>F98</f>
        <v/>
      </c>
      <c r="H96" s="16">
        <f>G98</f>
        <v/>
      </c>
      <c r="I96" s="16">
        <f>H98</f>
        <v/>
      </c>
      <c r="J96" s="16">
        <f>I98</f>
        <v/>
      </c>
      <c r="K96" s="16">
        <f>J98</f>
        <v/>
      </c>
      <c r="L96" s="16">
        <f>K98</f>
        <v/>
      </c>
      <c r="M96" s="16">
        <f>L98</f>
        <v/>
      </c>
      <c r="N96" s="16">
        <f>M98</f>
        <v/>
      </c>
    </row>
    <row r="97">
      <c r="A97" s="5" t="inlineStr">
        <is>
          <t>DSRA Funding/(Release)</t>
        </is>
      </c>
      <c r="B97" s="6" t="inlineStr">
        <is>
          <t>$mm</t>
        </is>
      </c>
      <c r="C97" s="6" t="inlineStr">
        <is>
          <t>Target - Beginning</t>
        </is>
      </c>
      <c r="D97" s="16">
        <f>D85-D86</f>
        <v/>
      </c>
      <c r="E97" s="16">
        <f>E95-E96</f>
        <v/>
      </c>
      <c r="F97" s="16">
        <f>F95-F96</f>
        <v/>
      </c>
      <c r="G97" s="16">
        <f>G95-G96</f>
        <v/>
      </c>
      <c r="H97" s="16">
        <f>H95-H96</f>
        <v/>
      </c>
      <c r="I97" s="16">
        <f>I95-I96</f>
        <v/>
      </c>
      <c r="J97" s="16">
        <f>J95-J96</f>
        <v/>
      </c>
      <c r="K97" s="16">
        <f>K95-K96</f>
        <v/>
      </c>
      <c r="L97" s="16">
        <f>L95-L96</f>
        <v/>
      </c>
      <c r="M97" s="16">
        <f>M95-M96</f>
        <v/>
      </c>
      <c r="N97" s="16">
        <f>N95-N96</f>
        <v/>
      </c>
    </row>
    <row r="98">
      <c r="A98" s="5" t="inlineStr">
        <is>
          <t>DSRA Ending</t>
        </is>
      </c>
      <c r="B98" s="6" t="inlineStr">
        <is>
          <t>$mm</t>
        </is>
      </c>
      <c r="C98" s="6" t="inlineStr">
        <is>
          <t>Beginning + Funding</t>
        </is>
      </c>
      <c r="D98" s="16">
        <f>D86+D87</f>
        <v/>
      </c>
      <c r="E98" s="16">
        <f>E96+E97</f>
        <v/>
      </c>
      <c r="F98" s="16">
        <f>F96+F97</f>
        <v/>
      </c>
      <c r="G98" s="16">
        <f>G96+G97</f>
        <v/>
      </c>
      <c r="H98" s="16">
        <f>H96+H97</f>
        <v/>
      </c>
      <c r="I98" s="16">
        <f>I96+I97</f>
        <v/>
      </c>
      <c r="J98" s="16">
        <f>J96+J97</f>
        <v/>
      </c>
      <c r="K98" s="16">
        <f>K96+K97</f>
        <v/>
      </c>
      <c r="L98" s="16">
        <f>L96+L97</f>
        <v/>
      </c>
      <c r="M98" s="16">
        <f>M96+M97</f>
        <v/>
      </c>
      <c r="N98" s="16">
        <f>N96+N97</f>
        <v/>
      </c>
    </row>
    <row r="99">
      <c r="A99" s="5" t="n"/>
      <c r="B99" s="6" t="n"/>
      <c r="C99" s="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</row>
    <row r="100">
      <c r="A100" s="3" t="inlineStr">
        <is>
          <t>DISTRIBUTION WATERFALL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5" t="inlineStr">
        <is>
          <t>Cash Available for Distribution</t>
        </is>
      </c>
      <c r="B101" s="6" t="inlineStr">
        <is>
          <t>$mm</t>
        </is>
      </c>
      <c r="C101" s="6" t="inlineStr">
        <is>
          <t>CFADS - DS - DSRA Fund</t>
        </is>
      </c>
      <c r="D101" s="4" t="n"/>
      <c r="E101" s="16">
        <f>E83-E90-E97</f>
        <v/>
      </c>
      <c r="F101" s="16">
        <f>F83-F90-F97</f>
        <v/>
      </c>
      <c r="G101" s="16">
        <f>G83-G90-G97</f>
        <v/>
      </c>
      <c r="H101" s="16">
        <f>H83-H90-H97</f>
        <v/>
      </c>
      <c r="I101" s="16">
        <f>I83-I90-I97</f>
        <v/>
      </c>
      <c r="J101" s="16">
        <f>J83-J90-J97</f>
        <v/>
      </c>
      <c r="K101" s="16">
        <f>K83-K90-K97</f>
        <v/>
      </c>
      <c r="L101" s="16">
        <f>L83-L90-L97</f>
        <v/>
      </c>
      <c r="M101" s="16">
        <f>M83-M90-M97</f>
        <v/>
      </c>
      <c r="N101" s="16">
        <f>N83-N90-N97</f>
        <v/>
      </c>
    </row>
    <row r="102">
      <c r="A102" s="5" t="inlineStr">
        <is>
          <t>Lock-up Test</t>
        </is>
      </c>
      <c r="B102" s="6" t="n"/>
      <c r="C102" s="6" t="inlineStr">
        <is>
          <t>PASS if DSCR ≥ Lock-up</t>
        </is>
      </c>
      <c r="E102" s="19">
        <f>IF(E92&gt;=$D$56,"PASS","LOCKED")</f>
        <v/>
      </c>
      <c r="F102" s="19">
        <f>IF(F92&gt;=$D$56,"PASS","LOCKED")</f>
        <v/>
      </c>
      <c r="G102" s="19">
        <f>IF(G92&gt;=$D$56,"PASS","LOCKED")</f>
        <v/>
      </c>
      <c r="H102" s="19">
        <f>IF(H92&gt;=$D$56,"PASS","LOCKED")</f>
        <v/>
      </c>
      <c r="I102" s="19">
        <f>IF(I92&gt;=$D$56,"PASS","LOCKED")</f>
        <v/>
      </c>
      <c r="J102" s="19">
        <f>IF(J92&gt;=$D$56,"PASS","LOCKED")</f>
        <v/>
      </c>
      <c r="K102" s="19">
        <f>IF(K92&gt;=$D$56,"PASS","LOCKED")</f>
        <v/>
      </c>
      <c r="L102" s="19">
        <f>IF(L92&gt;=$D$56,"PASS","LOCKED")</f>
        <v/>
      </c>
      <c r="M102" s="19">
        <f>IF(M92&gt;=$D$56,"PASS","LOCKED")</f>
        <v/>
      </c>
      <c r="N102" s="19">
        <f>IF(N92&gt;=$D$56,"PASS","LOCKED")</f>
        <v/>
      </c>
    </row>
    <row r="103">
      <c r="A103" s="5" t="inlineStr">
        <is>
          <t>Distributable Cash</t>
        </is>
      </c>
      <c r="B103" s="6" t="inlineStr">
        <is>
          <t>$mm</t>
        </is>
      </c>
      <c r="C103" s="6" t="inlineStr">
        <is>
          <t>If PASS, MAX(0, Cash Avail)</t>
        </is>
      </c>
      <c r="E103" s="7">
        <f>IF(E102="PASS",MAX(0,E101),0)</f>
        <v/>
      </c>
      <c r="F103" s="7">
        <f>IF(F102="PASS",MAX(0,F101),0)</f>
        <v/>
      </c>
      <c r="G103" s="7">
        <f>IF(G102="PASS",MAX(0,G101),0)</f>
        <v/>
      </c>
      <c r="H103" s="7">
        <f>IF(H102="PASS",MAX(0,H101),0)</f>
        <v/>
      </c>
      <c r="I103" s="7">
        <f>IF(I102="PASS",MAX(0,I101),0)</f>
        <v/>
      </c>
      <c r="J103" s="7">
        <f>IF(J102="PASS",MAX(0,J101),0)</f>
        <v/>
      </c>
      <c r="K103" s="7">
        <f>IF(K102="PASS",MAX(0,K101),0)</f>
        <v/>
      </c>
      <c r="L103" s="7">
        <f>IF(L102="PASS",MAX(0,L101),0)</f>
        <v/>
      </c>
      <c r="M103" s="7">
        <f>IF(M102="PASS",MAX(0,M101),0)</f>
        <v/>
      </c>
      <c r="N103" s="7">
        <f>IF(N102="PASS",MAX(0,N101),0)</f>
        <v/>
      </c>
    </row>
    <row r="104">
      <c r="A104" s="5" t="n"/>
      <c r="B104" s="6" t="n"/>
      <c r="C104" s="6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3" t="inlineStr">
        <is>
          <t>SOURCES &amp; USES (Year 0)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0" t="inlineStr">
        <is>
          <t>USES</t>
        </is>
      </c>
      <c r="B106" s="6" t="n"/>
      <c r="C106" s="6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5" t="inlineStr">
        <is>
          <t xml:space="preserve">  Purchase Price</t>
        </is>
      </c>
      <c r="B107" s="6" t="inlineStr">
        <is>
          <t>$mm</t>
        </is>
      </c>
      <c r="C107" s="6" t="n"/>
      <c r="D107" s="16">
        <f>$D$27</f>
        <v/>
      </c>
    </row>
    <row r="108">
      <c r="A108" s="5" t="inlineStr">
        <is>
          <t xml:space="preserve">  Transaction Fees</t>
        </is>
      </c>
      <c r="B108" s="6" t="inlineStr">
        <is>
          <t>$mm</t>
        </is>
      </c>
      <c r="C108" s="6" t="n"/>
      <c r="D108" s="16">
        <f>$D$27*$D$28</f>
        <v/>
      </c>
    </row>
    <row r="109">
      <c r="A109" s="5" t="inlineStr">
        <is>
          <t xml:space="preserve">  DSRA Funding</t>
        </is>
      </c>
      <c r="B109" s="6" t="inlineStr">
        <is>
          <t>$mm</t>
        </is>
      </c>
      <c r="C109" s="6" t="n"/>
      <c r="D109" s="16">
        <f>E95</f>
        <v/>
      </c>
    </row>
    <row r="110">
      <c r="A110" s="5" t="inlineStr">
        <is>
          <t>Total Uses</t>
        </is>
      </c>
      <c r="B110" s="6" t="inlineStr">
        <is>
          <t>$mm</t>
        </is>
      </c>
      <c r="C110" s="6" t="n"/>
      <c r="D110" s="7">
        <f>D107+D108+D109</f>
        <v/>
      </c>
    </row>
    <row r="111">
      <c r="A111" s="5" t="n"/>
      <c r="B111" s="6" t="n"/>
      <c r="C111" s="6" t="n"/>
      <c r="D111" s="7" t="n"/>
    </row>
    <row r="112">
      <c r="A112" s="20" t="inlineStr">
        <is>
          <t>SOURCES</t>
        </is>
      </c>
      <c r="B112" s="6" t="n"/>
      <c r="C112" s="6" t="n"/>
    </row>
    <row r="113">
      <c r="A113" s="5" t="inlineStr">
        <is>
          <t xml:space="preserve">  Debt</t>
        </is>
      </c>
      <c r="B113" s="6" t="inlineStr">
        <is>
          <t>$mm</t>
        </is>
      </c>
      <c r="C113" s="6" t="n"/>
      <c r="D113" s="16">
        <f>$D$27*$D$51</f>
        <v/>
      </c>
    </row>
    <row r="114">
      <c r="A114" s="5" t="inlineStr">
        <is>
          <t xml:space="preserve">  Pre-ITC Equity</t>
        </is>
      </c>
      <c r="B114" s="6" t="inlineStr">
        <is>
          <t>$mm</t>
        </is>
      </c>
      <c r="C114" s="6" t="inlineStr">
        <is>
          <t>Uses - Debt</t>
        </is>
      </c>
      <c r="D114" s="16">
        <f>D110-D113</f>
        <v/>
      </c>
    </row>
    <row r="115">
      <c r="A115" s="5" t="inlineStr">
        <is>
          <t xml:space="preserve">  ITC Benefit</t>
        </is>
      </c>
      <c r="B115" s="6" t="inlineStr">
        <is>
          <t>$mm</t>
        </is>
      </c>
      <c r="C115" s="6" t="inlineStr">
        <is>
          <t>Reduces equity required</t>
        </is>
      </c>
      <c r="D115" s="16">
        <f>$D$66</f>
        <v/>
      </c>
    </row>
    <row r="116">
      <c r="A116" s="5" t="inlineStr">
        <is>
          <t xml:space="preserve">  Net Equity</t>
        </is>
      </c>
      <c r="B116" s="6" t="inlineStr">
        <is>
          <t>$mm</t>
        </is>
      </c>
      <c r="C116" s="6" t="inlineStr">
        <is>
          <t>Pre-ITC - ITC</t>
        </is>
      </c>
      <c r="D116" s="7">
        <f>D114-D115</f>
        <v/>
      </c>
    </row>
    <row r="117">
      <c r="A117" s="5" t="inlineStr">
        <is>
          <t>Total Sources</t>
        </is>
      </c>
      <c r="B117" s="6" t="inlineStr">
        <is>
          <t>$mm</t>
        </is>
      </c>
      <c r="C117" s="6" t="n"/>
      <c r="D117" s="7">
        <f>D113+D116+D115</f>
        <v/>
      </c>
    </row>
    <row r="118">
      <c r="A118" s="5" t="inlineStr">
        <is>
          <t>Balance Check</t>
        </is>
      </c>
      <c r="B118" s="6" t="n"/>
      <c r="C118" s="6" t="n"/>
      <c r="D118" s="10">
        <f>IF(ABS(D110-D117)&lt;0.01,"PASS","FAIL")</f>
        <v/>
      </c>
    </row>
    <row r="119">
      <c r="A119" s="5" t="n"/>
      <c r="B119" s="6" t="n"/>
      <c r="C119" s="6" t="n"/>
      <c r="D119" s="10" t="n"/>
    </row>
    <row r="120">
      <c r="A120" s="3" t="inlineStr">
        <is>
          <t>EXIT CALCULATIONS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5" t="inlineStr">
        <is>
          <t>Exit EV</t>
        </is>
      </c>
      <c r="B121" s="6" t="inlineStr">
        <is>
          <t>$mm</t>
        </is>
      </c>
      <c r="C121" s="6" t="inlineStr">
        <is>
          <t>Exit Multiple × Exit Yr EBITDA</t>
        </is>
      </c>
      <c r="D121" s="4">
        <f>N78*$D$30</f>
        <v/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16">
        <f>$D$20*N68</f>
        <v/>
      </c>
    </row>
    <row r="122">
      <c r="A122" s="5" t="inlineStr">
        <is>
          <t>Exit Debt Payoff</t>
        </is>
      </c>
      <c r="B122" s="6" t="inlineStr">
        <is>
          <t>$mm</t>
        </is>
      </c>
      <c r="C122" s="6" t="inlineStr">
        <is>
          <t>Ending Bal at Exit</t>
        </is>
      </c>
      <c r="D122">
        <f>N91</f>
        <v/>
      </c>
      <c r="N122" s="16">
        <f>N81</f>
        <v/>
      </c>
    </row>
    <row r="123">
      <c r="A123" s="5" t="inlineStr">
        <is>
          <t>DSRA Release</t>
        </is>
      </c>
      <c r="B123" s="6" t="inlineStr">
        <is>
          <t>$mm</t>
        </is>
      </c>
      <c r="C123" s="6" t="inlineStr">
        <is>
          <t>DSRA Ending at Exit</t>
        </is>
      </c>
      <c r="D123">
        <f>N98</f>
        <v/>
      </c>
      <c r="N123" s="16">
        <f>N88</f>
        <v/>
      </c>
    </row>
    <row r="124">
      <c r="A124" s="5" t="inlineStr">
        <is>
          <t>Exit Equity Proceeds</t>
        </is>
      </c>
      <c r="B124" s="6" t="inlineStr">
        <is>
          <t>$mm</t>
        </is>
      </c>
      <c r="C124" s="6" t="inlineStr">
        <is>
          <t>Exit EV - Debt + DSRA</t>
        </is>
      </c>
      <c r="D124">
        <f>D121-D122+D123</f>
        <v/>
      </c>
      <c r="N124" s="7">
        <f>N111-N112+N113</f>
        <v/>
      </c>
    </row>
    <row r="125">
      <c r="A125" s="5" t="n"/>
      <c r="B125" s="6" t="n"/>
      <c r="C125" s="6" t="n"/>
      <c r="N125" s="7" t="n"/>
    </row>
    <row r="126">
      <c r="A126" s="3" t="inlineStr">
        <is>
          <t>EQUITY RETURNS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5" t="inlineStr">
        <is>
          <t>Equity Cash Flow</t>
        </is>
      </c>
      <c r="B127" s="6" t="inlineStr">
        <is>
          <t>$mm</t>
        </is>
      </c>
      <c r="C127" s="6" t="n"/>
      <c r="D127" s="16">
        <f>-D116</f>
        <v/>
      </c>
      <c r="E127" s="16">
        <f>E103</f>
        <v/>
      </c>
      <c r="F127" s="16">
        <f>F103</f>
        <v/>
      </c>
      <c r="G127" s="16">
        <f>G103</f>
        <v/>
      </c>
      <c r="H127" s="16">
        <f>H103</f>
        <v/>
      </c>
      <c r="I127" s="16">
        <f>I103</f>
        <v/>
      </c>
      <c r="J127" s="16">
        <f>J103</f>
        <v/>
      </c>
      <c r="K127" s="16">
        <f>K103</f>
        <v/>
      </c>
      <c r="L127" s="16">
        <f>L103</f>
        <v/>
      </c>
      <c r="M127" s="16">
        <f>M103</f>
        <v/>
      </c>
      <c r="N127" s="16">
        <f>N103+D124</f>
        <v/>
      </c>
    </row>
    <row r="128">
      <c r="A128" s="5" t="inlineStr">
        <is>
          <t>Levered IRR</t>
        </is>
      </c>
      <c r="B128" s="6" t="inlineStr">
        <is>
          <t>%</t>
        </is>
      </c>
      <c r="C128" s="6" t="inlineStr">
        <is>
          <t>IRR of Equity CFs</t>
        </is>
      </c>
      <c r="D128" s="2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</row>
    <row r="129">
      <c r="A129" s="5" t="inlineStr">
        <is>
          <t>MOIC</t>
        </is>
      </c>
      <c r="B129" s="6" t="inlineStr">
        <is>
          <t>x</t>
        </is>
      </c>
      <c r="C129" s="6" t="inlineStr">
        <is>
          <t>Sum inflows / outflow</t>
        </is>
      </c>
      <c r="D129" s="27" t="n"/>
    </row>
    <row r="130">
      <c r="A130" s="5" t="n"/>
      <c r="B130" s="6" t="n"/>
      <c r="C130" s="6" t="n"/>
      <c r="D130" s="27" t="n"/>
    </row>
    <row r="131">
      <c r="A131" s="20" t="inlineStr">
        <is>
          <t>Unlevered Returns (for reference)</t>
        </is>
      </c>
      <c r="B131" s="6" t="n"/>
      <c r="C131" s="6" t="n"/>
    </row>
    <row r="132">
      <c r="A132" s="5" t="inlineStr">
        <is>
          <t>Unlevered Cash Flow</t>
        </is>
      </c>
      <c r="B132" s="6" t="inlineStr">
        <is>
          <t>$mm</t>
        </is>
      </c>
      <c r="C132" s="6" t="n"/>
      <c r="D132" s="16">
        <f>-$D$27-D108</f>
        <v/>
      </c>
      <c r="E132" s="16">
        <f>E83</f>
        <v/>
      </c>
      <c r="F132" s="16">
        <f>F83</f>
        <v/>
      </c>
      <c r="G132" s="16">
        <f>G83</f>
        <v/>
      </c>
      <c r="H132" s="16">
        <f>H83</f>
        <v/>
      </c>
      <c r="I132" s="16">
        <f>I83</f>
        <v/>
      </c>
      <c r="J132" s="16">
        <f>J83</f>
        <v/>
      </c>
      <c r="K132" s="16">
        <f>K83</f>
        <v/>
      </c>
      <c r="L132" s="16">
        <f>L83</f>
        <v/>
      </c>
      <c r="M132" s="16">
        <f>M83</f>
        <v/>
      </c>
      <c r="N132" s="16">
        <f>N83+D121</f>
        <v/>
      </c>
    </row>
    <row r="133">
      <c r="A133" s="5" t="inlineStr">
        <is>
          <t>Unlevered IRR</t>
        </is>
      </c>
      <c r="B133" s="6" t="inlineStr">
        <is>
          <t>%</t>
        </is>
      </c>
      <c r="C133" s="6" t="inlineStr">
        <is>
          <t>IRR of Equity CFs</t>
        </is>
      </c>
      <c r="D133" s="28">
        <f>IRR(D132:N132)</f>
        <v/>
      </c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</row>
    <row r="134">
      <c r="A134" s="5" t="n"/>
      <c r="B134" s="6" t="n"/>
      <c r="C134" s="6" t="n"/>
      <c r="D134" s="28" t="n"/>
    </row>
  </sheetData>
  <dataValidations count="3">
    <dataValidation sqref="D7" showDropDown="0" showInputMessage="0" showErrorMessage="0" allowBlank="0" type="list">
      <formula1>"Merchant,Contracted,Hybrid"</formula1>
    </dataValidation>
    <dataValidation sqref="D9" showDropDown="0" showInputMessage="0" showErrorMessage="0" allowBlank="0" type="list">
      <formula1>"ON,OFF"</formula1>
    </dataValidation>
    <dataValidation sqref="D11" showDropDown="0" showInputMessage="0" showErrorMessage="0" allowBlank="0" type="list">
      <formula1>"Multiple,DCF"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Solar+BESS Model - Lotus Infrastructure Partners</t>
        </is>
      </c>
      <c r="D1" s="33" t="inlineStr">
        <is>
          <t>Y0 (2025)</t>
        </is>
      </c>
      <c r="E1" s="33" t="inlineStr">
        <is>
          <t>Y1 (2026)</t>
        </is>
      </c>
      <c r="F1" s="33" t="inlineStr">
        <is>
          <t>Y2 (2027)</t>
        </is>
      </c>
      <c r="G1" s="33" t="inlineStr">
        <is>
          <t>Y3 (2028)</t>
        </is>
      </c>
      <c r="H1" s="33" t="inlineStr">
        <is>
          <t>Y4 (2029)</t>
        </is>
      </c>
      <c r="I1" s="33" t="inlineStr">
        <is>
          <t>Y5 (2030)</t>
        </is>
      </c>
      <c r="J1" s="33" t="inlineStr">
        <is>
          <t>Y6 (2031)</t>
        </is>
      </c>
      <c r="K1" s="33" t="inlineStr">
        <is>
          <t>Y7 (2032)</t>
        </is>
      </c>
      <c r="L1" s="33" t="inlineStr">
        <is>
          <t>Y8 (2033)</t>
        </is>
      </c>
      <c r="M1" s="33" t="inlineStr">
        <is>
          <t>Y9 (2034)</t>
        </is>
      </c>
      <c r="N1" s="33" t="inlineStr">
        <is>
          <t>Y10 (2035)</t>
        </is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/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/>
      <c r="D4" s="7">
        <f>E68</f>
        <v/>
      </c>
    </row>
    <row r="5">
      <c r="A5" s="35" t="inlineStr">
        <is>
          <t>═══════════ CONTROL PANEL ═══════════</t>
        </is>
      </c>
      <c r="B5" s="46" t="n"/>
      <c r="C5" s="46" t="n"/>
      <c r="D5" s="46" t="n"/>
    </row>
    <row r="6">
      <c r="A6" s="46" t="n"/>
      <c r="B6" s="46" t="n"/>
      <c r="C6" s="46" t="n"/>
      <c r="D6" s="46" t="n"/>
    </row>
    <row r="7">
      <c r="A7" s="47" t="inlineStr">
        <is>
          <t>REVENUE</t>
        </is>
      </c>
      <c r="B7" s="46" t="n"/>
      <c r="C7" s="46" t="n"/>
      <c r="D7" s="46" t="n"/>
    </row>
    <row r="8">
      <c r="A8" s="31" t="inlineStr">
        <is>
          <t>Revenue Mode</t>
        </is>
      </c>
      <c r="B8" s="46" t="n"/>
      <c r="C8" s="6" t="inlineStr">
        <is>
          <t>Merchant / Contracted / Hybrid</t>
        </is>
      </c>
      <c r="D8" s="44" t="inlineStr">
        <is>
          <t>Merchant</t>
        </is>
      </c>
    </row>
    <row r="9">
      <c r="A9" s="31" t="inlineStr">
        <is>
          <t>Contract End Year</t>
        </is>
      </c>
      <c r="B9" s="46" t="n"/>
      <c r="C9" s="6" t="inlineStr">
        <is>
          <t>0 = pure merchant; else year PPA ends</t>
        </is>
      </c>
      <c r="D9" s="44" t="n">
        <v>0</v>
      </c>
    </row>
    <row r="10">
      <c r="A10" s="46" t="n"/>
      <c r="B10" s="46" t="n"/>
      <c r="C10" s="46" t="n"/>
      <c r="D10" s="46" t="n"/>
    </row>
    <row r="11">
      <c r="A11" s="47" t="inlineStr">
        <is>
          <t>TIMING</t>
        </is>
      </c>
      <c r="B11" s="46" t="n"/>
      <c r="C11" s="46" t="n"/>
      <c r="D11" s="46" t="n"/>
    </row>
    <row r="12">
      <c r="A12" s="31" t="inlineStr">
        <is>
          <t>Exit Year</t>
        </is>
      </c>
      <c r="B12" s="46" t="n"/>
      <c r="C12" s="6" t="inlineStr">
        <is>
          <t>5 / 7 / 10</t>
        </is>
      </c>
      <c r="D12" s="44" t="n">
        <v>7</v>
      </c>
    </row>
    <row r="13">
      <c r="A13" s="31" t="inlineStr">
        <is>
          <t>Tax Credit End Year</t>
        </is>
      </c>
      <c r="B13" s="46" t="n"/>
      <c r="C13" s="6" t="inlineStr">
        <is>
          <t>0 = N/A; else last year of PTC/ITC</t>
        </is>
      </c>
      <c r="D13" s="44" t="n">
        <v>0</v>
      </c>
    </row>
    <row r="14">
      <c r="A14" s="46" t="n"/>
      <c r="B14" s="46" t="n"/>
      <c r="C14" s="46" t="n"/>
      <c r="D14" s="46" t="n"/>
    </row>
    <row r="15">
      <c r="A15" s="47" t="inlineStr">
        <is>
          <t>DEBT</t>
        </is>
      </c>
      <c r="B15" s="46" t="n"/>
      <c r="C15" s="46" t="n"/>
      <c r="D15" s="48" t="n"/>
    </row>
    <row r="16">
      <c r="A16" s="31" t="inlineStr">
        <is>
          <t>Debt Sweep</t>
        </is>
      </c>
      <c r="B16" s="46" t="n"/>
      <c r="C16" s="6" t="inlineStr">
        <is>
          <t>ON / OFF (for sweep assets)</t>
        </is>
      </c>
      <c r="D16" s="30" t="inlineStr">
        <is>
          <t>ON</t>
        </is>
      </c>
    </row>
    <row r="17">
      <c r="A17" s="31" t="inlineStr">
        <is>
          <t>Sweep %</t>
        </is>
      </c>
      <c r="B17" s="46" t="n"/>
      <c r="C17" s="6" t="inlineStr">
        <is>
          <t>Active when Sweep = ON</t>
        </is>
      </c>
      <c r="D17" s="29" t="inlineStr">
        <is>
          <t>75%</t>
        </is>
      </c>
    </row>
    <row r="18">
      <c r="A18" s="46" t="n"/>
      <c r="B18" s="46" t="n"/>
      <c r="C18" s="46" t="n"/>
      <c r="D18" s="49" t="n"/>
    </row>
    <row r="19">
      <c r="A19" s="47" t="inlineStr">
        <is>
          <t>OTHER</t>
        </is>
      </c>
      <c r="B19" s="46" t="n"/>
      <c r="C19" s="46" t="n"/>
      <c r="D19" s="50" t="n"/>
    </row>
    <row r="20">
      <c r="A20" s="51" t="inlineStr">
        <is>
          <t>Exit Method</t>
        </is>
      </c>
      <c r="B20" s="46" t="n"/>
      <c r="C20" s="6" t="inlineStr">
        <is>
          <t>Multiple / DCF</t>
        </is>
      </c>
      <c r="D20" s="44" t="inlineStr">
        <is>
          <t>Multiple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5" t="inlineStr">
        <is>
          <t>════════════════════════════════════</t>
        </is>
      </c>
      <c r="B21" s="6" t="inlineStr"/>
      <c r="C21" s="6" t="inlineStr"/>
      <c r="D21" s="10">
        <f>D108</f>
        <v/>
      </c>
    </row>
    <row r="22">
      <c r="A22" s="5" t="inlineStr">
        <is>
          <t>Debt Payoff Y10</t>
        </is>
      </c>
      <c r="B22" s="6" t="inlineStr"/>
      <c r="C22" s="6" t="inlineStr"/>
      <c r="D22" s="10">
        <f>IF(N81&lt;1,"PASS","FAIL")</f>
        <v/>
      </c>
    </row>
    <row r="23">
      <c r="A23" s="5" t="inlineStr">
        <is>
          <t>Min DSCR ≥ 1.30x</t>
        </is>
      </c>
      <c r="B23" s="6" t="inlineStr"/>
      <c r="C23" s="6" t="inlineStr"/>
      <c r="D23" s="10">
        <f>IF(D6&gt;=1.30,"PASS","FAIL")</f>
        <v/>
      </c>
    </row>
    <row r="26">
      <c r="A26" s="3" t="inlineStr">
        <is>
          <t>TRANSACTION INPUTS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inlineStr">
        <is>
          <t>Entry EV</t>
        </is>
      </c>
      <c r="B27" s="6" t="inlineStr">
        <is>
          <t>$mm</t>
        </is>
      </c>
      <c r="C27" s="6" t="inlineStr">
        <is>
          <t>Purchase price</t>
        </is>
      </c>
      <c r="D27" s="11" t="n">
        <v>145</v>
      </c>
    </row>
    <row r="28">
      <c r="A28" s="5" t="inlineStr">
        <is>
          <t>Transaction Fees</t>
        </is>
      </c>
      <c r="B28" s="6" t="inlineStr">
        <is>
          <t>%</t>
        </is>
      </c>
      <c r="C28" s="6" t="inlineStr">
        <is>
          <t>Legal, advisory, financing</t>
        </is>
      </c>
      <c r="D28" s="29" t="n">
        <v>0.015</v>
      </c>
    </row>
    <row r="29">
      <c r="A29" s="5" t="inlineStr">
        <is>
          <t>ITC Rate</t>
        </is>
      </c>
      <c r="B29" s="6" t="inlineStr">
        <is>
          <t>%</t>
        </is>
      </c>
      <c r="C29" s="6" t="inlineStr">
        <is>
          <t>Investment Tax Credit</t>
        </is>
      </c>
      <c r="D29" s="29" t="n">
        <v>0.3</v>
      </c>
    </row>
    <row r="30">
      <c r="A30" s="5" t="inlineStr">
        <is>
          <t>Exit Multiple</t>
        </is>
      </c>
      <c r="B30" s="6" t="inlineStr">
        <is>
          <t>x</t>
        </is>
      </c>
      <c r="C30" s="6" t="inlineStr">
        <is>
          <t>On exit year EBITDA</t>
        </is>
      </c>
      <c r="D30" s="30" t="n">
        <v>8</v>
      </c>
    </row>
    <row r="31">
      <c r="A31" s="5" t="inlineStr">
        <is>
          <t>Exit Year</t>
        </is>
      </c>
      <c r="B31" s="6" t="inlineStr">
        <is>
          <t>#</t>
        </is>
      </c>
      <c r="C31" s="6" t="inlineStr">
        <is>
          <t>Hold period</t>
        </is>
      </c>
      <c r="D31" s="14" t="n">
        <v>10</v>
      </c>
    </row>
    <row r="33">
      <c r="A33" s="3" t="inlineStr">
        <is>
          <t>ASSET INPUTS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5" t="inlineStr">
        <is>
          <t>AC Capacity</t>
        </is>
      </c>
      <c r="B34" s="6" t="inlineStr">
        <is>
          <t>MWac</t>
        </is>
      </c>
      <c r="C34" s="6" t="inlineStr">
        <is>
          <t>Inverter rating</t>
        </is>
      </c>
      <c r="D34" s="14" t="n">
        <v>115</v>
      </c>
    </row>
    <row r="35">
      <c r="A35" s="5" t="inlineStr">
        <is>
          <t>Capacity Factor</t>
        </is>
      </c>
      <c r="B35" s="6" t="inlineStr">
        <is>
          <t>%</t>
        </is>
      </c>
      <c r="C35" s="6" t="inlineStr">
        <is>
          <t>P50 estimate</t>
        </is>
      </c>
      <c r="D35" s="29" t="n">
        <v>0.26</v>
      </c>
    </row>
    <row r="36">
      <c r="A36" s="5" t="inlineStr">
        <is>
          <t>Degradation</t>
        </is>
      </c>
      <c r="B36" s="6" t="inlineStr">
        <is>
          <t>%/yr</t>
        </is>
      </c>
      <c r="C36" s="6" t="inlineStr">
        <is>
          <t>Annual output decline</t>
        </is>
      </c>
      <c r="D36" s="29" t="n">
        <v>0.005</v>
      </c>
    </row>
    <row r="38">
      <c r="A38" s="3" t="inlineStr">
        <is>
          <t>PRICING INPUTS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5" t="inlineStr">
        <is>
          <t>PPA Price Y1</t>
        </is>
      </c>
      <c r="B39" s="6" t="inlineStr">
        <is>
          <t>$/MWh</t>
        </is>
      </c>
      <c r="C39" s="6" t="inlineStr">
        <is>
          <t>Contracted price</t>
        </is>
      </c>
      <c r="D39" s="11" t="n">
        <v>35</v>
      </c>
    </row>
    <row r="40">
      <c r="A40" s="5" t="inlineStr">
        <is>
          <t>PPA Escalation</t>
        </is>
      </c>
      <c r="B40" s="6" t="inlineStr">
        <is>
          <t>%/yr</t>
        </is>
      </c>
      <c r="C40" s="6" t="inlineStr">
        <is>
          <t>Contract escalation</t>
        </is>
      </c>
      <c r="D40" s="29" t="n">
        <v>0.015</v>
      </c>
    </row>
    <row r="41">
      <c r="A41" s="5" t="inlineStr">
        <is>
          <t>BESS Revenue Y1</t>
        </is>
      </c>
      <c r="B41" s="6" t="inlineStr">
        <is>
          <t>$mm</t>
        </is>
      </c>
      <c r="C41" s="6" t="inlineStr">
        <is>
          <t>Arbitrage + ancillary</t>
        </is>
      </c>
      <c r="D41" s="11" t="n">
        <v>4.5</v>
      </c>
    </row>
    <row r="42">
      <c r="A42" s="5" t="inlineStr">
        <is>
          <t>BESS Revenue Escalation</t>
        </is>
      </c>
      <c r="B42" s="6" t="inlineStr">
        <is>
          <t>%/yr</t>
        </is>
      </c>
      <c r="C42" s="6" t="inlineStr">
        <is>
          <t>Revenue growth</t>
        </is>
      </c>
      <c r="D42" s="29" t="n">
        <v>0.02</v>
      </c>
    </row>
    <row r="44">
      <c r="A44" s="3" t="inlineStr">
        <is>
          <t>COST INPUTS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5" t="inlineStr">
        <is>
          <t>O&amp;M Cost</t>
        </is>
      </c>
      <c r="B45" s="6" t="inlineStr">
        <is>
          <t>$mm/yr</t>
        </is>
      </c>
      <c r="C45" s="6" t="inlineStr">
        <is>
          <t>Fixed operating costs</t>
        </is>
      </c>
      <c r="D45" s="11" t="n">
        <v>2</v>
      </c>
    </row>
    <row r="46">
      <c r="A46" s="5" t="inlineStr">
        <is>
          <t>O&amp;M Escalation</t>
        </is>
      </c>
      <c r="B46" s="6" t="inlineStr">
        <is>
          <t>%/yr</t>
        </is>
      </c>
      <c r="C46" s="6" t="inlineStr">
        <is>
          <t>Cost escalation</t>
        </is>
      </c>
      <c r="D46" s="29" t="n">
        <v>0.02</v>
      </c>
    </row>
    <row r="47">
      <c r="A47" s="5" t="inlineStr">
        <is>
          <t>Augmentation Year</t>
        </is>
      </c>
      <c r="B47" s="6" t="inlineStr">
        <is>
          <t>#</t>
        </is>
      </c>
      <c r="C47" s="6" t="inlineStr">
        <is>
          <t>BESS capacity augment</t>
        </is>
      </c>
      <c r="D47" s="14" t="n">
        <v>7</v>
      </c>
    </row>
    <row r="48">
      <c r="A48" s="5" t="inlineStr">
        <is>
          <t>Augmentation Cost</t>
        </is>
      </c>
      <c r="B48" s="6" t="inlineStr">
        <is>
          <t>$mm</t>
        </is>
      </c>
      <c r="C48" s="6" t="inlineStr">
        <is>
          <t>Battery replacement</t>
        </is>
      </c>
      <c r="D48" s="11" t="n">
        <v>5</v>
      </c>
    </row>
    <row r="50">
      <c r="A50" s="3" t="inlineStr">
        <is>
          <t>FINANCING INPUTS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5" t="inlineStr">
        <is>
          <t>Leverage</t>
        </is>
      </c>
      <c r="B51" s="6" t="inlineStr">
        <is>
          <t>%</t>
        </is>
      </c>
      <c r="C51" s="6" t="inlineStr">
        <is>
          <t>Debt / Entry EV</t>
        </is>
      </c>
      <c r="D51" s="29" t="n">
        <v>0.35</v>
      </c>
    </row>
    <row r="52">
      <c r="A52" s="5" t="inlineStr">
        <is>
          <t>Interest Rate</t>
        </is>
      </c>
      <c r="B52" s="6" t="inlineStr">
        <is>
          <t>%</t>
        </is>
      </c>
      <c r="C52" s="6" t="inlineStr">
        <is>
          <t>Lower (contracted)</t>
        </is>
      </c>
      <c r="D52" s="29" t="n">
        <v>0.055</v>
      </c>
    </row>
    <row r="53">
      <c r="A53" s="5" t="inlineStr">
        <is>
          <t>Debt Tenor</t>
        </is>
      </c>
      <c r="B53" s="6" t="inlineStr">
        <is>
          <t>years</t>
        </is>
      </c>
      <c r="C53" s="6" t="inlineStr">
        <is>
          <t>Longer for contracted</t>
        </is>
      </c>
      <c r="D53" s="14" t="n">
        <v>10</v>
      </c>
    </row>
    <row r="54">
      <c r="A54" s="5" t="inlineStr">
        <is>
          <t>DSRA Months</t>
        </is>
      </c>
      <c r="B54" s="6" t="inlineStr">
        <is>
          <t>months</t>
        </is>
      </c>
      <c r="C54" s="6" t="inlineStr">
        <is>
          <t>Debt service reserve</t>
        </is>
      </c>
      <c r="D54" s="14" t="n">
        <v>6</v>
      </c>
    </row>
    <row r="55">
      <c r="A55" s="5" t="inlineStr">
        <is>
          <t>Target DSCR</t>
        </is>
      </c>
      <c r="B55" s="6" t="inlineStr">
        <is>
          <t>x</t>
        </is>
      </c>
      <c r="C55" s="6" t="inlineStr">
        <is>
          <t>For sculpting</t>
        </is>
      </c>
      <c r="D55" s="30" t="n">
        <v>1.35</v>
      </c>
    </row>
    <row r="56">
      <c r="A56" s="5" t="inlineStr">
        <is>
          <t>Lock-up DSCR</t>
        </is>
      </c>
      <c r="B56" s="6" t="inlineStr">
        <is>
          <t>x</t>
        </is>
      </c>
      <c r="C56" s="6" t="inlineStr">
        <is>
          <t>Distribution threshold</t>
        </is>
      </c>
      <c r="D56" s="30" t="n">
        <v>1.1</v>
      </c>
    </row>
    <row r="58">
      <c r="A58" s="3" t="inlineStr">
        <is>
          <t>TAX INPUTS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5" t="inlineStr">
        <is>
          <t>Tax Rate</t>
        </is>
      </c>
      <c r="B59" s="6" t="inlineStr">
        <is>
          <t>%</t>
        </is>
      </c>
      <c r="C59" s="6" t="inlineStr">
        <is>
          <t>Blended federal + state</t>
        </is>
      </c>
      <c r="D59" s="29" t="n">
        <v>0.25</v>
      </c>
    </row>
    <row r="60">
      <c r="A60" s="5" t="inlineStr">
        <is>
          <t>MACRS Shield Years</t>
        </is>
      </c>
      <c r="B60" s="6" t="inlineStr">
        <is>
          <t>#</t>
        </is>
      </c>
      <c r="C60" s="6" t="inlineStr">
        <is>
          <t>Years with no tax</t>
        </is>
      </c>
      <c r="D60" s="14" t="n">
        <v>6</v>
      </c>
    </row>
    <row r="61">
      <c r="A61" s="5" t="inlineStr">
        <is>
          <t>Post-MACRS Tax Rate</t>
        </is>
      </c>
      <c r="B61" s="6" t="inlineStr">
        <is>
          <t>%</t>
        </is>
      </c>
      <c r="C61" s="6" t="inlineStr">
        <is>
          <t>Reduced effective rate</t>
        </is>
      </c>
      <c r="D61" s="29" t="n">
        <v>0.15</v>
      </c>
    </row>
    <row r="63">
      <c r="A63" s="3" t="inlineStr">
        <is>
          <t>CALCULATED ITEMS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5" t="inlineStr">
        <is>
          <t>Y1 Generation</t>
        </is>
      </c>
      <c r="B64" s="6" t="inlineStr">
        <is>
          <t>MWh</t>
        </is>
      </c>
      <c r="C64" s="6" t="inlineStr">
        <is>
          <t>AC Cap × CF × 8760</t>
        </is>
      </c>
      <c r="D64" s="15">
        <f>$D$24*$D$25*8760</f>
        <v/>
      </c>
    </row>
    <row r="65">
      <c r="A65" s="5" t="inlineStr">
        <is>
          <t>Debt Amount</t>
        </is>
      </c>
      <c r="B65" s="6" t="inlineStr">
        <is>
          <t>$mm</t>
        </is>
      </c>
      <c r="C65" s="6" t="inlineStr">
        <is>
          <t>Entry EV × Leverage</t>
        </is>
      </c>
      <c r="D65" s="16">
        <f>$D$17*$D$41</f>
        <v/>
      </c>
    </row>
    <row r="66">
      <c r="A66" s="5" t="inlineStr">
        <is>
          <t>ITC Benefit</t>
        </is>
      </c>
      <c r="B66" s="6" t="inlineStr">
        <is>
          <t>$mm</t>
        </is>
      </c>
      <c r="C66" s="6" t="inlineStr">
        <is>
          <t>Entry EV × ITC Rate</t>
        </is>
      </c>
      <c r="D66" s="16">
        <f>$D$17*$D$19</f>
        <v/>
      </c>
    </row>
    <row r="68">
      <c r="A68" s="3" t="inlineStr">
        <is>
          <t>OPERATING MODEL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5" t="inlineStr">
        <is>
          <t>Generation</t>
        </is>
      </c>
      <c r="B69" s="6" t="inlineStr">
        <is>
          <t>MWh</t>
        </is>
      </c>
      <c r="C69" s="6" t="inlineStr">
        <is>
          <t>With degradation</t>
        </is>
      </c>
      <c r="E69" s="15">
        <f>$D$54*(1-$D$26)^(1-1)</f>
        <v/>
      </c>
      <c r="F69" s="15">
        <f>$D$54*(1-$D$26)^(2-1)</f>
        <v/>
      </c>
      <c r="G69" s="15">
        <f>$D$54*(1-$D$26)^(3-1)</f>
        <v/>
      </c>
      <c r="H69" s="15">
        <f>$D$54*(1-$D$26)^(4-1)</f>
        <v/>
      </c>
      <c r="I69" s="15">
        <f>$D$54*(1-$D$26)^(5-1)</f>
        <v/>
      </c>
      <c r="J69" s="15">
        <f>$D$54*(1-$D$26)^(6-1)</f>
        <v/>
      </c>
      <c r="K69" s="15">
        <f>$D$54*(1-$D$26)^(7-1)</f>
        <v/>
      </c>
      <c r="L69" s="15">
        <f>$D$54*(1-$D$26)^(8-1)</f>
        <v/>
      </c>
      <c r="M69" s="15">
        <f>$D$54*(1-$D$26)^(9-1)</f>
        <v/>
      </c>
      <c r="N69" s="15">
        <f>$D$54*(1-$D$26)^(10-1)</f>
        <v/>
      </c>
    </row>
    <row r="70">
      <c r="A70" s="5" t="inlineStr">
        <is>
          <t>PPA Price</t>
        </is>
      </c>
      <c r="B70" s="6" t="inlineStr">
        <is>
          <t>$/MWh</t>
        </is>
      </c>
      <c r="C70" s="6" t="inlineStr">
        <is>
          <t>Escalated</t>
        </is>
      </c>
      <c r="E70" s="16">
        <f>$D$29*(1+$D$30)^(1-1)</f>
        <v/>
      </c>
      <c r="F70" s="16">
        <f>$D$29*(1+$D$30)^(2-1)</f>
        <v/>
      </c>
      <c r="G70" s="16">
        <f>$D$29*(1+$D$30)^(3-1)</f>
        <v/>
      </c>
      <c r="H70" s="16">
        <f>$D$29*(1+$D$30)^(4-1)</f>
        <v/>
      </c>
      <c r="I70" s="16">
        <f>$D$29*(1+$D$30)^(5-1)</f>
        <v/>
      </c>
      <c r="J70" s="16">
        <f>$D$29*(1+$D$30)^(6-1)</f>
        <v/>
      </c>
      <c r="K70" s="16">
        <f>$D$29*(1+$D$30)^(7-1)</f>
        <v/>
      </c>
      <c r="L70" s="16">
        <f>$D$29*(1+$D$30)^(8-1)</f>
        <v/>
      </c>
      <c r="M70" s="16">
        <f>$D$29*(1+$D$30)^(9-1)</f>
        <v/>
      </c>
      <c r="N70" s="16">
        <f>$D$29*(1+$D$30)^(10-1)</f>
        <v/>
      </c>
    </row>
    <row r="72">
      <c r="A72" s="5" t="inlineStr">
        <is>
          <t>PPA Revenue</t>
        </is>
      </c>
      <c r="B72" s="6" t="inlineStr">
        <is>
          <t>$mm</t>
        </is>
      </c>
      <c r="C72" s="6" t="inlineStr">
        <is>
          <t>Gen × PPA Price / 1M</t>
        </is>
      </c>
      <c r="E72" s="16">
        <f>E59*E60/1000000</f>
        <v/>
      </c>
      <c r="F72" s="16">
        <f>F59*F60/1000000</f>
        <v/>
      </c>
      <c r="G72" s="16">
        <f>G59*G60/1000000</f>
        <v/>
      </c>
      <c r="H72" s="16">
        <f>H59*H60/1000000</f>
        <v/>
      </c>
      <c r="I72" s="16">
        <f>I59*I60/1000000</f>
        <v/>
      </c>
      <c r="J72" s="16">
        <f>J59*J60/1000000</f>
        <v/>
      </c>
      <c r="K72" s="16">
        <f>K59*K60/1000000</f>
        <v/>
      </c>
      <c r="L72" s="16">
        <f>L59*L60/1000000</f>
        <v/>
      </c>
      <c r="M72" s="16">
        <f>M59*M60/1000000</f>
        <v/>
      </c>
      <c r="N72" s="16">
        <f>N59*N60/1000000</f>
        <v/>
      </c>
    </row>
    <row r="73">
      <c r="A73" s="5" t="inlineStr">
        <is>
          <t>BESS Revenue</t>
        </is>
      </c>
      <c r="B73" s="6" t="inlineStr">
        <is>
          <t>$mm</t>
        </is>
      </c>
      <c r="C73" s="6" t="inlineStr">
        <is>
          <t>Arbitrage + ancillary</t>
        </is>
      </c>
      <c r="E73" s="16">
        <f>$D$31*(1+$D$32)^(1-1)</f>
        <v/>
      </c>
      <c r="F73" s="16">
        <f>$D$31*(1+$D$32)^(2-1)</f>
        <v/>
      </c>
      <c r="G73" s="16">
        <f>$D$31*(1+$D$32)^(3-1)</f>
        <v/>
      </c>
      <c r="H73" s="16">
        <f>$D$31*(1+$D$32)^(4-1)</f>
        <v/>
      </c>
      <c r="I73" s="16">
        <f>$D$31*(1+$D$32)^(5-1)</f>
        <v/>
      </c>
      <c r="J73" s="16">
        <f>$D$31*(1+$D$32)^(6-1)</f>
        <v/>
      </c>
      <c r="K73" s="16">
        <f>$D$31*(1+$D$32)^(7-1)</f>
        <v/>
      </c>
      <c r="L73" s="16">
        <f>$D$31*(1+$D$32)^(8-1)</f>
        <v/>
      </c>
      <c r="M73" s="16">
        <f>$D$31*(1+$D$32)^(9-1)</f>
        <v/>
      </c>
      <c r="N73" s="16">
        <f>$D$31*(1+$D$32)^(10-1)</f>
        <v/>
      </c>
    </row>
    <row r="74">
      <c r="A74" s="5" t="inlineStr">
        <is>
          <t>Total Revenue</t>
        </is>
      </c>
      <c r="B74" s="6" t="inlineStr">
        <is>
          <t>$mm</t>
        </is>
      </c>
      <c r="C74" s="6" t="inlineStr"/>
      <c r="E74" s="17">
        <f>E62+E63</f>
        <v/>
      </c>
      <c r="F74" s="17">
        <f>F62+F63</f>
        <v/>
      </c>
      <c r="G74" s="17">
        <f>G62+G63</f>
        <v/>
      </c>
      <c r="H74" s="17">
        <f>H62+H63</f>
        <v/>
      </c>
      <c r="I74" s="17">
        <f>I62+I63</f>
        <v/>
      </c>
      <c r="J74" s="17">
        <f>J62+J63</f>
        <v/>
      </c>
      <c r="K74" s="17">
        <f>K62+K63</f>
        <v/>
      </c>
      <c r="L74" s="17">
        <f>L62+L63</f>
        <v/>
      </c>
      <c r="M74" s="17">
        <f>M62+M63</f>
        <v/>
      </c>
      <c r="N74" s="17">
        <f>N62+N63</f>
        <v/>
      </c>
    </row>
    <row r="76">
      <c r="A76" s="5" t="inlineStr">
        <is>
          <t>O&amp;M Cost</t>
        </is>
      </c>
      <c r="B76" s="6" t="inlineStr">
        <is>
          <t>$mm</t>
        </is>
      </c>
      <c r="C76" s="6" t="inlineStr">
        <is>
          <t>Escalated</t>
        </is>
      </c>
      <c r="E76" s="16">
        <f>$D$35*(1+$D$36)^(1-1)</f>
        <v/>
      </c>
      <c r="F76" s="16">
        <f>$D$35*(1+$D$36)^(2-1)</f>
        <v/>
      </c>
      <c r="G76" s="16">
        <f>$D$35*(1+$D$36)^(3-1)</f>
        <v/>
      </c>
      <c r="H76" s="16">
        <f>$D$35*(1+$D$36)^(4-1)</f>
        <v/>
      </c>
      <c r="I76" s="16">
        <f>$D$35*(1+$D$36)^(5-1)</f>
        <v/>
      </c>
      <c r="J76" s="16">
        <f>$D$35*(1+$D$36)^(6-1)</f>
        <v/>
      </c>
      <c r="K76" s="16">
        <f>$D$35*(1+$D$36)^(7-1)</f>
        <v/>
      </c>
      <c r="L76" s="16">
        <f>$D$35*(1+$D$36)^(8-1)</f>
        <v/>
      </c>
      <c r="M76" s="16">
        <f>$D$35*(1+$D$36)^(9-1)</f>
        <v/>
      </c>
      <c r="N76" s="16">
        <f>$D$35*(1+$D$36)^(10-1)</f>
        <v/>
      </c>
    </row>
    <row r="78">
      <c r="A78" s="5" t="inlineStr">
        <is>
          <t>EBITDA</t>
        </is>
      </c>
      <c r="B78" s="6" t="inlineStr">
        <is>
          <t>$mm</t>
        </is>
      </c>
      <c r="C78" s="6" t="inlineStr"/>
      <c r="E78" s="7">
        <f>E64-E66</f>
        <v/>
      </c>
      <c r="F78" s="7">
        <f>F64-F66</f>
        <v/>
      </c>
      <c r="G78" s="7">
        <f>G64-G66</f>
        <v/>
      </c>
      <c r="H78" s="7">
        <f>H64-H66</f>
        <v/>
      </c>
      <c r="I78" s="7">
        <f>I64-I66</f>
        <v/>
      </c>
      <c r="J78" s="7">
        <f>J64-J66</f>
        <v/>
      </c>
      <c r="K78" s="7">
        <f>K64-K66</f>
        <v/>
      </c>
      <c r="L78" s="7">
        <f>L64-L66</f>
        <v/>
      </c>
      <c r="M78" s="7">
        <f>M64-M66</f>
        <v/>
      </c>
      <c r="N78" s="7">
        <f>N64-N66</f>
        <v/>
      </c>
    </row>
    <row r="80">
      <c r="A80" s="3" t="inlineStr">
        <is>
          <t>CASH FLOW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5" t="inlineStr">
        <is>
          <t>Taxes</t>
        </is>
      </c>
      <c r="B81" s="6" t="inlineStr">
        <is>
          <t>$mm</t>
        </is>
      </c>
      <c r="C81" s="6" t="inlineStr">
        <is>
          <t>MACRS shield Y1-Y6</t>
        </is>
      </c>
      <c r="E81" s="16">
        <f>IF(1&lt;=$D$50,0,MAX(0,E68)*$D$51)</f>
        <v/>
      </c>
      <c r="F81" s="16">
        <f>IF(2&lt;=$D$50,0,MAX(0,F68)*$D$51)</f>
        <v/>
      </c>
      <c r="G81" s="16">
        <f>IF(3&lt;=$D$50,0,MAX(0,G68)*$D$51)</f>
        <v/>
      </c>
      <c r="H81" s="16">
        <f>IF(4&lt;=$D$50,0,MAX(0,H68)*$D$51)</f>
        <v/>
      </c>
      <c r="I81" s="16">
        <f>IF(5&lt;=$D$50,0,MAX(0,I68)*$D$51)</f>
        <v/>
      </c>
      <c r="J81" s="16">
        <f>IF(6&lt;=$D$50,0,MAX(0,J68)*$D$51)</f>
        <v/>
      </c>
      <c r="K81" s="16">
        <f>IF(7&lt;=$D$50,0,MAX(0,K68)*$D$51)</f>
        <v/>
      </c>
      <c r="L81" s="16">
        <f>IF(8&lt;=$D$50,0,MAX(0,L68)*$D$51)</f>
        <v/>
      </c>
      <c r="M81" s="16">
        <f>IF(9&lt;=$D$50,0,MAX(0,M68)*$D$51)</f>
        <v/>
      </c>
      <c r="N81" s="16">
        <f>IF(10&lt;=$D$50,0,MAX(0,N68)*$D$51)</f>
        <v/>
      </c>
    </row>
    <row r="82">
      <c r="A82" s="5" t="inlineStr">
        <is>
          <t>BESS Augmentation</t>
        </is>
      </c>
      <c r="B82" s="6" t="inlineStr">
        <is>
          <t>$mm</t>
        </is>
      </c>
      <c r="C82" s="6" t="inlineStr">
        <is>
          <t>Battery replacement</t>
        </is>
      </c>
      <c r="E82" s="18">
        <f>IF(1=$D$37,$D$38,0)</f>
        <v/>
      </c>
      <c r="F82" s="18">
        <f>IF(2=$D$37,$D$38,0)</f>
        <v/>
      </c>
      <c r="G82" s="18">
        <f>IF(3=$D$37,$D$38,0)</f>
        <v/>
      </c>
      <c r="H82" s="18">
        <f>IF(4=$D$37,$D$38,0)</f>
        <v/>
      </c>
      <c r="I82" s="18">
        <f>IF(5=$D$37,$D$38,0)</f>
        <v/>
      </c>
      <c r="J82" s="18">
        <f>IF(6=$D$37,$D$38,0)</f>
        <v/>
      </c>
      <c r="K82" s="18">
        <f>IF(7=$D$37,$D$38,0)</f>
        <v/>
      </c>
      <c r="L82" s="18">
        <f>IF(8=$D$37,$D$38,0)</f>
        <v/>
      </c>
      <c r="M82" s="18">
        <f>IF(9=$D$37,$D$38,0)</f>
        <v/>
      </c>
      <c r="N82" s="18">
        <f>IF(10=$D$37,$D$38,0)</f>
        <v/>
      </c>
    </row>
    <row r="83">
      <c r="A83" s="5" t="inlineStr">
        <is>
          <t>CFADS</t>
        </is>
      </c>
      <c r="B83" s="6" t="inlineStr">
        <is>
          <t>$mm</t>
        </is>
      </c>
      <c r="C83" s="6" t="inlineStr">
        <is>
          <t>EBITDA - Taxes - Augment</t>
        </is>
      </c>
      <c r="E83" s="7">
        <f>E68-E71-E72</f>
        <v/>
      </c>
      <c r="F83" s="7">
        <f>F68-F71-F72</f>
        <v/>
      </c>
      <c r="G83" s="7">
        <f>G68-G71-G72</f>
        <v/>
      </c>
      <c r="H83" s="7">
        <f>H68-H71-H72</f>
        <v/>
      </c>
      <c r="I83" s="7">
        <f>I68-I71-I72</f>
        <v/>
      </c>
      <c r="J83" s="7">
        <f>J68-J71-J72</f>
        <v/>
      </c>
      <c r="K83" s="7">
        <f>K68-K71-K72</f>
        <v/>
      </c>
      <c r="L83" s="7">
        <f>L68-L71-L72</f>
        <v/>
      </c>
      <c r="M83" s="7">
        <f>M68-M71-M72</f>
        <v/>
      </c>
      <c r="N83" s="7">
        <f>N68-N71-N72</f>
        <v/>
      </c>
    </row>
    <row r="85">
      <c r="A85" s="3" t="inlineStr">
        <is>
          <t>DEBT SCHEDULE (Sculpted to 1.35x DSCR)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5" t="inlineStr">
        <is>
          <t>Beginning Balance</t>
        </is>
      </c>
      <c r="B86" s="6" t="inlineStr">
        <is>
          <t>$mm</t>
        </is>
      </c>
      <c r="C86" s="6" t="inlineStr"/>
      <c r="E86" s="16">
        <f>$D$55</f>
        <v/>
      </c>
      <c r="F86" s="16">
        <f>E81</f>
        <v/>
      </c>
      <c r="G86" s="16">
        <f>F81</f>
        <v/>
      </c>
      <c r="H86" s="16">
        <f>G81</f>
        <v/>
      </c>
      <c r="I86" s="16">
        <f>H81</f>
        <v/>
      </c>
      <c r="J86" s="16">
        <f>I81</f>
        <v/>
      </c>
      <c r="K86" s="16">
        <f>J81</f>
        <v/>
      </c>
      <c r="L86" s="16">
        <f>K81</f>
        <v/>
      </c>
      <c r="M86" s="16">
        <f>L81</f>
        <v/>
      </c>
      <c r="N86" s="16">
        <f>M81</f>
        <v/>
      </c>
    </row>
    <row r="87">
      <c r="A87" s="5" t="inlineStr">
        <is>
          <t>Interest</t>
        </is>
      </c>
      <c r="B87" s="6" t="inlineStr">
        <is>
          <t>$mm</t>
        </is>
      </c>
      <c r="C87" s="6" t="inlineStr">
        <is>
          <t>Beg Bal × Int Rate</t>
        </is>
      </c>
      <c r="E87" s="16">
        <f>E76*$D$42</f>
        <v/>
      </c>
      <c r="F87" s="16">
        <f>F76*$D$42</f>
        <v/>
      </c>
      <c r="G87" s="16">
        <f>G76*$D$42</f>
        <v/>
      </c>
      <c r="H87" s="16">
        <f>H76*$D$42</f>
        <v/>
      </c>
      <c r="I87" s="16">
        <f>I76*$D$42</f>
        <v/>
      </c>
      <c r="J87" s="16">
        <f>J76*$D$42</f>
        <v/>
      </c>
      <c r="K87" s="16">
        <f>K76*$D$42</f>
        <v/>
      </c>
      <c r="L87" s="16">
        <f>L76*$D$42</f>
        <v/>
      </c>
      <c r="M87" s="16">
        <f>M76*$D$42</f>
        <v/>
      </c>
      <c r="N87" s="16">
        <f>N76*$D$42</f>
        <v/>
      </c>
    </row>
    <row r="88">
      <c r="A88" s="5" t="inlineStr">
        <is>
          <t>Target Debt Service</t>
        </is>
      </c>
      <c r="B88" s="6" t="inlineStr">
        <is>
          <t>$mm</t>
        </is>
      </c>
      <c r="C88" s="6" t="inlineStr">
        <is>
          <t>CFADS / Target DSCR</t>
        </is>
      </c>
      <c r="E88" s="16">
        <f>E73/$D$45</f>
        <v/>
      </c>
      <c r="F88" s="16">
        <f>F73/$D$45</f>
        <v/>
      </c>
      <c r="G88" s="16">
        <f>G73/$D$45</f>
        <v/>
      </c>
      <c r="H88" s="16">
        <f>H73/$D$45</f>
        <v/>
      </c>
      <c r="I88" s="16">
        <f>I73/$D$45</f>
        <v/>
      </c>
      <c r="J88" s="16">
        <f>J73/$D$45</f>
        <v/>
      </c>
      <c r="K88" s="16">
        <f>K73/$D$45</f>
        <v/>
      </c>
      <c r="L88" s="16">
        <f>L73/$D$45</f>
        <v/>
      </c>
      <c r="M88" s="16">
        <f>M73/$D$45</f>
        <v/>
      </c>
      <c r="N88" s="16">
        <f>N73/$D$45</f>
        <v/>
      </c>
    </row>
    <row r="89">
      <c r="A89" s="5" t="inlineStr">
        <is>
          <t>Sculpted Principal</t>
        </is>
      </c>
      <c r="B89" s="6" t="inlineStr">
        <is>
          <t>$mm</t>
        </is>
      </c>
      <c r="C89" s="6" t="inlineStr">
        <is>
          <t>Target DS - Interest</t>
        </is>
      </c>
      <c r="E89" s="16">
        <f>MIN(MAX(0,E78-E77),E76)</f>
        <v/>
      </c>
      <c r="F89" s="16">
        <f>MIN(MAX(0,F78-F77),F76)</f>
        <v/>
      </c>
      <c r="G89" s="16">
        <f>MIN(MAX(0,G78-G77),G76)</f>
        <v/>
      </c>
      <c r="H89" s="16">
        <f>MIN(MAX(0,H78-H77),H76)</f>
        <v/>
      </c>
      <c r="I89" s="16">
        <f>MIN(MAX(0,I78-I77),I76)</f>
        <v/>
      </c>
      <c r="J89" s="16">
        <f>MIN(MAX(0,J78-J77),J76)</f>
        <v/>
      </c>
      <c r="K89" s="16">
        <f>MIN(MAX(0,K78-K77),K76)</f>
        <v/>
      </c>
      <c r="L89" s="16">
        <f>MIN(MAX(0,L78-L77),L76)</f>
        <v/>
      </c>
      <c r="M89" s="16">
        <f>MIN(MAX(0,M78-M77),M76)</f>
        <v/>
      </c>
      <c r="N89" s="16">
        <f>MIN(MAX(0,N78-N77),N76)</f>
        <v/>
      </c>
    </row>
    <row r="90">
      <c r="A90" s="5" t="inlineStr">
        <is>
          <t>Actual Debt Service</t>
        </is>
      </c>
      <c r="B90" s="6" t="inlineStr">
        <is>
          <t>$mm</t>
        </is>
      </c>
      <c r="C90" s="6" t="inlineStr">
        <is>
          <t>Interest + Principal</t>
        </is>
      </c>
      <c r="E90" s="16">
        <f>E77+E79</f>
        <v/>
      </c>
      <c r="F90" s="16">
        <f>F77+F79</f>
        <v/>
      </c>
      <c r="G90" s="16">
        <f>G77+G79</f>
        <v/>
      </c>
      <c r="H90" s="16">
        <f>H77+H79</f>
        <v/>
      </c>
      <c r="I90" s="16">
        <f>I77+I79</f>
        <v/>
      </c>
      <c r="J90" s="16">
        <f>J77+J79</f>
        <v/>
      </c>
      <c r="K90" s="16">
        <f>K77+K79</f>
        <v/>
      </c>
      <c r="L90" s="16">
        <f>L77+L79</f>
        <v/>
      </c>
      <c r="M90" s="16">
        <f>M77+M79</f>
        <v/>
      </c>
      <c r="N90" s="16">
        <f>N77+N79</f>
        <v/>
      </c>
    </row>
    <row r="91">
      <c r="A91" s="5" t="inlineStr">
        <is>
          <t>Ending Balance</t>
        </is>
      </c>
      <c r="B91" s="6" t="inlineStr">
        <is>
          <t>$mm</t>
        </is>
      </c>
      <c r="C91" s="6" t="inlineStr">
        <is>
          <t>Beg - Principal</t>
        </is>
      </c>
      <c r="E91" s="16">
        <f>MAX(0,E76-E79)</f>
        <v/>
      </c>
      <c r="F91" s="16">
        <f>MAX(0,F76-F79)</f>
        <v/>
      </c>
      <c r="G91" s="16">
        <f>MAX(0,G76-G79)</f>
        <v/>
      </c>
      <c r="H91" s="16">
        <f>MAX(0,H76-H79)</f>
        <v/>
      </c>
      <c r="I91" s="16">
        <f>MAX(0,I76-I79)</f>
        <v/>
      </c>
      <c r="J91" s="16">
        <f>MAX(0,J76-J79)</f>
        <v/>
      </c>
      <c r="K91" s="16">
        <f>MAX(0,K76-K79)</f>
        <v/>
      </c>
      <c r="L91" s="16">
        <f>MAX(0,L76-L79)</f>
        <v/>
      </c>
      <c r="M91" s="16">
        <f>MAX(0,M76-M79)</f>
        <v/>
      </c>
      <c r="N91" s="16">
        <f>MAX(0,N76-N79)</f>
        <v/>
      </c>
    </row>
    <row r="92">
      <c r="A92" s="5" t="inlineStr">
        <is>
          <t>Actual DSCR</t>
        </is>
      </c>
      <c r="B92" s="6" t="inlineStr">
        <is>
          <t>x</t>
        </is>
      </c>
      <c r="C92" s="6" t="inlineStr">
        <is>
          <t>CFADS / Actual DS</t>
        </is>
      </c>
      <c r="E92" s="27">
        <f>IF(E80&gt;0,E73/E80,0)</f>
        <v/>
      </c>
      <c r="F92" s="27">
        <f>IF(F80&gt;0,F73/F80,0)</f>
        <v/>
      </c>
      <c r="G92" s="27">
        <f>IF(G80&gt;0,G73/G80,0)</f>
        <v/>
      </c>
      <c r="H92" s="27">
        <f>IF(H80&gt;0,H73/H80,0)</f>
        <v/>
      </c>
      <c r="I92" s="27">
        <f>IF(I80&gt;0,I73/I80,0)</f>
        <v/>
      </c>
      <c r="J92" s="27">
        <f>IF(J80&gt;0,J73/J80,0)</f>
        <v/>
      </c>
      <c r="K92" s="27">
        <f>IF(K80&gt;0,K73/K80,0)</f>
        <v/>
      </c>
      <c r="L92" s="27">
        <f>IF(L80&gt;0,L73/L80,0)</f>
        <v/>
      </c>
      <c r="M92" s="27">
        <f>IF(M80&gt;0,M73/M80,0)</f>
        <v/>
      </c>
      <c r="N92" s="27">
        <f>IF(N80&gt;0,N73/N80,0)</f>
        <v/>
      </c>
    </row>
    <row r="94">
      <c r="A94" s="3" t="inlineStr">
        <is>
          <t>DSRA (Debt Service Reserve Account)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5" t="inlineStr">
        <is>
          <t>DSRA Target</t>
        </is>
      </c>
      <c r="B95" s="6" t="inlineStr">
        <is>
          <t>$mm</t>
        </is>
      </c>
      <c r="C95" s="6" t="inlineStr">
        <is>
          <t>Next Yr DS × DSRA Months / 12</t>
        </is>
      </c>
      <c r="D95" s="16">
        <f>E80*$D$44/12</f>
        <v/>
      </c>
      <c r="E95" s="16">
        <f>F80*$D$44/12</f>
        <v/>
      </c>
      <c r="F95" s="16">
        <f>G80*$D$44/12</f>
        <v/>
      </c>
      <c r="G95" s="16">
        <f>H80*$D$44/12</f>
        <v/>
      </c>
      <c r="H95" s="16">
        <f>I80*$D$44/12</f>
        <v/>
      </c>
      <c r="I95" s="16">
        <f>J80*$D$44/12</f>
        <v/>
      </c>
      <c r="J95" s="16">
        <f>K80*$D$44/12</f>
        <v/>
      </c>
      <c r="K95" s="16">
        <f>L80*$D$44/12</f>
        <v/>
      </c>
      <c r="L95" s="16">
        <f>M80*$D$44/12</f>
        <v/>
      </c>
      <c r="M95" s="16">
        <f>N80*$D$44/12</f>
        <v/>
      </c>
      <c r="N95" s="16">
        <f>0</f>
        <v/>
      </c>
    </row>
    <row r="96">
      <c r="A96" s="5" t="inlineStr">
        <is>
          <t>DSRA Beginning</t>
        </is>
      </c>
      <c r="B96" s="6" t="inlineStr">
        <is>
          <t>$mm</t>
        </is>
      </c>
      <c r="C96" s="6" t="inlineStr"/>
      <c r="D96" s="16">
        <f>0</f>
        <v/>
      </c>
      <c r="E96" s="16">
        <f>D88</f>
        <v/>
      </c>
      <c r="F96" s="16">
        <f>E88</f>
        <v/>
      </c>
      <c r="G96" s="16">
        <f>F88</f>
        <v/>
      </c>
      <c r="H96" s="16">
        <f>G88</f>
        <v/>
      </c>
      <c r="I96" s="16">
        <f>H88</f>
        <v/>
      </c>
      <c r="J96" s="16">
        <f>I88</f>
        <v/>
      </c>
      <c r="K96" s="16">
        <f>J88</f>
        <v/>
      </c>
      <c r="L96" s="16">
        <f>K88</f>
        <v/>
      </c>
      <c r="M96" s="16">
        <f>L88</f>
        <v/>
      </c>
      <c r="N96" s="16">
        <f>M88</f>
        <v/>
      </c>
    </row>
    <row r="97">
      <c r="A97" s="5" t="inlineStr">
        <is>
          <t>DSRA Funding/(Release)</t>
        </is>
      </c>
      <c r="B97" s="6" t="inlineStr">
        <is>
          <t>$mm</t>
        </is>
      </c>
      <c r="C97" s="6" t="inlineStr">
        <is>
          <t>Target - Beginning</t>
        </is>
      </c>
      <c r="D97" s="16">
        <f>D85-D86</f>
        <v/>
      </c>
      <c r="E97" s="16">
        <f>E85-E86</f>
        <v/>
      </c>
      <c r="F97" s="16">
        <f>F85-F86</f>
        <v/>
      </c>
      <c r="G97" s="16">
        <f>G85-G86</f>
        <v/>
      </c>
      <c r="H97" s="16">
        <f>H85-H86</f>
        <v/>
      </c>
      <c r="I97" s="16">
        <f>I85-I86</f>
        <v/>
      </c>
      <c r="J97" s="16">
        <f>J85-J86</f>
        <v/>
      </c>
      <c r="K97" s="16">
        <f>K85-K86</f>
        <v/>
      </c>
      <c r="L97" s="16">
        <f>L85-L86</f>
        <v/>
      </c>
      <c r="M97" s="16">
        <f>M85-M86</f>
        <v/>
      </c>
      <c r="N97" s="16">
        <f>N85-N86</f>
        <v/>
      </c>
    </row>
    <row r="98">
      <c r="A98" s="5" t="inlineStr">
        <is>
          <t>DSRA Ending</t>
        </is>
      </c>
      <c r="B98" s="6" t="inlineStr">
        <is>
          <t>$mm</t>
        </is>
      </c>
      <c r="C98" s="6" t="inlineStr">
        <is>
          <t>Beginning + Funding</t>
        </is>
      </c>
      <c r="D98" s="16">
        <f>D86+D87</f>
        <v/>
      </c>
      <c r="E98" s="16">
        <f>E86+E87</f>
        <v/>
      </c>
      <c r="F98" s="16">
        <f>F86+F87</f>
        <v/>
      </c>
      <c r="G98" s="16">
        <f>G86+G87</f>
        <v/>
      </c>
      <c r="H98" s="16">
        <f>H86+H87</f>
        <v/>
      </c>
      <c r="I98" s="16">
        <f>I86+I87</f>
        <v/>
      </c>
      <c r="J98" s="16">
        <f>J86+J87</f>
        <v/>
      </c>
      <c r="K98" s="16">
        <f>K86+K87</f>
        <v/>
      </c>
      <c r="L98" s="16">
        <f>L86+L87</f>
        <v/>
      </c>
      <c r="M98" s="16">
        <f>M86+M87</f>
        <v/>
      </c>
      <c r="N98" s="16">
        <f>N86+N87</f>
        <v/>
      </c>
    </row>
    <row r="100">
      <c r="A100" s="3" t="inlineStr">
        <is>
          <t>DISTRIBUTION WATERFALL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5" t="inlineStr">
        <is>
          <t>Cash Available for Distribution</t>
        </is>
      </c>
      <c r="B101" s="6" t="inlineStr">
        <is>
          <t>$mm</t>
        </is>
      </c>
      <c r="C101" s="6" t="inlineStr">
        <is>
          <t>CFADS - DS - DSRA Fund</t>
        </is>
      </c>
      <c r="E101" s="16">
        <f>E73-E80-E87</f>
        <v/>
      </c>
      <c r="F101" s="16">
        <f>F73-F80-F87</f>
        <v/>
      </c>
      <c r="G101" s="16">
        <f>G73-G80-G87</f>
        <v/>
      </c>
      <c r="H101" s="16">
        <f>H73-H80-H87</f>
        <v/>
      </c>
      <c r="I101" s="16">
        <f>I73-I80-I87</f>
        <v/>
      </c>
      <c r="J101" s="16">
        <f>J73-J80-J87</f>
        <v/>
      </c>
      <c r="K101" s="16">
        <f>K73-K80-K87</f>
        <v/>
      </c>
      <c r="L101" s="16">
        <f>L73-L80-L87</f>
        <v/>
      </c>
      <c r="M101" s="16">
        <f>M73-M80-M87</f>
        <v/>
      </c>
      <c r="N101" s="16">
        <f>N73-N80-N87</f>
        <v/>
      </c>
    </row>
    <row r="102">
      <c r="A102" s="5" t="inlineStr">
        <is>
          <t>Lock-up Test</t>
        </is>
      </c>
      <c r="B102" s="6" t="inlineStr"/>
      <c r="C102" s="6" t="inlineStr">
        <is>
          <t>PASS if DSCR ≥ Lock-up</t>
        </is>
      </c>
      <c r="E102" s="19">
        <f>IF(E82&gt;=$D$46,"PASS","LOCKED")</f>
        <v/>
      </c>
      <c r="F102" s="19">
        <f>IF(F82&gt;=$D$46,"PASS","LOCKED")</f>
        <v/>
      </c>
      <c r="G102" s="19">
        <f>IF(G82&gt;=$D$46,"PASS","LOCKED")</f>
        <v/>
      </c>
      <c r="H102" s="19">
        <f>IF(H82&gt;=$D$46,"PASS","LOCKED")</f>
        <v/>
      </c>
      <c r="I102" s="19">
        <f>IF(I82&gt;=$D$46,"PASS","LOCKED")</f>
        <v/>
      </c>
      <c r="J102" s="19">
        <f>IF(J82&gt;=$D$46,"PASS","LOCKED")</f>
        <v/>
      </c>
      <c r="K102" s="19">
        <f>IF(K82&gt;=$D$46,"PASS","LOCKED")</f>
        <v/>
      </c>
      <c r="L102" s="19">
        <f>IF(L82&gt;=$D$46,"PASS","LOCKED")</f>
        <v/>
      </c>
      <c r="M102" s="19">
        <f>IF(M82&gt;=$D$46,"PASS","LOCKED")</f>
        <v/>
      </c>
      <c r="N102" s="19">
        <f>IF(N82&gt;=$D$46,"PASS","LOCKED")</f>
        <v/>
      </c>
    </row>
    <row r="103">
      <c r="A103" s="5" t="inlineStr">
        <is>
          <t>Distributable Cash</t>
        </is>
      </c>
      <c r="B103" s="6" t="inlineStr">
        <is>
          <t>$mm</t>
        </is>
      </c>
      <c r="C103" s="6" t="inlineStr">
        <is>
          <t>If PASS, MAX(0, Cash Avail)</t>
        </is>
      </c>
      <c r="E103" s="7">
        <f>IF(E92="PASS",MAX(0,E91),0)</f>
        <v/>
      </c>
      <c r="F103" s="7">
        <f>IF(F92="PASS",MAX(0,F91),0)</f>
        <v/>
      </c>
      <c r="G103" s="7">
        <f>IF(G92="PASS",MAX(0,G91),0)</f>
        <v/>
      </c>
      <c r="H103" s="7">
        <f>IF(H92="PASS",MAX(0,H91),0)</f>
        <v/>
      </c>
      <c r="I103" s="7">
        <f>IF(I92="PASS",MAX(0,I91),0)</f>
        <v/>
      </c>
      <c r="J103" s="7">
        <f>IF(J92="PASS",MAX(0,J91),0)</f>
        <v/>
      </c>
      <c r="K103" s="7">
        <f>IF(K92="PASS",MAX(0,K91),0)</f>
        <v/>
      </c>
      <c r="L103" s="7">
        <f>IF(L92="PASS",MAX(0,L91),0)</f>
        <v/>
      </c>
      <c r="M103" s="7">
        <f>IF(M92="PASS",MAX(0,M91),0)</f>
        <v/>
      </c>
      <c r="N103" s="7">
        <f>IF(N92="PASS",MAX(0,N91),0)</f>
        <v/>
      </c>
    </row>
    <row r="105">
      <c r="A105" s="3" t="inlineStr">
        <is>
          <t>SOURCES &amp; USES (Year 0)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0" t="inlineStr">
        <is>
          <t>USES</t>
        </is>
      </c>
      <c r="B106" s="6" t="inlineStr"/>
      <c r="C106" s="6" t="inlineStr"/>
    </row>
    <row r="107">
      <c r="A107" s="5" t="inlineStr">
        <is>
          <t xml:space="preserve">  Purchase Price</t>
        </is>
      </c>
      <c r="B107" s="6" t="inlineStr">
        <is>
          <t>$mm</t>
        </is>
      </c>
      <c r="C107" s="6" t="inlineStr"/>
      <c r="D107" s="16">
        <f>$D$17</f>
        <v/>
      </c>
    </row>
    <row r="108">
      <c r="A108" s="5" t="inlineStr">
        <is>
          <t xml:space="preserve">  Transaction Fees</t>
        </is>
      </c>
      <c r="B108" s="6" t="inlineStr">
        <is>
          <t>$mm</t>
        </is>
      </c>
      <c r="C108" s="6" t="inlineStr"/>
      <c r="D108" s="16">
        <f>$D$17*$D$18</f>
        <v/>
      </c>
    </row>
    <row r="109">
      <c r="A109" s="5" t="inlineStr">
        <is>
          <t xml:space="preserve">  DSRA Funding</t>
        </is>
      </c>
      <c r="B109" s="6" t="inlineStr">
        <is>
          <t>$mm</t>
        </is>
      </c>
      <c r="C109" s="6" t="inlineStr"/>
      <c r="D109" s="16">
        <f>D85</f>
        <v/>
      </c>
    </row>
    <row r="110">
      <c r="A110" s="5" t="inlineStr">
        <is>
          <t>Total Uses</t>
        </is>
      </c>
      <c r="B110" s="6" t="inlineStr">
        <is>
          <t>$mm</t>
        </is>
      </c>
      <c r="C110" s="6" t="inlineStr"/>
      <c r="D110" s="7">
        <f>D97+D98+D99</f>
        <v/>
      </c>
    </row>
    <row r="112">
      <c r="A112" s="20" t="inlineStr">
        <is>
          <t>SOURCES</t>
        </is>
      </c>
      <c r="B112" s="6" t="inlineStr"/>
      <c r="C112" s="6" t="inlineStr"/>
    </row>
    <row r="113">
      <c r="A113" s="5" t="inlineStr">
        <is>
          <t xml:space="preserve">  Debt</t>
        </is>
      </c>
      <c r="B113" s="6" t="inlineStr">
        <is>
          <t>$mm</t>
        </is>
      </c>
      <c r="C113" s="6" t="inlineStr"/>
      <c r="D113" s="16">
        <f>$D$55</f>
        <v/>
      </c>
    </row>
    <row r="114">
      <c r="A114" s="5" t="inlineStr">
        <is>
          <t xml:space="preserve">  Pre-ITC Equity</t>
        </is>
      </c>
      <c r="B114" s="6" t="inlineStr">
        <is>
          <t>$mm</t>
        </is>
      </c>
      <c r="C114" s="6" t="inlineStr">
        <is>
          <t>Uses - Debt</t>
        </is>
      </c>
      <c r="D114" s="16">
        <f>D100-D103</f>
        <v/>
      </c>
    </row>
    <row r="115">
      <c r="A115" s="5" t="inlineStr">
        <is>
          <t xml:space="preserve">  ITC Benefit</t>
        </is>
      </c>
      <c r="B115" s="6" t="inlineStr">
        <is>
          <t>$mm</t>
        </is>
      </c>
      <c r="C115" s="6" t="inlineStr">
        <is>
          <t>Reduces equity required</t>
        </is>
      </c>
      <c r="D115" s="16">
        <f>$D$56</f>
        <v/>
      </c>
    </row>
    <row r="116">
      <c r="A116" s="5" t="inlineStr">
        <is>
          <t xml:space="preserve">  Net Equity</t>
        </is>
      </c>
      <c r="B116" s="6" t="inlineStr">
        <is>
          <t>$mm</t>
        </is>
      </c>
      <c r="C116" s="6" t="inlineStr">
        <is>
          <t>Pre-ITC - ITC</t>
        </is>
      </c>
      <c r="D116" s="7">
        <f>D104-D105</f>
        <v/>
      </c>
    </row>
    <row r="117">
      <c r="A117" s="5" t="inlineStr">
        <is>
          <t>Total Sources</t>
        </is>
      </c>
      <c r="B117" s="6" t="inlineStr">
        <is>
          <t>$mm</t>
        </is>
      </c>
      <c r="C117" s="6" t="inlineStr"/>
      <c r="D117" s="7">
        <f>D103+D106+D105</f>
        <v/>
      </c>
    </row>
    <row r="118">
      <c r="A118" s="5" t="inlineStr">
        <is>
          <t>Balance Check</t>
        </is>
      </c>
      <c r="B118" s="6" t="inlineStr"/>
      <c r="C118" s="6" t="inlineStr"/>
      <c r="D118" s="10">
        <f>IF(ABS(D100-D107)&lt;0.01,"PASS","FAIL")</f>
        <v/>
      </c>
    </row>
    <row r="120">
      <c r="A120" s="35" t="inlineStr">
        <is>
          <t>─────────── PROJECT FINANCE COVERAGE ───────────</t>
        </is>
      </c>
    </row>
    <row r="121">
      <c r="A121" t="inlineStr">
        <is>
          <t>LLCR (Loan Life Coverage)</t>
        </is>
      </c>
      <c r="B121" t="inlineStr">
        <is>
          <t>x</t>
        </is>
      </c>
      <c r="C121" t="inlineStr">
        <is>
          <t>[WHAT] NPV(CFADS over loan life) / Debt; [WHY] Total debt capacity</t>
        </is>
      </c>
      <c r="D121" s="43">
        <f>NPV(D45,E82:K82)/D100</f>
        <v/>
      </c>
    </row>
    <row r="122">
      <c r="A122" t="inlineStr">
        <is>
          <t>PLCR (Project Life Coverage)</t>
        </is>
      </c>
      <c r="B122" t="inlineStr">
        <is>
          <t>x</t>
        </is>
      </c>
      <c r="C122" t="inlineStr">
        <is>
          <t>[WHAT] NPV(CFADS over project life) / Debt; [WHY] Full asset capacity</t>
        </is>
      </c>
      <c r="D122" s="43">
        <f>NPV(D45,E82:N82)/D100</f>
        <v/>
      </c>
    </row>
    <row r="123">
      <c r="A123" t="inlineStr">
        <is>
          <t>─────────────────────────────────────────────────</t>
        </is>
      </c>
    </row>
    <row r="126">
      <c r="A126" s="3" t="inlineStr">
        <is>
          <t>EXIT CALCULATIONS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5" t="inlineStr">
        <is>
          <t>Exit EV</t>
        </is>
      </c>
      <c r="B127" s="6" t="inlineStr">
        <is>
          <t>$mm</t>
        </is>
      </c>
      <c r="C127" s="6" t="inlineStr">
        <is>
          <t>Exit Multiple × Exit Yr EBITDA</t>
        </is>
      </c>
      <c r="N127" s="16">
        <f>$D$20*N68</f>
        <v/>
      </c>
    </row>
    <row r="128">
      <c r="A128" s="5" t="inlineStr">
        <is>
          <t>Exit Debt Payoff</t>
        </is>
      </c>
      <c r="B128" s="6" t="inlineStr">
        <is>
          <t>$mm</t>
        </is>
      </c>
      <c r="C128" s="6" t="inlineStr">
        <is>
          <t>Ending Bal at Exit</t>
        </is>
      </c>
      <c r="N128" s="16">
        <f>N81</f>
        <v/>
      </c>
    </row>
    <row r="129">
      <c r="A129" s="5" t="inlineStr">
        <is>
          <t>DSRA Release</t>
        </is>
      </c>
      <c r="B129" s="6" t="inlineStr">
        <is>
          <t>$mm</t>
        </is>
      </c>
      <c r="C129" s="6" t="inlineStr">
        <is>
          <t>DSRA Ending at Exit</t>
        </is>
      </c>
      <c r="N129" s="16">
        <f>N88</f>
        <v/>
      </c>
    </row>
    <row r="130">
      <c r="A130" s="5" t="inlineStr">
        <is>
          <t>Exit Equity Proceeds</t>
        </is>
      </c>
      <c r="B130" s="6" t="inlineStr">
        <is>
          <t>$mm</t>
        </is>
      </c>
      <c r="C130" s="6" t="inlineStr">
        <is>
          <t>Exit EV - Debt + DSRA</t>
        </is>
      </c>
      <c r="N130" s="7">
        <f>N111-N112+N113</f>
        <v/>
      </c>
    </row>
    <row r="132">
      <c r="A132" s="3" t="inlineStr">
        <is>
          <t>EQUITY RETURNS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5" t="inlineStr">
        <is>
          <t>Equity Cash Flow</t>
        </is>
      </c>
      <c r="B133" s="6" t="inlineStr">
        <is>
          <t>$mm</t>
        </is>
      </c>
      <c r="C133" s="6" t="inlineStr"/>
      <c r="D133" s="16">
        <f>-D106</f>
        <v/>
      </c>
      <c r="E133" s="16">
        <f>E93</f>
        <v/>
      </c>
      <c r="F133" s="16">
        <f>F93</f>
        <v/>
      </c>
      <c r="G133" s="16">
        <f>G93</f>
        <v/>
      </c>
      <c r="H133" s="16">
        <f>H93</f>
        <v/>
      </c>
      <c r="I133" s="16">
        <f>I93</f>
        <v/>
      </c>
      <c r="J133" s="16">
        <f>J93</f>
        <v/>
      </c>
      <c r="K133" s="16">
        <f>K93</f>
        <v/>
      </c>
      <c r="L133" s="16">
        <f>L93</f>
        <v/>
      </c>
      <c r="M133" s="16">
        <f>M93</f>
        <v/>
      </c>
      <c r="N133" s="16">
        <f>N93+N114</f>
        <v/>
      </c>
    </row>
    <row r="134">
      <c r="A134" s="5" t="inlineStr">
        <is>
          <t>Levered IRR</t>
        </is>
      </c>
      <c r="B134" s="6" t="inlineStr">
        <is>
          <t>%</t>
        </is>
      </c>
      <c r="C134" s="6" t="inlineStr"/>
      <c r="D134" s="28">
        <f>IRR(D117:N117)</f>
        <v/>
      </c>
    </row>
    <row r="135">
      <c r="A135" s="5" t="inlineStr">
        <is>
          <t>MOIC</t>
        </is>
      </c>
      <c r="B135" s="6" t="inlineStr">
        <is>
          <t>x</t>
        </is>
      </c>
      <c r="C135" s="6" t="inlineStr">
        <is>
          <t>Sum inflows / outflow</t>
        </is>
      </c>
      <c r="D135" s="27">
        <f>SUMIF(D117:N117,"&gt;0")/ABS(D117)</f>
        <v/>
      </c>
    </row>
    <row r="137">
      <c r="A137" s="20" t="inlineStr">
        <is>
          <t>Unlevered Returns (for reference)</t>
        </is>
      </c>
      <c r="B137" s="6" t="inlineStr"/>
      <c r="C137" s="6" t="inlineStr"/>
    </row>
    <row r="138">
      <c r="A138" s="5" t="inlineStr">
        <is>
          <t>Unlevered Cash Flow</t>
        </is>
      </c>
      <c r="B138" s="6" t="inlineStr">
        <is>
          <t>$mm</t>
        </is>
      </c>
      <c r="C138" s="6" t="inlineStr"/>
      <c r="D138" s="16">
        <f>-$D$17-D98</f>
        <v/>
      </c>
      <c r="E138" s="16">
        <f>E73</f>
        <v/>
      </c>
      <c r="F138" s="16">
        <f>F73</f>
        <v/>
      </c>
      <c r="G138" s="16">
        <f>G73</f>
        <v/>
      </c>
      <c r="H138" s="16">
        <f>H73</f>
        <v/>
      </c>
      <c r="I138" s="16">
        <f>I73</f>
        <v/>
      </c>
      <c r="J138" s="16">
        <f>J73</f>
        <v/>
      </c>
      <c r="K138" s="16">
        <f>K73</f>
        <v/>
      </c>
      <c r="L138" s="16">
        <f>L73</f>
        <v/>
      </c>
      <c r="M138" s="16">
        <f>M73</f>
        <v/>
      </c>
      <c r="N138" s="16">
        <f>N73+N111</f>
        <v/>
      </c>
    </row>
    <row r="139">
      <c r="A139" s="5" t="inlineStr">
        <is>
          <t>Unlevered IRR</t>
        </is>
      </c>
      <c r="B139" s="6" t="inlineStr">
        <is>
          <t>%</t>
        </is>
      </c>
      <c r="C139" s="6" t="inlineStr"/>
      <c r="D139" s="28">
        <f>IRR(D122:N122)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2026-01-20T03:00:02Z</dcterms:created>
  <dcterms:modified xmlns:dcterms="http://purl.org/dc/terms/" xmlns:xsi="http://www.w3.org/2001/XMLSchema-instance" xsi:type="dcterms:W3CDTF">2026-01-21T02:00:16Z</dcterms:modified>
</cp:coreProperties>
</file>