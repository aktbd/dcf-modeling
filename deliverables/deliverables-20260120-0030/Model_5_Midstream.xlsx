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4"/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/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6"/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0"/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/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3"/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/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3"/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8"/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1"/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3"/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79"/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1"/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1"/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8"/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4"/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/>
    <row r="121">
      <c r="A121" s="3" t="inlineStr">
        <is>
          <t>EQUITY RETURNS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-D101</f>
        <v/>
      </c>
      <c r="E122" s="16">
        <f>E90</f>
        <v/>
      </c>
      <c r="F122" s="16">
        <f>F90</f>
        <v/>
      </c>
      <c r="G122" s="16">
        <f>G90</f>
        <v/>
      </c>
      <c r="H122" s="16">
        <f>H90</f>
        <v/>
      </c>
      <c r="I122" s="16">
        <f>I90</f>
        <v/>
      </c>
      <c r="J122" s="16">
        <f>J90</f>
        <v/>
      </c>
      <c r="K122" s="16">
        <f>K90+K109</f>
        <v/>
      </c>
      <c r="L122" s="16">
        <f>0</f>
        <v/>
      </c>
      <c r="M122" s="16">
        <f>0</f>
        <v/>
      </c>
      <c r="N122" s="16">
        <f>0</f>
        <v/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IRR(D112:K112)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SUMIF(D112:K112,"&gt;0")/ABS(D112)</f>
        <v/>
      </c>
    </row>
    <row r="125"/>
    <row r="126">
      <c r="A126" s="21" t="inlineStr">
        <is>
          <t>Unlevered Returns (for reference)</t>
        </is>
      </c>
      <c r="B126" s="6" t="inlineStr"/>
      <c r="C126" s="6" t="inlineStr"/>
    </row>
    <row r="127">
      <c r="A127" s="5" t="inlineStr">
        <is>
          <t>Unlevered Cash Flow</t>
        </is>
      </c>
      <c r="B127" s="6" t="inlineStr">
        <is>
          <t>$mm</t>
        </is>
      </c>
      <c r="C127" s="6" t="inlineStr"/>
      <c r="D127" s="16">
        <f>-$D$17-D95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>
        <is>
          <t>IRR of Equity CFs</t>
        </is>
      </c>
      <c r="D128" s="23">
        <f>IRR(D117:K117)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2026-01-20T23:35:38Z</dcterms:modified>
</cp:coreProperties>
</file>