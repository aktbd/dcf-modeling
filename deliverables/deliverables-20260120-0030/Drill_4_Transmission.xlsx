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_);(#,##0.0)"/>
    <numFmt numFmtId="165" formatCode="0.00&quot;x&quot;"/>
    <numFmt numFmtId="166" formatCode="0.0%"/>
  </numFmts>
  <fonts count="9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b val="1"/>
    </font>
    <font>
      <i val="1"/>
      <color rgb="000066CC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FCE4D6"/>
        <bgColor rgb="00FCE4D6"/>
      </patternFill>
    </fill>
    <fill>
      <patternFill patternType="solid">
        <fgColor rgb="00C6EFCE"/>
        <bgColor rgb="00C6EFCE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5" borderId="1" pivotButton="0" quotePrefix="0" xfId="0"/>
    <xf numFmtId="165" fontId="2" fillId="5" borderId="1" pivotButton="0" quotePrefix="0" xfId="0"/>
    <xf numFmtId="166" fontId="2" fillId="5" borderId="1" pivotButton="0" quotePrefix="0" xfId="0"/>
    <xf numFmtId="0" fontId="2" fillId="5" borderId="1" pivotButton="0" quotePrefix="0" xfId="0"/>
    <xf numFmtId="164" fontId="6" fillId="3" borderId="1" pivotButton="0" quotePrefix="0" xfId="0"/>
    <xf numFmtId="3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164" fontId="4" fillId="0" borderId="1" pivotButton="0" quotePrefix="0" xfId="0"/>
    <xf numFmtId="164" fontId="4" fillId="4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5" borderId="1" pivotButton="0" quotePrefix="0" xfId="0"/>
    <xf numFmtId="166" fontId="2" fillId="5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26" authorId="0" shapeId="0">
      <text>
        <t>Debt Service Coverage Ratio. Key lender metric. Target: 1.25-1.40x.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5" customWidth="1" min="1" max="1"/>
    <col width="80" customWidth="1" min="2" max="2"/>
  </cols>
  <sheetData>
    <row r="1" ht="30" customHeight="1">
      <c r="A1" s="18" t="inlineStr">
        <is>
          <t>TRANSMISSION MODEL - INTUITION GUIDE</t>
        </is>
      </c>
      <c r="B1" s="19" t="inlineStr"/>
    </row>
    <row r="2" ht="30" customHeight="1">
      <c r="A2" s="18" t="inlineStr"/>
      <c r="B2" s="19" t="inlineStr"/>
    </row>
    <row r="3" ht="30" customHeight="1">
      <c r="A3" s="18" t="inlineStr">
        <is>
          <t>SECTION</t>
        </is>
      </c>
      <c r="B3" s="20" t="inlineStr">
        <is>
          <t>WHY IT MATTERS / KEY LOGIC</t>
        </is>
      </c>
    </row>
    <row r="4" ht="30" customHeight="1">
      <c r="A4" s="18" t="inlineStr"/>
      <c r="B4" s="19" t="inlineStr"/>
    </row>
    <row r="5" ht="30" customHeight="1">
      <c r="A5" s="21" t="inlineStr">
        <is>
          <t>═══ BUSINESS CONTEXT ═══</t>
        </is>
      </c>
      <c r="B5" s="22" t="n"/>
    </row>
    <row r="6" ht="30" customHeight="1">
      <c r="A6" s="18" t="inlineStr">
        <is>
          <t>What is Transmission?</t>
        </is>
      </c>
      <c r="B6" s="19" t="inlineStr">
        <is>
          <t>High-voltage lines connecting generation to load centers. Regulated asset - earns FERC-approved ROE on rate base.</t>
        </is>
      </c>
    </row>
    <row r="7" ht="30" customHeight="1">
      <c r="A7" s="18" t="inlineStr">
        <is>
          <t>RAB-Based Returns</t>
        </is>
      </c>
      <c r="B7" s="19" t="inlineStr">
        <is>
          <t>Rate base (RAB) = total invested capital. Tariff set to provide return ON and OF capital. Very stable, predictable.</t>
        </is>
      </c>
    </row>
    <row r="8" ht="30" customHeight="1">
      <c r="A8" s="18" t="inlineStr">
        <is>
          <t>Construction Period</t>
        </is>
      </c>
      <c r="B8" s="19" t="inlineStr">
        <is>
          <t>Y0-Y2 is construction with no revenue. Must fund construction, then refinance at COD (Commercial Operation Date).</t>
        </is>
      </c>
    </row>
    <row r="9" ht="30" customHeight="1">
      <c r="A9" s="18" t="inlineStr"/>
      <c r="B9" s="19" t="inlineStr"/>
    </row>
    <row r="10" ht="30" customHeight="1">
      <c r="A10" s="21" t="inlineStr">
        <is>
          <t>═══ CONSTRUCTION FINANCING ═══</t>
        </is>
      </c>
      <c r="B10" s="22" t="n"/>
    </row>
    <row r="11" ht="30" customHeight="1">
      <c r="A11" s="18" t="inlineStr">
        <is>
          <t>Construction Loan (85%)</t>
        </is>
      </c>
      <c r="B11" s="19" t="inlineStr">
        <is>
          <t>Short-term loan to fund construction. Higher leverage acceptable because it's temporary.</t>
        </is>
      </c>
    </row>
    <row r="12" ht="30" customHeight="1">
      <c r="A12" s="18" t="inlineStr">
        <is>
          <t>Interest Capitalization</t>
        </is>
      </c>
      <c r="B12" s="19" t="inlineStr">
        <is>
          <t>Construction interest added to RAB. You're earning on the interest you paid - improves economics.</t>
        </is>
      </c>
    </row>
    <row r="13" ht="30" customHeight="1">
      <c r="A13" s="18" t="inlineStr">
        <is>
          <t>Phased Equity</t>
        </is>
      </c>
      <c r="B13" s="19" t="inlineStr">
        <is>
          <t>Equity deployed over multiple years as construction progresses. IRR calculation must account for timing.</t>
        </is>
      </c>
    </row>
    <row r="14" ht="30" customHeight="1">
      <c r="A14" s="18" t="inlineStr"/>
      <c r="B14" s="19" t="inlineStr"/>
    </row>
    <row r="15" ht="30" customHeight="1">
      <c r="A15" s="21" t="inlineStr">
        <is>
          <t>═══ RAB CALCULATION ═══</t>
        </is>
      </c>
      <c r="B15" s="22" t="n"/>
    </row>
    <row r="16" ht="30" customHeight="1">
      <c r="A16" s="18" t="inlineStr">
        <is>
          <t>RAB at COD</t>
        </is>
      </c>
      <c r="B16" s="19" t="inlineStr">
        <is>
          <t>Dev Y0 + Dev Y1 + Construction + Capitalized Interest. This is your 'invested capital' for rate-setting.</t>
        </is>
      </c>
    </row>
    <row r="17" ht="30" customHeight="1">
      <c r="A17" s="18" t="inlineStr">
        <is>
          <t>RAB Depreciation</t>
        </is>
      </c>
      <c r="B17" s="19" t="inlineStr">
        <is>
          <t>RAB declines as you recover capital through depreciation. Exit RAB = COD RAB - Cumulative Depreciation.</t>
        </is>
      </c>
    </row>
    <row r="18" ht="30" customHeight="1">
      <c r="A18" s="18" t="inlineStr">
        <is>
          <t>Exit at xRAB Multiple</t>
        </is>
      </c>
      <c r="B18" s="19" t="inlineStr">
        <is>
          <t>Transmission trades at premium to RAB (1.15x) because of stability and growth. Exit EV = Exit RAB × 1.15x.</t>
        </is>
      </c>
    </row>
    <row r="19" ht="30" customHeight="1">
      <c r="A19" s="18" t="inlineStr"/>
      <c r="B19" s="19" t="inlineStr"/>
    </row>
    <row r="20" ht="30" customHeight="1">
      <c r="A20" s="21" t="inlineStr">
        <is>
          <t>═══ REFINANCING AT COD ═══</t>
        </is>
      </c>
      <c r="B20" s="22" t="n"/>
    </row>
    <row r="21" ht="30" customHeight="1">
      <c r="A21" s="18" t="inlineStr">
        <is>
          <t>What Happens at COD</t>
        </is>
      </c>
      <c r="B21" s="19" t="inlineStr">
        <is>
          <t>Construction loan + capitalized interest repaid. Replaced with term debt (60% of RAB) + refinancing equity.</t>
        </is>
      </c>
    </row>
    <row r="22" ht="30" customHeight="1">
      <c r="A22" s="18" t="inlineStr">
        <is>
          <t>Refi Equity Calculation</t>
        </is>
      </c>
      <c r="B22" s="19" t="inlineStr">
        <is>
          <t>(Construction Loan + Capitalized Interest) - Term Debt = equity needed to bridge the gap.</t>
        </is>
      </c>
    </row>
    <row r="23" ht="30" customHeight="1">
      <c r="A23" s="18" t="inlineStr"/>
      <c r="B23" s="19" t="inlineStr"/>
    </row>
    <row r="24" ht="30" customHeight="1">
      <c r="A24" s="21" t="inlineStr">
        <is>
          <t>═══ DEBT STRUCTURE ═══</t>
        </is>
      </c>
      <c r="B24" s="22" t="n"/>
    </row>
    <row r="25" ht="30" customHeight="1">
      <c r="A25" s="18" t="inlineStr">
        <is>
          <t>Why Sculpted?</t>
        </is>
      </c>
      <c r="B25" s="19" t="inlineStr">
        <is>
          <t>Regulated tariff provides very predictable cash flows. Sculpting is efficient - size debt service to DSCR target.</t>
        </is>
      </c>
    </row>
    <row r="26" ht="30" customHeight="1">
      <c r="A26" s="18" t="inlineStr">
        <is>
          <t>Higher DSCR (1.40x)</t>
        </is>
      </c>
      <c r="B26" s="19" t="inlineStr">
        <is>
          <t>Single-asset, long-lived infrastructure. Higher covenant provides cushion for multi-decade asset life.</t>
        </is>
      </c>
      <c r="C26" t="inlineStr">
        <is>
          <t>CFADS / Debt Service</t>
        </is>
      </c>
    </row>
    <row r="27" ht="30" customHeight="1">
      <c r="A27" s="18" t="inlineStr">
        <is>
          <t>No Debt Y1-Y2</t>
        </is>
      </c>
      <c r="B27" s="19" t="inlineStr">
        <is>
          <t>Construction period - no revenue to service debt. Term debt starts at COD (Y3).</t>
        </is>
      </c>
    </row>
    <row r="28" ht="30" customHeight="1">
      <c r="A28" s="18" t="inlineStr"/>
      <c r="B28" s="19" t="inlineStr"/>
    </row>
    <row r="29" ht="30" customHeight="1">
      <c r="A29" s="21" t="inlineStr">
        <is>
          <t>═══ COMMON IC QUESTIONS ═══</t>
        </is>
      </c>
      <c r="B29" s="22" t="n"/>
    </row>
    <row r="30" ht="30" customHeight="1">
      <c r="A30" s="23" t="inlineStr">
        <is>
          <t>Q: What's the regulatory risk?</t>
        </is>
      </c>
      <c r="B30" s="24" t="inlineStr">
        <is>
          <t>FERC could reduce allowed ROE. Mitigant: historically stable, bipartisan support for transmission investment.</t>
        </is>
      </c>
    </row>
    <row r="31" ht="30" customHeight="1">
      <c r="A31" s="23" t="inlineStr">
        <is>
          <t>Q: Why does transmission trade at premium?</t>
        </is>
      </c>
      <c r="B31" s="24" t="inlineStr">
        <is>
          <t>Stable regulated returns, long asset life (40+ years), critical infrastructure status. Scarcity value.</t>
        </is>
      </c>
    </row>
    <row r="32" ht="30" customHeight="1">
      <c r="A32" s="23" t="inlineStr">
        <is>
          <t>Q: What if construction is delayed?</t>
        </is>
      </c>
      <c r="B32" s="24" t="inlineStr">
        <is>
          <t>Higher capitalized interest, later revenue start. Run sensitivity on COD delay showing IRR impact.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Transmission ACQUISITION</t>
        </is>
      </c>
    </row>
    <row r="3">
      <c r="A3" t="inlineStr">
        <is>
          <t>Time: 4 hours | Deliverables: Model + IC Memo</t>
        </is>
      </c>
    </row>
    <row r="5">
      <c r="A5" s="29" t="inlineStr">
        <is>
          <t>SITUATION</t>
        </is>
      </c>
    </row>
    <row r="6">
      <c r="A6" t="inlineStr">
        <is>
          <t>150-mile 345kV line, $180mm equity.</t>
        </is>
      </c>
    </row>
    <row r="8">
      <c r="A8" s="29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IC MEMO - COACHING FRAMEWORK</t>
        </is>
      </c>
    </row>
    <row r="3">
      <c r="A3" s="29" t="inlineStr">
        <is>
          <t>1. EXECUTIVE SUMMARY</t>
        </is>
      </c>
    </row>
    <row r="4">
      <c r="A4" s="30" t="inlineStr">
        <is>
          <t>Tip: Lead with IRR and recommendation</t>
        </is>
      </c>
    </row>
    <row r="5">
      <c r="A5" t="inlineStr">
        <is>
          <t>[Your answer: ___________]</t>
        </is>
      </c>
    </row>
    <row r="6">
      <c r="A6" s="29" t="inlineStr">
        <is>
          <t>2. TRANSACTION OVERVIEW</t>
        </is>
      </c>
    </row>
    <row r="7">
      <c r="A7" s="30" t="inlineStr">
        <is>
          <t>Tip: Sources &amp; uses, debt terms</t>
        </is>
      </c>
    </row>
    <row r="8">
      <c r="A8" t="inlineStr">
        <is>
          <t>[Your answer: ___________]</t>
        </is>
      </c>
    </row>
    <row r="9">
      <c r="A9" s="29" t="inlineStr">
        <is>
          <t>3. INVESTMENT THESIS</t>
        </is>
      </c>
    </row>
    <row r="10">
      <c r="A10" s="30" t="inlineStr">
        <is>
          <t>Tip: 3-4 bullets on attractiveness</t>
        </is>
      </c>
    </row>
    <row r="11">
      <c r="A11" t="inlineStr">
        <is>
          <t>[Your answer: ___________]</t>
        </is>
      </c>
    </row>
    <row r="12">
      <c r="A12" s="29" t="inlineStr">
        <is>
          <t>4. KEY RISKS</t>
        </is>
      </c>
    </row>
    <row r="13">
      <c r="A13" s="30" t="inlineStr">
        <is>
          <t>Tip: Market, operational, regulatory</t>
        </is>
      </c>
    </row>
    <row r="14">
      <c r="A14" t="inlineStr">
        <is>
          <t>[Your answer: ___________]</t>
        </is>
      </c>
    </row>
    <row r="15">
      <c r="A15" s="29" t="inlineStr">
        <is>
          <t>5. MITIGANTS</t>
        </is>
      </c>
    </row>
    <row r="16">
      <c r="A16" s="30" t="inlineStr">
        <is>
          <t>Tip: Hedging, contracts, structure</t>
        </is>
      </c>
    </row>
    <row r="17">
      <c r="A17" t="inlineStr">
        <is>
          <t>[Your answer: ___________]</t>
        </is>
      </c>
    </row>
    <row r="18">
      <c r="A18" s="29" t="inlineStr">
        <is>
          <t>6. SENSITIVITIES</t>
        </is>
      </c>
    </row>
    <row r="19">
      <c r="A19" s="30" t="inlineStr">
        <is>
          <t>Tip: ±10-20% on key inputs</t>
        </is>
      </c>
    </row>
    <row r="20">
      <c r="A20" t="inlineStr">
        <is>
          <t>[Your answer: ___________]</t>
        </is>
      </c>
    </row>
    <row r="21">
      <c r="A21" s="29" t="inlineStr">
        <is>
          <t>7. RECOMMENDATION</t>
        </is>
      </c>
    </row>
    <row r="22">
      <c r="A22" s="30" t="inlineStr">
        <is>
          <t>Tip: Clear yes/no with walk-away price</t>
        </is>
      </c>
    </row>
    <row r="23">
      <c r="A23" t="inlineStr">
        <is>
          <t>[Your answer: ___________]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29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Transmission Model - Lotus Infrastructure Partners</t>
        </is>
      </c>
      <c r="D1" s="2" t="n">
        <v>0</v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RAB at COD</t>
        </is>
      </c>
      <c r="B3" s="6" t="inlineStr">
        <is>
          <t>$mm</t>
        </is>
      </c>
      <c r="C3" s="6" t="inlineStr"/>
      <c r="D3" s="7">
        <f>$D$53</f>
        <v/>
      </c>
    </row>
    <row r="4">
      <c r="A4" s="5" t="inlineStr">
        <is>
          <t>Y3 EBITDA (First Op Year)</t>
        </is>
      </c>
      <c r="B4" s="6" t="inlineStr">
        <is>
          <t>$mm</t>
        </is>
      </c>
      <c r="C4" s="6" t="inlineStr"/>
      <c r="D4" s="7">
        <f>G70</f>
        <v/>
      </c>
    </row>
    <row r="5">
      <c r="A5" s="5" t="inlineStr">
        <is>
          <t>Avg CFADS (Y3-Y10)</t>
        </is>
      </c>
      <c r="B5" s="6" t="inlineStr">
        <is>
          <t>$mm</t>
        </is>
      </c>
      <c r="C5" s="6" t="inlineStr"/>
      <c r="D5" s="7">
        <f>AVERAGE(G76:N76)</f>
        <v/>
      </c>
    </row>
    <row r="6">
      <c r="A6" s="5" t="inlineStr">
        <is>
          <t>Min DSCR (Y3-Y10)</t>
        </is>
      </c>
      <c r="B6" s="6" t="inlineStr">
        <is>
          <t>x</t>
        </is>
      </c>
      <c r="C6" s="6" t="inlineStr"/>
      <c r="D6" s="25">
        <f>IF(COUNTIF(G85:N85,"&gt;0")&gt;0,MINIFS(G85:N85,G85:N85,"&gt;0"),0)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/>
      <c r="D7" s="26">
        <f>D124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/>
      <c r="D8" s="25">
        <f>D125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/>
      <c r="D9" s="26">
        <f>D129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D112</f>
        <v/>
      </c>
    </row>
    <row r="12">
      <c r="A12" s="5" t="inlineStr">
        <is>
          <t>Debt Payoff Y10</t>
        </is>
      </c>
      <c r="B12" s="6" t="inlineStr"/>
      <c r="C12" s="6" t="inlineStr"/>
      <c r="D12" s="10">
        <f>IF(N84&lt;1,"PASS","FAIL")</f>
        <v/>
      </c>
    </row>
    <row r="13">
      <c r="A13" s="5" t="inlineStr">
        <is>
          <t>Min DSCR ≥ 1.35x</t>
        </is>
      </c>
      <c r="B13" s="6" t="inlineStr"/>
      <c r="C13" s="6" t="inlineStr"/>
      <c r="D13" s="10">
        <f>IF(D6&gt;=1.35,"PASS","FAIL")</f>
        <v/>
      </c>
    </row>
    <row r="16">
      <c r="A16" s="3" t="inlineStr">
        <is>
          <t>CONSTRUCTION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Development Cost Y0</t>
        </is>
      </c>
      <c r="B17" s="6" t="inlineStr">
        <is>
          <t>$mm</t>
        </is>
      </c>
      <c r="C17" s="6" t="inlineStr">
        <is>
          <t>Pre-construction dev</t>
        </is>
      </c>
      <c r="D17" s="11" t="n">
        <v>15</v>
      </c>
    </row>
    <row r="18">
      <c r="A18" s="5" t="inlineStr">
        <is>
          <t>Development Cost Y1</t>
        </is>
      </c>
      <c r="B18" s="6" t="inlineStr">
        <is>
          <t>$mm</t>
        </is>
      </c>
      <c r="C18" s="6" t="inlineStr">
        <is>
          <t>Continued development</t>
        </is>
      </c>
      <c r="D18" s="11" t="n">
        <v>20</v>
      </c>
    </row>
    <row r="19">
      <c r="A19" s="5" t="inlineStr">
        <is>
          <t>Construction Cost Y2</t>
        </is>
      </c>
      <c r="B19" s="6" t="inlineStr">
        <is>
          <t>$mm</t>
        </is>
      </c>
      <c r="C19" s="6" t="inlineStr">
        <is>
          <t>Main construction</t>
        </is>
      </c>
      <c r="D19" s="11" t="n">
        <v>550</v>
      </c>
    </row>
    <row r="20">
      <c r="A20" s="5" t="inlineStr">
        <is>
          <t>COD Year</t>
        </is>
      </c>
      <c r="B20" s="6" t="inlineStr">
        <is>
          <t>#</t>
        </is>
      </c>
      <c r="C20" s="6" t="inlineStr">
        <is>
          <t>Commercial operation date</t>
        </is>
      </c>
      <c r="D20" s="12" t="n">
        <v>3</v>
      </c>
    </row>
    <row r="22">
      <c r="A22" s="3" t="inlineStr">
        <is>
          <t>ASSET INPUTS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5" t="inlineStr">
        <is>
          <t>Transfer Capacity</t>
        </is>
      </c>
      <c r="B23" s="6" t="inlineStr">
        <is>
          <t>MW</t>
        </is>
      </c>
      <c r="C23" s="6" t="inlineStr">
        <is>
          <t>Line rating</t>
        </is>
      </c>
      <c r="D23" s="12" t="n">
        <v>3200</v>
      </c>
    </row>
    <row r="24">
      <c r="A24" s="5" t="inlineStr">
        <is>
          <t>Availability</t>
        </is>
      </c>
      <c r="B24" s="6" t="inlineStr">
        <is>
          <t>%</t>
        </is>
      </c>
      <c r="C24" s="6" t="inlineStr">
        <is>
          <t>Expected uptime</t>
        </is>
      </c>
      <c r="D24" s="27" t="n">
        <v>0.98</v>
      </c>
    </row>
    <row r="25">
      <c r="A25" s="5" t="inlineStr">
        <is>
          <t>Asset Life</t>
        </is>
      </c>
      <c r="B25" s="6" t="inlineStr">
        <is>
          <t>years</t>
        </is>
      </c>
      <c r="C25" s="6" t="inlineStr">
        <is>
          <t>For depreciation</t>
        </is>
      </c>
      <c r="D25" s="12" t="n">
        <v>40</v>
      </c>
    </row>
    <row r="27">
      <c r="A27" s="3" t="inlineStr">
        <is>
          <t>PRICING INPUTS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Tariff Rate</t>
        </is>
      </c>
      <c r="B28" s="6" t="inlineStr">
        <is>
          <t>$/kW-yr</t>
        </is>
      </c>
      <c r="C28" s="6" t="inlineStr">
        <is>
          <t>FERC-approved</t>
        </is>
      </c>
      <c r="D28" s="11" t="n">
        <v>32</v>
      </c>
    </row>
    <row r="29">
      <c r="A29" s="5" t="inlineStr">
        <is>
          <t>Tariff Escalation</t>
        </is>
      </c>
      <c r="B29" s="6" t="inlineStr">
        <is>
          <t>%/yr</t>
        </is>
      </c>
      <c r="C29" s="6" t="inlineStr">
        <is>
          <t>Rate increase</t>
        </is>
      </c>
      <c r="D29" s="27" t="n">
        <v>0.02</v>
      </c>
    </row>
    <row r="31">
      <c r="A31" s="3" t="inlineStr">
        <is>
          <t>COST INPUTS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A32" s="5" t="inlineStr">
        <is>
          <t>O&amp;M Y3</t>
        </is>
      </c>
      <c r="B32" s="6" t="inlineStr">
        <is>
          <t>$mm</t>
        </is>
      </c>
      <c r="C32" s="6" t="inlineStr">
        <is>
          <t>Post-COD O&amp;M</t>
        </is>
      </c>
      <c r="D32" s="11" t="n">
        <v>3</v>
      </c>
    </row>
    <row r="33">
      <c r="A33" s="5" t="inlineStr">
        <is>
          <t>O&amp;M Escalation</t>
        </is>
      </c>
      <c r="B33" s="6" t="inlineStr">
        <is>
          <t>%/yr</t>
        </is>
      </c>
      <c r="C33" s="6" t="inlineStr">
        <is>
          <t>Cost escalation</t>
        </is>
      </c>
      <c r="D33" s="27" t="n">
        <v>0.025</v>
      </c>
    </row>
    <row r="35">
      <c r="A35" s="3" t="inlineStr">
        <is>
          <t>FINANCING INPUTS</t>
        </is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</row>
    <row r="36">
      <c r="A36" s="5" t="inlineStr">
        <is>
          <t>Construction Debt %</t>
        </is>
      </c>
      <c r="B36" s="6" t="inlineStr">
        <is>
          <t>%</t>
        </is>
      </c>
      <c r="C36" s="6" t="inlineStr">
        <is>
          <t>Const loan leverage</t>
        </is>
      </c>
      <c r="D36" s="27" t="n">
        <v>0.85</v>
      </c>
    </row>
    <row r="37">
      <c r="A37" s="5" t="inlineStr">
        <is>
          <t>Term Debt % of RAB</t>
        </is>
      </c>
      <c r="B37" s="6" t="inlineStr">
        <is>
          <t>%</t>
        </is>
      </c>
      <c r="C37" s="6" t="inlineStr">
        <is>
          <t>Refi at COD</t>
        </is>
      </c>
      <c r="D37" s="27" t="n">
        <v>0.6</v>
      </c>
    </row>
    <row r="38">
      <c r="A38" s="5" t="inlineStr">
        <is>
          <t>Interest Rate</t>
        </is>
      </c>
      <c r="B38" s="6" t="inlineStr">
        <is>
          <t>%</t>
        </is>
      </c>
      <c r="C38" s="6" t="inlineStr">
        <is>
          <t>All-in rate</t>
        </is>
      </c>
      <c r="D38" s="27" t="n">
        <v>0.05</v>
      </c>
    </row>
    <row r="39">
      <c r="A39" s="5" t="inlineStr">
        <is>
          <t>DSRA Months</t>
        </is>
      </c>
      <c r="B39" s="6" t="inlineStr">
        <is>
          <t>months</t>
        </is>
      </c>
      <c r="C39" s="6" t="inlineStr">
        <is>
          <t>Debt service reserve</t>
        </is>
      </c>
      <c r="D39" s="12" t="n">
        <v>6</v>
      </c>
    </row>
    <row r="40">
      <c r="A40" s="5" t="inlineStr">
        <is>
          <t>Target DSCR</t>
        </is>
      </c>
      <c r="B40" s="6" t="inlineStr">
        <is>
          <t>x</t>
        </is>
      </c>
      <c r="C40" s="6" t="inlineStr">
        <is>
          <t>For sculpting</t>
        </is>
      </c>
      <c r="D40" s="28" t="n">
        <v>1.4</v>
      </c>
    </row>
    <row r="41">
      <c r="A41" s="5" t="inlineStr">
        <is>
          <t>Lock-up DSCR</t>
        </is>
      </c>
      <c r="B41" s="6" t="inlineStr">
        <is>
          <t>x</t>
        </is>
      </c>
      <c r="C41" s="6" t="inlineStr">
        <is>
          <t>Distribution threshold</t>
        </is>
      </c>
      <c r="D41" s="28" t="n">
        <v>1.15</v>
      </c>
    </row>
    <row r="43">
      <c r="A43" s="3" t="inlineStr">
        <is>
          <t>EXIT INPUTS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</row>
    <row r="44">
      <c r="A44" s="5" t="inlineStr">
        <is>
          <t>Exit xRAB Multiple</t>
        </is>
      </c>
      <c r="B44" s="6" t="inlineStr">
        <is>
          <t>x</t>
        </is>
      </c>
      <c r="C44" s="6" t="inlineStr">
        <is>
          <t>Exit at RAB multiple</t>
        </is>
      </c>
      <c r="D44" s="28" t="n">
        <v>1.15</v>
      </c>
    </row>
    <row r="45">
      <c r="A45" s="5" t="inlineStr">
        <is>
          <t>Exit Year</t>
        </is>
      </c>
      <c r="B45" s="6" t="inlineStr">
        <is>
          <t>#</t>
        </is>
      </c>
      <c r="C45" s="6" t="inlineStr">
        <is>
          <t>Hold period</t>
        </is>
      </c>
      <c r="D45" s="12" t="n">
        <v>10</v>
      </c>
    </row>
    <row r="47">
      <c r="A47" s="3" t="inlineStr">
        <is>
          <t>TAX INPUTS</t>
        </is>
      </c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</row>
    <row r="48">
      <c r="A48" s="5" t="inlineStr">
        <is>
          <t>Tax Rate</t>
        </is>
      </c>
      <c r="B48" s="6" t="inlineStr">
        <is>
          <t>%</t>
        </is>
      </c>
      <c r="C48" s="6" t="inlineStr">
        <is>
          <t>Blended federal + state</t>
        </is>
      </c>
      <c r="D48" s="27" t="n">
        <v>0.25</v>
      </c>
    </row>
    <row r="50">
      <c r="A50" s="3" t="inlineStr">
        <is>
          <t>CALCULATED ITEMS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</row>
    <row r="51">
      <c r="A51" s="5" t="inlineStr">
        <is>
          <t>Construction Loan</t>
        </is>
      </c>
      <c r="B51" s="6" t="inlineStr">
        <is>
          <t>$mm</t>
        </is>
      </c>
      <c r="C51" s="6" t="inlineStr">
        <is>
          <t>Const Cost × Const Debt %</t>
        </is>
      </c>
      <c r="D51" s="15">
        <f>$D$19*$D$36</f>
        <v/>
      </c>
    </row>
    <row r="52">
      <c r="A52" s="5" t="inlineStr">
        <is>
          <t>Construction Interest</t>
        </is>
      </c>
      <c r="B52" s="6" t="inlineStr">
        <is>
          <t>$mm</t>
        </is>
      </c>
      <c r="C52" s="6" t="inlineStr">
        <is>
          <t>Capitalized into RAB</t>
        </is>
      </c>
      <c r="D52" s="15">
        <f>$D$51*$D$38</f>
        <v/>
      </c>
    </row>
    <row r="53">
      <c r="A53" s="5" t="inlineStr">
        <is>
          <t>RAB at COD</t>
        </is>
      </c>
      <c r="B53" s="6" t="inlineStr">
        <is>
          <t>$mm</t>
        </is>
      </c>
      <c r="C53" s="6" t="inlineStr">
        <is>
          <t>Dev + Const + Int</t>
        </is>
      </c>
      <c r="D53" s="15">
        <f>$D$17+$D$18+$D$19+$D$52</f>
        <v/>
      </c>
    </row>
    <row r="54">
      <c r="A54" s="5" t="inlineStr">
        <is>
          <t>Term Debt</t>
        </is>
      </c>
      <c r="B54" s="6" t="inlineStr">
        <is>
          <t>$mm</t>
        </is>
      </c>
      <c r="C54" s="6" t="inlineStr">
        <is>
          <t>RAB × Term Debt %</t>
        </is>
      </c>
      <c r="D54" s="15">
        <f>$D$53*$D$37</f>
        <v/>
      </c>
    </row>
    <row r="55">
      <c r="A55" s="5" t="inlineStr">
        <is>
          <t>Annual Depreciation</t>
        </is>
      </c>
      <c r="B55" s="6" t="inlineStr">
        <is>
          <t>$mm</t>
        </is>
      </c>
      <c r="C55" s="6" t="inlineStr">
        <is>
          <t>RAB / Asset Life</t>
        </is>
      </c>
      <c r="D55" s="15">
        <f>$D$53/$D$25</f>
        <v/>
      </c>
    </row>
    <row r="57">
      <c r="A57" s="3" t="inlineStr">
        <is>
          <t>CONSTRUCTION PHASE (Y0-Y2)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Development Equity Y0</t>
        </is>
      </c>
      <c r="B58" s="6" t="inlineStr">
        <is>
          <t>$mm</t>
        </is>
      </c>
      <c r="C58" s="6" t="inlineStr"/>
      <c r="D58" s="16">
        <f>$D$17</f>
        <v/>
      </c>
    </row>
    <row r="59">
      <c r="A59" s="5" t="inlineStr">
        <is>
          <t>Development Equity Y1</t>
        </is>
      </c>
      <c r="B59" s="6" t="inlineStr">
        <is>
          <t>$mm</t>
        </is>
      </c>
      <c r="C59" s="6" t="inlineStr"/>
      <c r="E59" s="16">
        <f>$D$18</f>
        <v/>
      </c>
    </row>
    <row r="60">
      <c r="A60" s="5" t="inlineStr">
        <is>
          <t>Construction Equity Y2</t>
        </is>
      </c>
      <c r="B60" s="6" t="inlineStr">
        <is>
          <t>$mm</t>
        </is>
      </c>
      <c r="C60" s="6" t="inlineStr">
        <is>
          <t>Const × (1-Debt%)</t>
        </is>
      </c>
      <c r="F60" s="16">
        <f>$D$19*(1-$D$36)</f>
        <v/>
      </c>
    </row>
    <row r="61">
      <c r="A61" s="5" t="inlineStr">
        <is>
          <t>Refinancing Equity Y3</t>
        </is>
      </c>
      <c r="B61" s="6" t="inlineStr">
        <is>
          <t>$mm</t>
        </is>
      </c>
      <c r="C61" s="6" t="inlineStr">
        <is>
          <t>Const Loan - Term Debt</t>
        </is>
      </c>
      <c r="G61" s="16">
        <f>($D$51+$D$52)-$D$54</f>
        <v/>
      </c>
    </row>
    <row r="62">
      <c r="A62" s="5" t="inlineStr">
        <is>
          <t>Total Equity Invested</t>
        </is>
      </c>
      <c r="B62" s="6" t="inlineStr">
        <is>
          <t>$mm</t>
        </is>
      </c>
      <c r="C62" s="6" t="inlineStr"/>
      <c r="D62" s="7">
        <f>D58+E59+F60+G61</f>
        <v/>
      </c>
    </row>
    <row r="64">
      <c r="A64" s="3" t="inlineStr">
        <is>
          <t>OPERATING MODEL (Y3+ Post-COD)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Tariff Rate</t>
        </is>
      </c>
      <c r="B65" s="6" t="inlineStr">
        <is>
          <t>$/kW-yr</t>
        </is>
      </c>
      <c r="C65" s="6" t="inlineStr">
        <is>
          <t>Escalated</t>
        </is>
      </c>
      <c r="E65" s="15">
        <f>0</f>
        <v/>
      </c>
      <c r="F65" s="15">
        <f>0</f>
        <v/>
      </c>
      <c r="G65" s="15">
        <f>$D$28*(1+$D$29)^(3-3)</f>
        <v/>
      </c>
      <c r="H65" s="15">
        <f>$D$28*(1+$D$29)^(4-3)</f>
        <v/>
      </c>
      <c r="I65" s="15">
        <f>$D$28*(1+$D$29)^(5-3)</f>
        <v/>
      </c>
      <c r="J65" s="15">
        <f>$D$28*(1+$D$29)^(6-3)</f>
        <v/>
      </c>
      <c r="K65" s="15">
        <f>$D$28*(1+$D$29)^(7-3)</f>
        <v/>
      </c>
      <c r="L65" s="15">
        <f>$D$28*(1+$D$29)^(8-3)</f>
        <v/>
      </c>
      <c r="M65" s="15">
        <f>$D$28*(1+$D$29)^(9-3)</f>
        <v/>
      </c>
      <c r="N65" s="15">
        <f>$D$28*(1+$D$29)^(10-3)</f>
        <v/>
      </c>
    </row>
    <row r="67">
      <c r="A67" s="5" t="inlineStr">
        <is>
          <t>Revenue</t>
        </is>
      </c>
      <c r="B67" s="6" t="inlineStr">
        <is>
          <t>$mm</t>
        </is>
      </c>
      <c r="C67" s="6" t="inlineStr">
        <is>
          <t>Cap × Tariff × Avail × 1000/1M</t>
        </is>
      </c>
      <c r="E67" s="15">
        <f>$D$23*E65*$D$24*1000/1000000</f>
        <v/>
      </c>
      <c r="F67" s="15">
        <f>$D$23*F65*$D$24*1000/1000000</f>
        <v/>
      </c>
      <c r="G67" s="15">
        <f>$D$23*G65*$D$24*1000/1000000</f>
        <v/>
      </c>
      <c r="H67" s="15">
        <f>$D$23*H65*$D$24*1000/1000000</f>
        <v/>
      </c>
      <c r="I67" s="15">
        <f>$D$23*I65*$D$24*1000/1000000</f>
        <v/>
      </c>
      <c r="J67" s="15">
        <f>$D$23*J65*$D$24*1000/1000000</f>
        <v/>
      </c>
      <c r="K67" s="15">
        <f>$D$23*K65*$D$24*1000/1000000</f>
        <v/>
      </c>
      <c r="L67" s="15">
        <f>$D$23*L65*$D$24*1000/1000000</f>
        <v/>
      </c>
      <c r="M67" s="15">
        <f>$D$23*M65*$D$24*1000/1000000</f>
        <v/>
      </c>
      <c r="N67" s="15">
        <f>$D$23*N65*$D$24*1000/1000000</f>
        <v/>
      </c>
    </row>
    <row r="68">
      <c r="A68" s="5" t="inlineStr">
        <is>
          <t>O&amp;M Cost</t>
        </is>
      </c>
      <c r="B68" s="6" t="inlineStr">
        <is>
          <t>$mm</t>
        </is>
      </c>
      <c r="C68" s="6" t="inlineStr">
        <is>
          <t>Post-COD only</t>
        </is>
      </c>
      <c r="E68" s="15">
        <f>0</f>
        <v/>
      </c>
      <c r="F68" s="15">
        <f>0</f>
        <v/>
      </c>
      <c r="G68" s="15">
        <f>$D$32*(1+$D$33)^(3-3)</f>
        <v/>
      </c>
      <c r="H68" s="15">
        <f>$D$32*(1+$D$33)^(4-3)</f>
        <v/>
      </c>
      <c r="I68" s="15">
        <f>$D$32*(1+$D$33)^(5-3)</f>
        <v/>
      </c>
      <c r="J68" s="15">
        <f>$D$32*(1+$D$33)^(6-3)</f>
        <v/>
      </c>
      <c r="K68" s="15">
        <f>$D$32*(1+$D$33)^(7-3)</f>
        <v/>
      </c>
      <c r="L68" s="15">
        <f>$D$32*(1+$D$33)^(8-3)</f>
        <v/>
      </c>
      <c r="M68" s="15">
        <f>$D$32*(1+$D$33)^(9-3)</f>
        <v/>
      </c>
      <c r="N68" s="15">
        <f>$D$32*(1+$D$33)^(10-3)</f>
        <v/>
      </c>
    </row>
    <row r="70">
      <c r="A70" s="5" t="inlineStr">
        <is>
          <t>EBITDA</t>
        </is>
      </c>
      <c r="B70" s="6" t="inlineStr">
        <is>
          <t>$mm</t>
        </is>
      </c>
      <c r="C70" s="6" t="inlineStr"/>
      <c r="E70" s="7">
        <f>E67-E68</f>
        <v/>
      </c>
      <c r="F70" s="7">
        <f>F67-F68</f>
        <v/>
      </c>
      <c r="G70" s="7">
        <f>G67-G68</f>
        <v/>
      </c>
      <c r="H70" s="7">
        <f>H67-H68</f>
        <v/>
      </c>
      <c r="I70" s="7">
        <f>I67-I68</f>
        <v/>
      </c>
      <c r="J70" s="7">
        <f>J67-J68</f>
        <v/>
      </c>
      <c r="K70" s="7">
        <f>K67-K68</f>
        <v/>
      </c>
      <c r="L70" s="7">
        <f>L67-L68</f>
        <v/>
      </c>
      <c r="M70" s="7">
        <f>M67-M68</f>
        <v/>
      </c>
      <c r="N70" s="7">
        <f>N67-N68</f>
        <v/>
      </c>
    </row>
    <row r="72">
      <c r="A72" s="3" t="inlineStr">
        <is>
          <t>CASH FLOW</t>
        </is>
      </c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</row>
    <row r="73">
      <c r="A73" s="5" t="inlineStr">
        <is>
          <t>Depreciation</t>
        </is>
      </c>
      <c r="B73" s="6" t="inlineStr">
        <is>
          <t>$mm</t>
        </is>
      </c>
      <c r="C73" s="6" t="inlineStr">
        <is>
          <t>Post-COD only</t>
        </is>
      </c>
      <c r="E73" s="15">
        <f>0</f>
        <v/>
      </c>
      <c r="F73" s="15">
        <f>0</f>
        <v/>
      </c>
      <c r="G73" s="15">
        <f>$D$55</f>
        <v/>
      </c>
      <c r="H73" s="15">
        <f>$D$55</f>
        <v/>
      </c>
      <c r="I73" s="15">
        <f>$D$55</f>
        <v/>
      </c>
      <c r="J73" s="15">
        <f>$D$55</f>
        <v/>
      </c>
      <c r="K73" s="15">
        <f>$D$55</f>
        <v/>
      </c>
      <c r="L73" s="15">
        <f>$D$55</f>
        <v/>
      </c>
      <c r="M73" s="15">
        <f>$D$55</f>
        <v/>
      </c>
      <c r="N73" s="15">
        <f>$D$55</f>
        <v/>
      </c>
    </row>
    <row r="74">
      <c r="A74" s="5" t="inlineStr">
        <is>
          <t>EBIT</t>
        </is>
      </c>
      <c r="B74" s="6" t="inlineStr">
        <is>
          <t>$mm</t>
        </is>
      </c>
      <c r="C74" s="6" t="inlineStr">
        <is>
          <t>EBITDA - Depreciation</t>
        </is>
      </c>
      <c r="E74" s="15">
        <f>E70-E73</f>
        <v/>
      </c>
      <c r="F74" s="15">
        <f>F70-F73</f>
        <v/>
      </c>
      <c r="G74" s="15">
        <f>G70-G73</f>
        <v/>
      </c>
      <c r="H74" s="15">
        <f>H70-H73</f>
        <v/>
      </c>
      <c r="I74" s="15">
        <f>I70-I73</f>
        <v/>
      </c>
      <c r="J74" s="15">
        <f>J70-J73</f>
        <v/>
      </c>
      <c r="K74" s="15">
        <f>K70-K73</f>
        <v/>
      </c>
      <c r="L74" s="15">
        <f>L70-L73</f>
        <v/>
      </c>
      <c r="M74" s="15">
        <f>M70-M73</f>
        <v/>
      </c>
      <c r="N74" s="15">
        <f>N70-N73</f>
        <v/>
      </c>
    </row>
    <row r="75">
      <c r="A75" s="5" t="inlineStr">
        <is>
          <t>Taxes</t>
        </is>
      </c>
      <c r="B75" s="6" t="inlineStr">
        <is>
          <t>$mm</t>
        </is>
      </c>
      <c r="C75" s="6" t="inlineStr">
        <is>
          <t>MAX(0, EBIT) × Tax Rate</t>
        </is>
      </c>
      <c r="E75" s="15">
        <f>MAX(0,E74)*$D$48</f>
        <v/>
      </c>
      <c r="F75" s="15">
        <f>MAX(0,F74)*$D$48</f>
        <v/>
      </c>
      <c r="G75" s="15">
        <f>MAX(0,G74)*$D$48</f>
        <v/>
      </c>
      <c r="H75" s="15">
        <f>MAX(0,H74)*$D$48</f>
        <v/>
      </c>
      <c r="I75" s="15">
        <f>MAX(0,I74)*$D$48</f>
        <v/>
      </c>
      <c r="J75" s="15">
        <f>MAX(0,J74)*$D$48</f>
        <v/>
      </c>
      <c r="K75" s="15">
        <f>MAX(0,K74)*$D$48</f>
        <v/>
      </c>
      <c r="L75" s="15">
        <f>MAX(0,L74)*$D$48</f>
        <v/>
      </c>
      <c r="M75" s="15">
        <f>MAX(0,M74)*$D$48</f>
        <v/>
      </c>
      <c r="N75" s="15">
        <f>MAX(0,N74)*$D$48</f>
        <v/>
      </c>
    </row>
    <row r="76">
      <c r="A76" s="5" t="inlineStr">
        <is>
          <t>CFADS</t>
        </is>
      </c>
      <c r="B76" s="6" t="inlineStr">
        <is>
          <t>$mm</t>
        </is>
      </c>
      <c r="C76" s="6" t="inlineStr">
        <is>
          <t>EBITDA - Taxes</t>
        </is>
      </c>
      <c r="E76" s="7">
        <f>E70-E75</f>
        <v/>
      </c>
      <c r="F76" s="7">
        <f>F70-F75</f>
        <v/>
      </c>
      <c r="G76" s="7">
        <f>G70-G75</f>
        <v/>
      </c>
      <c r="H76" s="7">
        <f>H70-H75</f>
        <v/>
      </c>
      <c r="I76" s="7">
        <f>I70-I75</f>
        <v/>
      </c>
      <c r="J76" s="7">
        <f>J70-J75</f>
        <v/>
      </c>
      <c r="K76" s="7">
        <f>K70-K75</f>
        <v/>
      </c>
      <c r="L76" s="7">
        <f>L70-L75</f>
        <v/>
      </c>
      <c r="M76" s="7">
        <f>M70-M75</f>
        <v/>
      </c>
      <c r="N76" s="7">
        <f>N70-N75</f>
        <v/>
      </c>
    </row>
    <row r="78">
      <c r="A78" s="3" t="inlineStr">
        <is>
          <t>DEBT SCHEDULE (Sculpted 1.40x, Y3+ Only)</t>
        </is>
      </c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</row>
    <row r="79">
      <c r="A79" s="5" t="inlineStr">
        <is>
          <t>Beginning Balance</t>
        </is>
      </c>
      <c r="B79" s="6" t="inlineStr">
        <is>
          <t>$mm</t>
        </is>
      </c>
      <c r="C79" s="6" t="inlineStr"/>
      <c r="E79" s="15">
        <f>0</f>
        <v/>
      </c>
      <c r="F79" s="15">
        <f>0</f>
        <v/>
      </c>
      <c r="G79" s="15">
        <f>$D$54</f>
        <v/>
      </c>
      <c r="H79" s="15">
        <f>G84</f>
        <v/>
      </c>
      <c r="I79" s="15">
        <f>H84</f>
        <v/>
      </c>
      <c r="J79" s="15">
        <f>I84</f>
        <v/>
      </c>
      <c r="K79" s="15">
        <f>J84</f>
        <v/>
      </c>
      <c r="L79" s="15">
        <f>K84</f>
        <v/>
      </c>
      <c r="M79" s="15">
        <f>L84</f>
        <v/>
      </c>
      <c r="N79" s="15">
        <f>M84</f>
        <v/>
      </c>
    </row>
    <row r="80">
      <c r="A80" s="5" t="inlineStr">
        <is>
          <t>Interest</t>
        </is>
      </c>
      <c r="B80" s="6" t="inlineStr">
        <is>
          <t>$mm</t>
        </is>
      </c>
      <c r="C80" s="6" t="inlineStr">
        <is>
          <t>Beg Bal × Int Rate</t>
        </is>
      </c>
      <c r="E80" s="15">
        <f>E79*$D$38</f>
        <v/>
      </c>
      <c r="F80" s="15">
        <f>F79*$D$38</f>
        <v/>
      </c>
      <c r="G80" s="15">
        <f>G79*$D$38</f>
        <v/>
      </c>
      <c r="H80" s="15">
        <f>H79*$D$38</f>
        <v/>
      </c>
      <c r="I80" s="15">
        <f>I79*$D$38</f>
        <v/>
      </c>
      <c r="J80" s="15">
        <f>J79*$D$38</f>
        <v/>
      </c>
      <c r="K80" s="15">
        <f>K79*$D$38</f>
        <v/>
      </c>
      <c r="L80" s="15">
        <f>L79*$D$38</f>
        <v/>
      </c>
      <c r="M80" s="15">
        <f>M79*$D$38</f>
        <v/>
      </c>
      <c r="N80" s="15">
        <f>N79*$D$38</f>
        <v/>
      </c>
    </row>
    <row r="81">
      <c r="A81" s="5" t="inlineStr">
        <is>
          <t>Target Debt Service</t>
        </is>
      </c>
      <c r="B81" s="6" t="inlineStr">
        <is>
          <t>$mm</t>
        </is>
      </c>
      <c r="C81" s="6" t="inlineStr">
        <is>
          <t>CFADS / Target DSCR</t>
        </is>
      </c>
      <c r="E81" s="15">
        <f>IF(E76&gt;0,E76/$D$40,0)</f>
        <v/>
      </c>
      <c r="F81" s="15">
        <f>IF(F76&gt;0,F76/$D$40,0)</f>
        <v/>
      </c>
      <c r="G81" s="15">
        <f>IF(G76&gt;0,G76/$D$40,0)</f>
        <v/>
      </c>
      <c r="H81" s="15">
        <f>IF(H76&gt;0,H76/$D$40,0)</f>
        <v/>
      </c>
      <c r="I81" s="15">
        <f>IF(I76&gt;0,I76/$D$40,0)</f>
        <v/>
      </c>
      <c r="J81" s="15">
        <f>IF(J76&gt;0,J76/$D$40,0)</f>
        <v/>
      </c>
      <c r="K81" s="15">
        <f>IF(K76&gt;0,K76/$D$40,0)</f>
        <v/>
      </c>
      <c r="L81" s="15">
        <f>IF(L76&gt;0,L76/$D$40,0)</f>
        <v/>
      </c>
      <c r="M81" s="15">
        <f>IF(M76&gt;0,M76/$D$40,0)</f>
        <v/>
      </c>
      <c r="N81" s="15">
        <f>IF(N76&gt;0,N76/$D$40,0)</f>
        <v/>
      </c>
    </row>
    <row r="82">
      <c r="A82" s="5" t="inlineStr">
        <is>
          <t>Sculpted Principal</t>
        </is>
      </c>
      <c r="B82" s="6" t="inlineStr">
        <is>
          <t>$mm</t>
        </is>
      </c>
      <c r="C82" s="6" t="inlineStr">
        <is>
          <t>Target DS - Interest</t>
        </is>
      </c>
      <c r="E82" s="15">
        <f>MIN(MAX(0,E81-E80),E79)</f>
        <v/>
      </c>
      <c r="F82" s="15">
        <f>MIN(MAX(0,F81-F80),F79)</f>
        <v/>
      </c>
      <c r="G82" s="15">
        <f>MIN(MAX(0,G81-G80),G79)</f>
        <v/>
      </c>
      <c r="H82" s="15">
        <f>MIN(MAX(0,H81-H80),H79)</f>
        <v/>
      </c>
      <c r="I82" s="15">
        <f>MIN(MAX(0,I81-I80),I79)</f>
        <v/>
      </c>
      <c r="J82" s="15">
        <f>MIN(MAX(0,J81-J80),J79)</f>
        <v/>
      </c>
      <c r="K82" s="15">
        <f>MIN(MAX(0,K81-K80),K79)</f>
        <v/>
      </c>
      <c r="L82" s="15">
        <f>MIN(MAX(0,L81-L80),L79)</f>
        <v/>
      </c>
      <c r="M82" s="15">
        <f>MIN(MAX(0,M81-M80),M79)</f>
        <v/>
      </c>
      <c r="N82" s="15">
        <f>MIN(MAX(0,N81-N80),N79)</f>
        <v/>
      </c>
    </row>
    <row r="83">
      <c r="A83" s="5" t="inlineStr">
        <is>
          <t>Actual Debt Service</t>
        </is>
      </c>
      <c r="B83" s="6" t="inlineStr">
        <is>
          <t>$mm</t>
        </is>
      </c>
      <c r="C83" s="6" t="inlineStr">
        <is>
          <t>Interest + Principal</t>
        </is>
      </c>
      <c r="E83" s="15">
        <f>E80+E82</f>
        <v/>
      </c>
      <c r="F83" s="15">
        <f>F80+F82</f>
        <v/>
      </c>
      <c r="G83" s="15">
        <f>G80+G82</f>
        <v/>
      </c>
      <c r="H83" s="15">
        <f>H80+H82</f>
        <v/>
      </c>
      <c r="I83" s="15">
        <f>I80+I82</f>
        <v/>
      </c>
      <c r="J83" s="15">
        <f>J80+J82</f>
        <v/>
      </c>
      <c r="K83" s="15">
        <f>K80+K82</f>
        <v/>
      </c>
      <c r="L83" s="15">
        <f>L80+L82</f>
        <v/>
      </c>
      <c r="M83" s="15">
        <f>M80+M82</f>
        <v/>
      </c>
      <c r="N83" s="15">
        <f>N80+N82</f>
        <v/>
      </c>
    </row>
    <row r="84">
      <c r="A84" s="5" t="inlineStr">
        <is>
          <t>Ending Balance</t>
        </is>
      </c>
      <c r="B84" s="6" t="inlineStr">
        <is>
          <t>$mm</t>
        </is>
      </c>
      <c r="C84" s="6" t="inlineStr">
        <is>
          <t>Beg - Principal</t>
        </is>
      </c>
      <c r="E84" s="15">
        <f>MAX(0,E79-E82)</f>
        <v/>
      </c>
      <c r="F84" s="15">
        <f>MAX(0,F79-F82)</f>
        <v/>
      </c>
      <c r="G84" s="15">
        <f>MAX(0,G79-G82)</f>
        <v/>
      </c>
      <c r="H84" s="15">
        <f>MAX(0,H79-H82)</f>
        <v/>
      </c>
      <c r="I84" s="15">
        <f>MAX(0,I79-I82)</f>
        <v/>
      </c>
      <c r="J84" s="15">
        <f>MAX(0,J79-J82)</f>
        <v/>
      </c>
      <c r="K84" s="15">
        <f>MAX(0,K79-K82)</f>
        <v/>
      </c>
      <c r="L84" s="15">
        <f>MAX(0,L79-L82)</f>
        <v/>
      </c>
      <c r="M84" s="15">
        <f>MAX(0,M79-M82)</f>
        <v/>
      </c>
      <c r="N84" s="15">
        <f>MAX(0,N79-N82)</f>
        <v/>
      </c>
    </row>
    <row r="85">
      <c r="A85" s="5" t="inlineStr">
        <is>
          <t>Actual DSCR</t>
        </is>
      </c>
      <c r="B85" s="6" t="inlineStr">
        <is>
          <t>x</t>
        </is>
      </c>
      <c r="C85" s="6" t="inlineStr">
        <is>
          <t>CFADS / Actual DS</t>
        </is>
      </c>
      <c r="E85" s="25">
        <f>IF(E83&gt;0,E76/E83,0)</f>
        <v/>
      </c>
      <c r="F85" s="25">
        <f>IF(F83&gt;0,F76/F83,0)</f>
        <v/>
      </c>
      <c r="G85" s="25">
        <f>IF(G83&gt;0,G76/G83,0)</f>
        <v/>
      </c>
      <c r="H85" s="25">
        <f>IF(H83&gt;0,H76/H83,0)</f>
        <v/>
      </c>
      <c r="I85" s="25">
        <f>IF(I83&gt;0,I76/I83,0)</f>
        <v/>
      </c>
      <c r="J85" s="25">
        <f>IF(J83&gt;0,J76/J83,0)</f>
        <v/>
      </c>
      <c r="K85" s="25">
        <f>IF(K83&gt;0,K76/K83,0)</f>
        <v/>
      </c>
      <c r="L85" s="25">
        <f>IF(L83&gt;0,L76/L83,0)</f>
        <v/>
      </c>
      <c r="M85" s="25">
        <f>IF(M83&gt;0,M76/M83,0)</f>
        <v/>
      </c>
      <c r="N85" s="25">
        <f>IF(N83&gt;0,N76/N83,0)</f>
        <v/>
      </c>
    </row>
    <row r="87">
      <c r="A87" s="3" t="inlineStr">
        <is>
          <t>DSRA (Debt Service Reserve Account)</t>
        </is>
      </c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</row>
    <row r="88">
      <c r="A88" s="5" t="inlineStr">
        <is>
          <t>DSRA Target</t>
        </is>
      </c>
      <c r="B88" s="6" t="inlineStr">
        <is>
          <t>$mm</t>
        </is>
      </c>
      <c r="C88" s="6" t="inlineStr">
        <is>
          <t>Next Yr DS × DSRA Months / 12</t>
        </is>
      </c>
      <c r="D88" s="15">
        <f>G83*$D$39/12</f>
        <v/>
      </c>
      <c r="E88" s="15">
        <f>G83*$D$39/12</f>
        <v/>
      </c>
      <c r="F88" s="15">
        <f>G83*$D$39/12</f>
        <v/>
      </c>
      <c r="G88" s="15">
        <f>H83*$D$39/12</f>
        <v/>
      </c>
      <c r="H88" s="15">
        <f>I83*$D$39/12</f>
        <v/>
      </c>
      <c r="I88" s="15">
        <f>J83*$D$39/12</f>
        <v/>
      </c>
      <c r="J88" s="15">
        <f>K83*$D$39/12</f>
        <v/>
      </c>
      <c r="K88" s="15">
        <f>L83*$D$39/12</f>
        <v/>
      </c>
      <c r="L88" s="15">
        <f>M83*$D$39/12</f>
        <v/>
      </c>
      <c r="M88" s="15">
        <f>N83*$D$39/12</f>
        <v/>
      </c>
      <c r="N88" s="15">
        <f>0</f>
        <v/>
      </c>
    </row>
    <row r="89">
      <c r="A89" s="5" t="inlineStr">
        <is>
          <t>DSRA Beginning</t>
        </is>
      </c>
      <c r="B89" s="6" t="inlineStr">
        <is>
          <t>$mm</t>
        </is>
      </c>
      <c r="C89" s="6" t="inlineStr"/>
      <c r="D89" s="15">
        <f>0</f>
        <v/>
      </c>
      <c r="E89" s="15">
        <f>D91</f>
        <v/>
      </c>
      <c r="F89" s="15">
        <f>E91</f>
        <v/>
      </c>
      <c r="G89" s="15">
        <f>F91</f>
        <v/>
      </c>
      <c r="H89" s="15">
        <f>G91</f>
        <v/>
      </c>
      <c r="I89" s="15">
        <f>H91</f>
        <v/>
      </c>
      <c r="J89" s="15">
        <f>I91</f>
        <v/>
      </c>
      <c r="K89" s="15">
        <f>J91</f>
        <v/>
      </c>
      <c r="L89" s="15">
        <f>K91</f>
        <v/>
      </c>
      <c r="M89" s="15">
        <f>L91</f>
        <v/>
      </c>
      <c r="N89" s="15">
        <f>M91</f>
        <v/>
      </c>
    </row>
    <row r="90">
      <c r="A90" s="5" t="inlineStr">
        <is>
          <t>DSRA Funding/(Release)</t>
        </is>
      </c>
      <c r="B90" s="6" t="inlineStr">
        <is>
          <t>$mm</t>
        </is>
      </c>
      <c r="C90" s="6" t="inlineStr">
        <is>
          <t>Target - Beginning</t>
        </is>
      </c>
      <c r="D90" s="15">
        <f>D88-D89</f>
        <v/>
      </c>
      <c r="E90" s="15">
        <f>E88-E89</f>
        <v/>
      </c>
      <c r="F90" s="15">
        <f>F88-F89</f>
        <v/>
      </c>
      <c r="G90" s="15">
        <f>G88-G89</f>
        <v/>
      </c>
      <c r="H90" s="15">
        <f>H88-H89</f>
        <v/>
      </c>
      <c r="I90" s="15">
        <f>I88-I89</f>
        <v/>
      </c>
      <c r="J90" s="15">
        <f>J88-J89</f>
        <v/>
      </c>
      <c r="K90" s="15">
        <f>K88-K89</f>
        <v/>
      </c>
      <c r="L90" s="15">
        <f>L88-L89</f>
        <v/>
      </c>
      <c r="M90" s="15">
        <f>M88-M89</f>
        <v/>
      </c>
      <c r="N90" s="15">
        <f>N88-N89</f>
        <v/>
      </c>
    </row>
    <row r="91">
      <c r="A91" s="5" t="inlineStr">
        <is>
          <t>DSRA Ending</t>
        </is>
      </c>
      <c r="B91" s="6" t="inlineStr">
        <is>
          <t>$mm</t>
        </is>
      </c>
      <c r="C91" s="6" t="inlineStr">
        <is>
          <t>Beginning + Funding</t>
        </is>
      </c>
      <c r="D91" s="15">
        <f>D89+D90</f>
        <v/>
      </c>
      <c r="E91" s="15">
        <f>E89+E90</f>
        <v/>
      </c>
      <c r="F91" s="15">
        <f>F89+F90</f>
        <v/>
      </c>
      <c r="G91" s="15">
        <f>G89+G90</f>
        <v/>
      </c>
      <c r="H91" s="15">
        <f>H89+H90</f>
        <v/>
      </c>
      <c r="I91" s="15">
        <f>I89+I90</f>
        <v/>
      </c>
      <c r="J91" s="15">
        <f>J89+J90</f>
        <v/>
      </c>
      <c r="K91" s="15">
        <f>K89+K90</f>
        <v/>
      </c>
      <c r="L91" s="15">
        <f>L89+L90</f>
        <v/>
      </c>
      <c r="M91" s="15">
        <f>M89+M90</f>
        <v/>
      </c>
      <c r="N91" s="15">
        <f>N89+N90</f>
        <v/>
      </c>
    </row>
    <row r="93">
      <c r="A93" s="3" t="inlineStr">
        <is>
          <t>DISTRIBUTION WATERFALL</t>
        </is>
      </c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</row>
    <row r="94">
      <c r="A94" s="5" t="inlineStr">
        <is>
          <t>Cash Available for Distribution</t>
        </is>
      </c>
      <c r="B94" s="6" t="inlineStr">
        <is>
          <t>$mm</t>
        </is>
      </c>
      <c r="C94" s="6" t="inlineStr">
        <is>
          <t>CFADS - DS - DSRA Fund</t>
        </is>
      </c>
      <c r="E94" s="15">
        <f>E76-E83-E90</f>
        <v/>
      </c>
      <c r="F94" s="15">
        <f>F76-F83-F90</f>
        <v/>
      </c>
      <c r="G94" s="15">
        <f>G76-G83-G90</f>
        <v/>
      </c>
      <c r="H94" s="15">
        <f>H76-H83-H90</f>
        <v/>
      </c>
      <c r="I94" s="15">
        <f>I76-I83-I90</f>
        <v/>
      </c>
      <c r="J94" s="15">
        <f>J76-J83-J90</f>
        <v/>
      </c>
      <c r="K94" s="15">
        <f>K76-K83-K90</f>
        <v/>
      </c>
      <c r="L94" s="15">
        <f>L76-L83-L90</f>
        <v/>
      </c>
      <c r="M94" s="15">
        <f>M76-M83-M90</f>
        <v/>
      </c>
      <c r="N94" s="15">
        <f>N76-N83-N90</f>
        <v/>
      </c>
    </row>
    <row r="95">
      <c r="A95" s="5" t="inlineStr">
        <is>
          <t>Lock-up Test</t>
        </is>
      </c>
      <c r="B95" s="6" t="inlineStr"/>
      <c r="C95" s="6" t="inlineStr">
        <is>
          <t>PASS if DSCR ≥ Lock-up</t>
        </is>
      </c>
      <c r="E95" s="17">
        <f>IF(E85&gt;=$D$41,"PASS","LOCKED")</f>
        <v/>
      </c>
      <c r="F95" s="17">
        <f>IF(F85&gt;=$D$41,"PASS","LOCKED")</f>
        <v/>
      </c>
      <c r="G95" s="17">
        <f>IF(G85&gt;=$D$41,"PASS","LOCKED")</f>
        <v/>
      </c>
      <c r="H95" s="17">
        <f>IF(H85&gt;=$D$41,"PASS","LOCKED")</f>
        <v/>
      </c>
      <c r="I95" s="17">
        <f>IF(I85&gt;=$D$41,"PASS","LOCKED")</f>
        <v/>
      </c>
      <c r="J95" s="17">
        <f>IF(J85&gt;=$D$41,"PASS","LOCKED")</f>
        <v/>
      </c>
      <c r="K95" s="17">
        <f>IF(K85&gt;=$D$41,"PASS","LOCKED")</f>
        <v/>
      </c>
      <c r="L95" s="17">
        <f>IF(L85&gt;=$D$41,"PASS","LOCKED")</f>
        <v/>
      </c>
      <c r="M95" s="17">
        <f>IF(M85&gt;=$D$41,"PASS","LOCKED")</f>
        <v/>
      </c>
      <c r="N95" s="17">
        <f>IF(N85&gt;=$D$41,"PASS","LOCKED")</f>
        <v/>
      </c>
    </row>
    <row r="96">
      <c r="A96" s="5" t="inlineStr">
        <is>
          <t>Distributable Cash</t>
        </is>
      </c>
      <c r="B96" s="6" t="inlineStr">
        <is>
          <t>$mm</t>
        </is>
      </c>
      <c r="C96" s="6" t="inlineStr">
        <is>
          <t>If PASS, MAX(0, Cash Avail)</t>
        </is>
      </c>
      <c r="E96" s="7">
        <f>IF(E95="PASS",MAX(0,E94),0)</f>
        <v/>
      </c>
      <c r="F96" s="7">
        <f>IF(F95="PASS",MAX(0,F94),0)</f>
        <v/>
      </c>
      <c r="G96" s="7">
        <f>IF(G95="PASS",MAX(0,G94),0)</f>
        <v/>
      </c>
      <c r="H96" s="7">
        <f>IF(H95="PASS",MAX(0,H94),0)</f>
        <v/>
      </c>
      <c r="I96" s="7">
        <f>IF(I95="PASS",MAX(0,I94),0)</f>
        <v/>
      </c>
      <c r="J96" s="7">
        <f>IF(J95="PASS",MAX(0,J94),0)</f>
        <v/>
      </c>
      <c r="K96" s="7">
        <f>IF(K95="PASS",MAX(0,K94),0)</f>
        <v/>
      </c>
      <c r="L96" s="7">
        <f>IF(L95="PASS",MAX(0,L94),0)</f>
        <v/>
      </c>
      <c r="M96" s="7">
        <f>IF(M95="PASS",MAX(0,M94),0)</f>
        <v/>
      </c>
      <c r="N96" s="7">
        <f>IF(N95="PASS",MAX(0,N94),0)</f>
        <v/>
      </c>
    </row>
    <row r="98">
      <c r="A98" s="3" t="inlineStr">
        <is>
          <t>SOURCES &amp; USES (Total Construction)</t>
        </is>
      </c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</row>
    <row r="99">
      <c r="A99" s="18" t="inlineStr">
        <is>
          <t>USES</t>
        </is>
      </c>
      <c r="B99" s="6" t="inlineStr"/>
      <c r="C99" s="6" t="inlineStr"/>
    </row>
    <row r="100">
      <c r="A100" s="5" t="inlineStr">
        <is>
          <t xml:space="preserve">  Development Y0</t>
        </is>
      </c>
      <c r="B100" s="6" t="inlineStr">
        <is>
          <t>$mm</t>
        </is>
      </c>
      <c r="C100" s="6" t="inlineStr"/>
      <c r="D100" s="15">
        <f>$D$17</f>
        <v/>
      </c>
    </row>
    <row r="101">
      <c r="A101" s="5" t="inlineStr">
        <is>
          <t xml:space="preserve">  Development Y1</t>
        </is>
      </c>
      <c r="B101" s="6" t="inlineStr">
        <is>
          <t>$mm</t>
        </is>
      </c>
      <c r="C101" s="6" t="inlineStr"/>
      <c r="D101" s="15">
        <f>$D$18</f>
        <v/>
      </c>
    </row>
    <row r="102">
      <c r="A102" s="5" t="inlineStr">
        <is>
          <t xml:space="preserve">  Construction Y2</t>
        </is>
      </c>
      <c r="B102" s="6" t="inlineStr">
        <is>
          <t>$mm</t>
        </is>
      </c>
      <c r="C102" s="6" t="inlineStr"/>
      <c r="D102" s="15">
        <f>$D$19</f>
        <v/>
      </c>
    </row>
    <row r="103">
      <c r="A103" s="5" t="inlineStr">
        <is>
          <t xml:space="preserve">  Construction Interest</t>
        </is>
      </c>
      <c r="B103" s="6" t="inlineStr">
        <is>
          <t>$mm</t>
        </is>
      </c>
      <c r="C103" s="6" t="inlineStr"/>
      <c r="D103" s="15">
        <f>$D$52</f>
        <v/>
      </c>
    </row>
    <row r="104">
      <c r="A104" s="5" t="inlineStr">
        <is>
          <t xml:space="preserve">  DSRA Funding (at COD)</t>
        </is>
      </c>
      <c r="B104" s="6" t="inlineStr">
        <is>
          <t>$mm</t>
        </is>
      </c>
      <c r="C104" s="6" t="inlineStr"/>
      <c r="D104" s="15">
        <f>G88</f>
        <v/>
      </c>
    </row>
    <row r="105">
      <c r="A105" s="5" t="inlineStr">
        <is>
          <t>Total Uses</t>
        </is>
      </c>
      <c r="B105" s="6" t="inlineStr">
        <is>
          <t>$mm</t>
        </is>
      </c>
      <c r="C105" s="6" t="inlineStr"/>
      <c r="D105" s="7">
        <f>SUM(D100:D104)</f>
        <v/>
      </c>
    </row>
    <row r="107">
      <c r="A107" s="18" t="inlineStr">
        <is>
          <t>SOURCES</t>
        </is>
      </c>
      <c r="B107" s="6" t="inlineStr"/>
      <c r="C107" s="6" t="inlineStr"/>
    </row>
    <row r="108">
      <c r="A108" s="5" t="inlineStr">
        <is>
          <t xml:space="preserve">  Construction Loan</t>
        </is>
      </c>
      <c r="B108" s="6" t="inlineStr">
        <is>
          <t>$mm</t>
        </is>
      </c>
      <c r="C108" s="6" t="inlineStr"/>
      <c r="D108" s="15">
        <f>$D$51</f>
        <v/>
      </c>
    </row>
    <row r="109">
      <c r="A109" s="5" t="inlineStr">
        <is>
          <t xml:space="preserve">  Term Debt (at COD)</t>
        </is>
      </c>
      <c r="B109" s="6" t="inlineStr">
        <is>
          <t>$mm</t>
        </is>
      </c>
      <c r="C109" s="6" t="inlineStr"/>
      <c r="D109" s="15">
        <f>$D$54</f>
        <v/>
      </c>
    </row>
    <row r="110">
      <c r="A110" s="5" t="inlineStr">
        <is>
          <t xml:space="preserve">  Total Equity</t>
        </is>
      </c>
      <c r="B110" s="6" t="inlineStr">
        <is>
          <t>$mm</t>
        </is>
      </c>
      <c r="C110" s="6" t="inlineStr"/>
      <c r="D110" s="15">
        <f>D62</f>
        <v/>
      </c>
    </row>
    <row r="111">
      <c r="A111" s="5" t="inlineStr">
        <is>
          <t>Total Sources</t>
        </is>
      </c>
      <c r="B111" s="6" t="inlineStr">
        <is>
          <t>$mm</t>
        </is>
      </c>
      <c r="C111" s="6" t="inlineStr"/>
      <c r="D111" s="7">
        <f>D109+D110+D104</f>
        <v/>
      </c>
    </row>
    <row r="112">
      <c r="A112" s="5" t="inlineStr">
        <is>
          <t>Balance Check</t>
        </is>
      </c>
      <c r="B112" s="6" t="inlineStr"/>
      <c r="C112" s="6" t="inlineStr"/>
      <c r="D112" s="10">
        <f>IF(ABS(D53+D104-D111)&lt;0.01,"PASS","FAIL")</f>
        <v/>
      </c>
    </row>
    <row r="114">
      <c r="A114" s="3" t="inlineStr">
        <is>
          <t>EXIT CALCULATIONS</t>
        </is>
      </c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</row>
    <row r="115">
      <c r="A115" s="5" t="inlineStr">
        <is>
          <t>Cumulative Depreciation</t>
        </is>
      </c>
      <c r="B115" s="6" t="inlineStr">
        <is>
          <t>$mm</t>
        </is>
      </c>
      <c r="C115" s="6" t="inlineStr">
        <is>
          <t>Dep × Operating Years</t>
        </is>
      </c>
      <c r="N115" s="15">
        <f>$D$55*8</f>
        <v/>
      </c>
    </row>
    <row r="116">
      <c r="A116" s="5" t="inlineStr">
        <is>
          <t>Exit RAB</t>
        </is>
      </c>
      <c r="B116" s="6" t="inlineStr">
        <is>
          <t>$mm</t>
        </is>
      </c>
      <c r="C116" s="6" t="inlineStr">
        <is>
          <t>RAB at COD - Cum Dep</t>
        </is>
      </c>
      <c r="N116" s="15">
        <f>$D$53-N115</f>
        <v/>
      </c>
    </row>
    <row r="117">
      <c r="A117" s="5" t="inlineStr">
        <is>
          <t>Exit EV</t>
        </is>
      </c>
      <c r="B117" s="6" t="inlineStr">
        <is>
          <t>$mm</t>
        </is>
      </c>
      <c r="C117" s="6" t="inlineStr">
        <is>
          <t>Exit RAB × xRAB Multiple</t>
        </is>
      </c>
      <c r="N117" s="15">
        <f>N116*$D$44</f>
        <v/>
      </c>
    </row>
    <row r="118">
      <c r="A118" s="5" t="inlineStr">
        <is>
          <t>Exit Debt Payoff</t>
        </is>
      </c>
      <c r="B118" s="6" t="inlineStr">
        <is>
          <t>$mm</t>
        </is>
      </c>
      <c r="C118" s="6" t="inlineStr">
        <is>
          <t>Ending Bal at Exit</t>
        </is>
      </c>
      <c r="N118" s="15">
        <f>N84</f>
        <v/>
      </c>
    </row>
    <row r="119">
      <c r="A119" s="5" t="inlineStr">
        <is>
          <t>DSRA Release</t>
        </is>
      </c>
      <c r="B119" s="6" t="inlineStr">
        <is>
          <t>$mm</t>
        </is>
      </c>
      <c r="C119" s="6" t="inlineStr">
        <is>
          <t>DSRA Ending at Exit</t>
        </is>
      </c>
      <c r="N119" s="15">
        <f>N91</f>
        <v/>
      </c>
    </row>
    <row r="120">
      <c r="A120" s="5" t="inlineStr">
        <is>
          <t>Exit Equity Proceeds</t>
        </is>
      </c>
      <c r="B120" s="6" t="inlineStr">
        <is>
          <t>$mm</t>
        </is>
      </c>
      <c r="C120" s="6" t="inlineStr">
        <is>
          <t>Exit EV - Debt + DSRA</t>
        </is>
      </c>
      <c r="N120" s="7">
        <f>N117-N118+N119</f>
        <v/>
      </c>
    </row>
    <row r="122">
      <c r="A122" s="3" t="inlineStr">
        <is>
          <t>EQUITY RETURNS</t>
        </is>
      </c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</row>
    <row r="123">
      <c r="A123" s="5" t="inlineStr">
        <is>
          <t>Equity Cash Flow</t>
        </is>
      </c>
      <c r="B123" s="6" t="inlineStr">
        <is>
          <t>$mm</t>
        </is>
      </c>
      <c r="C123" s="6" t="inlineStr"/>
      <c r="D123" s="15">
        <f>-D58</f>
        <v/>
      </c>
      <c r="E123" s="15">
        <f>-E59</f>
        <v/>
      </c>
      <c r="F123" s="15">
        <f>-F60</f>
        <v/>
      </c>
      <c r="G123" s="15">
        <f>-G61-G90+G96</f>
        <v/>
      </c>
      <c r="H123" s="15">
        <f>H96</f>
        <v/>
      </c>
      <c r="I123" s="15">
        <f>I96</f>
        <v/>
      </c>
      <c r="J123" s="15">
        <f>J96</f>
        <v/>
      </c>
      <c r="K123" s="15">
        <f>K96</f>
        <v/>
      </c>
      <c r="L123" s="15">
        <f>L96</f>
        <v/>
      </c>
      <c r="M123" s="15">
        <f>M96</f>
        <v/>
      </c>
      <c r="N123" s="15">
        <f>N96+N120</f>
        <v/>
      </c>
    </row>
    <row r="124">
      <c r="A124" s="5" t="inlineStr">
        <is>
          <t>Levered IRR</t>
        </is>
      </c>
      <c r="B124" s="6" t="inlineStr">
        <is>
          <t>%</t>
        </is>
      </c>
      <c r="C124" s="6" t="inlineStr"/>
      <c r="D124" s="26">
        <f>IRR(D123:N123)</f>
        <v/>
      </c>
    </row>
    <row r="125">
      <c r="A125" s="5" t="inlineStr">
        <is>
          <t>MOIC</t>
        </is>
      </c>
      <c r="B125" s="6" t="inlineStr">
        <is>
          <t>x</t>
        </is>
      </c>
      <c r="C125" s="6" t="inlineStr">
        <is>
          <t>Sum inflows / outflows</t>
        </is>
      </c>
      <c r="D125" s="25">
        <f>SUMIF(D123:N123,"&gt;0")/-SUMIF(D123:N123,"&lt;0")</f>
        <v/>
      </c>
    </row>
    <row r="127">
      <c r="A127" s="18" t="inlineStr">
        <is>
          <t>Unlevered Returns (for reference)</t>
        </is>
      </c>
      <c r="B127" s="6" t="inlineStr"/>
      <c r="C127" s="6" t="inlineStr"/>
    </row>
    <row r="128">
      <c r="A128" s="5" t="inlineStr">
        <is>
          <t>Unlevered Cash Flow</t>
        </is>
      </c>
      <c r="B128" s="6" t="inlineStr">
        <is>
          <t>$mm</t>
        </is>
      </c>
      <c r="C128" s="6" t="inlineStr"/>
      <c r="D128" s="15">
        <f>-$D$17</f>
        <v/>
      </c>
      <c r="E128" s="15">
        <f>-$D$18</f>
        <v/>
      </c>
      <c r="F128" s="15">
        <f>-$D$19</f>
        <v/>
      </c>
      <c r="G128" s="15">
        <f>G76</f>
        <v/>
      </c>
      <c r="H128" s="15">
        <f>H76</f>
        <v/>
      </c>
      <c r="I128" s="15">
        <f>I76</f>
        <v/>
      </c>
      <c r="J128" s="15">
        <f>J76</f>
        <v/>
      </c>
      <c r="K128" s="15">
        <f>K76</f>
        <v/>
      </c>
      <c r="L128" s="15">
        <f>L76</f>
        <v/>
      </c>
      <c r="M128" s="15">
        <f>M76</f>
        <v/>
      </c>
      <c r="N128" s="15">
        <f>N76+N117</f>
        <v/>
      </c>
    </row>
    <row r="129">
      <c r="A129" s="5" t="inlineStr">
        <is>
          <t>Unlevered IRR</t>
        </is>
      </c>
      <c r="B129" s="6" t="inlineStr">
        <is>
          <t>%</t>
        </is>
      </c>
      <c r="C129" s="6" t="inlineStr"/>
      <c r="D129" s="26">
        <f>IRR(D128:N128)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2026-01-20T03:00:03Z</dcterms:created>
  <dcterms:modified xmlns:dcterms="http://purl.org/dc/terms/" xmlns:xsi="http://www.w3.org/2001/XMLSchema-instance" xsi:type="dcterms:W3CDTF">2026-01-20T04:30:34Z</dcterms:modified>
</cp:coreProperties>
</file>