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ition Guid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19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b val="1"/>
    </font>
    <font>
      <i val="1"/>
      <color rgb="000066CC"/>
    </font>
    <font>
      <b val="1"/>
      <sz val="12"/>
    </font>
    <font>
      <b val="1"/>
      <sz val="11"/>
    </font>
    <font>
      <b val="1"/>
      <color rgb="001F4E79"/>
      <sz val="14"/>
    </font>
    <font>
      <sz val="10"/>
    </font>
    <font>
      <b val="1"/>
      <color rgb="001F4E79"/>
      <sz val="12"/>
    </font>
    <font/>
    <font>
      <b val="1"/>
      <i val="1"/>
      <color rgb="00666666"/>
    </font>
    <font>
      <b val="1"/>
      <color rgb="00C00000"/>
      <sz val="11"/>
    </font>
    <font>
      <b val="1"/>
      <sz val="9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DEEAF6"/>
        <bgColor rgb="00DE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64" fontId="4" fillId="0" borderId="1" pivotButton="0" quotePrefix="0" xfId="0"/>
    <xf numFmtId="167" fontId="4" fillId="0" borderId="1" pivotButton="0" quotePrefix="0" xfId="0"/>
    <xf numFmtId="4" fontId="4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applyAlignment="1" pivotButton="0" quotePrefix="0" xfId="0">
      <alignment wrapText="1"/>
    </xf>
    <xf numFmtId="0" fontId="2" fillId="6" borderId="0" pivotButton="0" quotePrefix="0" xfId="0"/>
    <xf numFmtId="0" fontId="4" fillId="6" borderId="0" applyAlignment="1" pivotButton="0" quotePrefix="0" xfId="0">
      <alignment wrapText="1"/>
    </xf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9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5" fontId="0" fillId="4" borderId="0" pivotButton="0" quotePrefix="0" xfId="0"/>
    <xf numFmtId="0" fontId="6" fillId="3" borderId="0" pivotButton="0" quotePrefix="0" xfId="0"/>
    <xf numFmtId="167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14" fillId="0" borderId="1" pivotButton="0" quotePrefix="0" xfId="0"/>
    <xf numFmtId="165" fontId="14" fillId="0" borderId="1" pivotButton="0" quotePrefix="0" xfId="0"/>
    <xf numFmtId="166" fontId="14" fillId="0" borderId="1" pivotButton="0" quotePrefix="0" xfId="0"/>
    <xf numFmtId="0" fontId="7" fillId="0" borderId="0" applyAlignment="1" pivotButton="0" quotePrefix="0" xfId="0">
      <alignment horizontal="left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7" t="inlineStr">
        <is>
          <t>Intuition Guide - 5_Midstream</t>
        </is>
      </c>
    </row>
    <row r="2">
      <c r="A2" s="1" t="inlineStr">
        <is>
          <t>LOTUS INFRASTRUCTURE PARTNERS</t>
        </is>
      </c>
    </row>
    <row r="3">
      <c r="A3" s="1" t="inlineStr">
        <is>
          <t>CASE STUDY: NATURAL GAS GATHERING SYSTEM ACQUISITION</t>
        </is>
      </c>
    </row>
    <row r="4">
      <c r="A4">
        <f>==========================================================================</f>
        <v/>
      </c>
    </row>
    <row r="6">
      <c r="A6" t="inlineStr">
        <is>
          <t>TIME: 4 Hours | DATE: January 2026 | DELIVERABLES: Model + IC Memo</t>
        </is>
      </c>
    </row>
    <row r="8">
      <c r="A8" s="32" t="inlineStr">
        <is>
          <t>--- MODEL TIMELINE ---</t>
        </is>
      </c>
    </row>
    <row r="9">
      <c r="A9" t="inlineStr">
        <is>
          <t>Year 0 (2025): Transaction close Q4</t>
        </is>
      </c>
    </row>
    <row r="10">
      <c r="A10" t="inlineStr">
        <is>
          <t>Year 1-5 (2026-2030): Growth phase; volumes increase with new connections</t>
        </is>
      </c>
    </row>
    <row r="11">
      <c r="A11" t="inlineStr">
        <is>
          <t>Year 5 (2030): Anchor shipper contract expires; recontracting risk</t>
        </is>
      </c>
    </row>
    <row r="12">
      <c r="A12" t="inlineStr">
        <is>
          <t>Year 6-10 (2031-2035): Potential decline phase if no new drilling</t>
        </is>
      </c>
    </row>
    <row r="14">
      <c r="A14" s="32" t="inlineStr">
        <is>
          <t>--- SITUATION ---</t>
        </is>
      </c>
    </row>
    <row r="15">
      <c r="A15" s="35" t="inlineStr">
        <is>
          <t>Lotus Infrastructure Partners is evaluating a natural gas gathering
system in the Permian Basin (Delaware sub-basin). Nameplate capacity is
500 MMcf/d with current throughput of ~80 MMcf/d from 15 producer connections.</t>
        </is>
      </c>
    </row>
    <row r="17">
      <c r="A17" s="35" t="inlineStr">
        <is>
          <t>The anchor shipper contract covers 50 MMcf/d at $0.55/Mcf through 2030
(5 years remaining) with 80% take-or-pay. Remaining ~30 MMcf/d is under
short-term (1-2 year) gathering agreements.</t>
        </is>
      </c>
    </row>
    <row r="19">
      <c r="A19" s="35" t="inlineStr">
        <is>
          <t>Basin activity is strong with rig counts up 15% YoY. However, producer
economics are sensitive to WTI and Henry Hub prices. The system has
expansion capacity without major capex.</t>
        </is>
      </c>
    </row>
    <row r="21">
      <c r="A21" s="35" t="inlineStr">
        <is>
          <t>The seller (PE fund approaching end of fund life) is asking $85mm with
bids due by February 10, 2026.</t>
        </is>
      </c>
    </row>
    <row r="23">
      <c r="A23" s="32" t="inlineStr">
        <is>
          <t>--- KEY VALUE DRIVERS ---</t>
        </is>
      </c>
    </row>
    <row r="24">
      <c r="A24" t="inlineStr">
        <is>
          <t>* Volume Trajectory: Producer drilling activity drives throughput</t>
        </is>
      </c>
    </row>
    <row r="25">
      <c r="A25" t="inlineStr">
        <is>
          <t>* Take-or-Pay: 80% MVC provides revenue floor on contracted volumes</t>
        </is>
      </c>
    </row>
    <row r="26">
      <c r="A26" t="inlineStr">
        <is>
          <t>* Recontracting Risk: Anchor contract expiry in 2030 is key risk</t>
        </is>
      </c>
    </row>
    <row r="27">
      <c r="A27" t="inlineStr">
        <is>
          <t>* Basin Economics: WTI/HH prices drive producer drilling decisions</t>
        </is>
      </c>
    </row>
    <row r="29">
      <c r="A29" s="32" t="inlineStr">
        <is>
          <t>--- STEP-BY-STEP MODEL BUILDING GUIDE ---</t>
        </is>
      </c>
    </row>
    <row r="30">
      <c r="A30" s="35" t="inlineStr">
        <is>
          <t>STEP-BY-STEP MODEL BUILDING GUIDE FOR MIDSTREAM</t>
        </is>
      </c>
    </row>
    <row r="31">
      <c r="A31" s="35" t="inlineStr"/>
    </row>
    <row r="32">
      <c r="A32" s="35" t="inlineStr">
        <is>
          <t>KEY DIFFERENCES:</t>
        </is>
      </c>
    </row>
    <row r="33">
      <c r="A33" s="35" t="inlineStr">
        <is>
          <t>- Volume-based revenue (not capacity x price)</t>
        </is>
      </c>
    </row>
    <row r="34">
      <c r="A34" s="35" t="inlineStr">
        <is>
          <t>- Producer counterparty credit risk</t>
        </is>
      </c>
    </row>
    <row r="35">
      <c r="A35" s="35" t="inlineStr">
        <is>
          <t>- Volume decline curves for existing wells</t>
        </is>
      </c>
    </row>
    <row r="36">
      <c r="A36" s="35" t="inlineStr">
        <is>
          <t>- Recontracting risk at contract expiry</t>
        </is>
      </c>
    </row>
    <row r="37">
      <c r="A37" s="35" t="inlineStr">
        <is>
          <t>- Gathering fee is $/Mcf</t>
        </is>
      </c>
    </row>
    <row r="38">
      <c r="A38" s="35" t="inlineStr"/>
    </row>
    <row r="39">
      <c r="A39" s="35" t="inlineStr">
        <is>
          <t>1. SET UP INPUTS</t>
        </is>
      </c>
    </row>
    <row r="40">
      <c r="A40" s="35" t="inlineStr">
        <is>
          <t xml:space="preserve">   - Y1 Volume: 80 MMcf/d (current throughput)</t>
        </is>
      </c>
    </row>
    <row r="41">
      <c r="A41" s="35" t="inlineStr">
        <is>
          <t xml:space="preserve">   - Gathering Fee: $0.55/Mcf</t>
        </is>
      </c>
    </row>
    <row r="42">
      <c r="A42" s="35" t="inlineStr">
        <is>
          <t xml:space="preserve">   - Growth Rate Y1-5: 3%/year</t>
        </is>
      </c>
    </row>
    <row r="43">
      <c r="A43" s="35" t="inlineStr">
        <is>
          <t xml:space="preserve">   - Decline Rate Y6-10: 5%/year</t>
        </is>
      </c>
    </row>
    <row r="44">
      <c r="A44" s="35" t="inlineStr">
        <is>
          <t xml:space="preserve">   - O&amp;M: $3.5mm/year base</t>
        </is>
      </c>
    </row>
    <row r="45">
      <c r="A45" s="35" t="inlineStr"/>
    </row>
    <row r="46">
      <c r="A46" s="35" t="inlineStr">
        <is>
          <t>2. BUILD VOLUME TRAJECTORY</t>
        </is>
      </c>
    </row>
    <row r="47">
      <c r="A47" s="35" t="inlineStr">
        <is>
          <t xml:space="preserve">   Daily Volume Y1 = 80 MMcf/d</t>
        </is>
      </c>
    </row>
    <row r="48">
      <c r="A48" s="35" t="inlineStr">
        <is>
          <t xml:space="preserve">   Daily Volume Yn = Y(n-1) x (1 + Growth/Decline Rate)</t>
        </is>
      </c>
    </row>
    <row r="49">
      <c r="A49" s="35" t="inlineStr">
        <is>
          <t xml:space="preserve">   Annual Volume (Bcf) = Daily Volume x 365 / 1000</t>
        </is>
      </c>
    </row>
    <row r="50">
      <c r="A50" s="35" t="inlineStr"/>
    </row>
    <row r="51">
      <c r="A51" s="35" t="inlineStr">
        <is>
          <t>3. BUILD REVENUE</t>
        </is>
      </c>
    </row>
    <row r="52">
      <c r="A52" s="35" t="inlineStr">
        <is>
          <t xml:space="preserve">   Revenue ($mm) = Annual Volume (Bcf) x Fee ($/Mcf)</t>
        </is>
      </c>
    </row>
    <row r="53">
      <c r="A53" s="35" t="inlineStr"/>
    </row>
    <row r="54">
      <c r="A54" s="35" t="inlineStr">
        <is>
          <t xml:space="preserve">   Why this works:</t>
        </is>
      </c>
    </row>
    <row r="55">
      <c r="A55" s="35" t="inlineStr">
        <is>
          <t xml:space="preserve">   - 1 Bcf = 1,000,000 Mcf</t>
        </is>
      </c>
    </row>
    <row r="56">
      <c r="A56" s="35" t="inlineStr">
        <is>
          <t xml:space="preserve">   - Revenue ($) = Bcf x 1,000,000 x $/Mcf</t>
        </is>
      </c>
    </row>
    <row r="57">
      <c r="A57" s="35" t="inlineStr">
        <is>
          <t xml:space="preserve">   - Revenue ($mm) = Revenue ($) / 1,000,000</t>
        </is>
      </c>
    </row>
    <row r="58">
      <c r="A58" s="35" t="inlineStr">
        <is>
          <t xml:space="preserve">   - Therefore: Revenue ($mm) = Bcf x $/Mcf (factors cancel)</t>
        </is>
      </c>
    </row>
    <row r="59">
      <c r="A59" s="35" t="inlineStr"/>
    </row>
    <row r="60">
      <c r="A60" s="35" t="inlineStr">
        <is>
          <t xml:space="preserve">   NO *1000 multiplier needed!</t>
        </is>
      </c>
    </row>
    <row r="61">
      <c r="A61" s="35" t="inlineStr"/>
    </row>
    <row r="62">
      <c r="A62" s="35" t="inlineStr">
        <is>
          <t xml:space="preserve">   Sanity Check: 29 Bcf x $0.55/Mcf = ~$16mm revenue</t>
        </is>
      </c>
    </row>
    <row r="63">
      <c r="A63" s="35" t="inlineStr">
        <is>
          <t xml:space="preserve">   This is reasonable for $85mm EV (5x EV/Revenue)</t>
        </is>
      </c>
    </row>
    <row r="64">
      <c r="A64" s="35" t="inlineStr"/>
    </row>
    <row r="65">
      <c r="A65" s="35" t="inlineStr">
        <is>
          <t>4. BUILD CFADS</t>
        </is>
      </c>
    </row>
    <row r="66">
      <c r="A66" s="35" t="inlineStr">
        <is>
          <t xml:space="preserve">   CFADS = Revenue - O&amp;M - Taxes - Growth Capex</t>
        </is>
      </c>
    </row>
    <row r="67">
      <c r="A67" s="35" t="inlineStr">
        <is>
          <t xml:space="preserve">   Growth capex (wellhead connections) is BEFORE CFADS for midstream</t>
        </is>
      </c>
    </row>
    <row r="68">
      <c r="A68" s="35" t="inlineStr"/>
    </row>
    <row r="69">
      <c r="A69" s="35" t="inlineStr">
        <is>
          <t>5. DEBT STRUCTURE</t>
        </is>
      </c>
    </row>
    <row r="70">
      <c r="A70" s="35" t="inlineStr">
        <is>
          <t xml:space="preserve">   75% cash sweep (volume uncertainty warrants sweep)</t>
        </is>
      </c>
    </row>
    <row r="71">
      <c r="A71" s="35" t="inlineStr">
        <is>
          <t xml:space="preserve">   Shorter tenor (5 years) due to recontracting risk</t>
        </is>
      </c>
    </row>
    <row r="73">
      <c r="A73" s="32" t="inlineStr">
        <is>
          <t>--- HOW TO AVOID CIRCULARITY ---</t>
        </is>
      </c>
    </row>
    <row r="74">
      <c r="A74" t="inlineStr">
        <is>
          <t>Same as CCGT - use Scheduled DS for DSRA Target to avoid circularity.</t>
        </is>
      </c>
    </row>
    <row r="76">
      <c r="A76" s="32" t="inlineStr">
        <is>
          <t>--- ALTERNATIVE SCENARIOS ---</t>
        </is>
      </c>
    </row>
    <row r="77">
      <c r="A77" t="inlineStr">
        <is>
          <t>ALTERNATIVE SCENARIOS</t>
        </is>
      </c>
    </row>
    <row r="79">
      <c r="A79" t="inlineStr">
        <is>
          <t>A. Processing vs Gathering:</t>
        </is>
      </c>
    </row>
    <row r="80">
      <c r="A80" t="inlineStr">
        <is>
          <t xml:space="preserve">   - If system includes processing plant</t>
        </is>
      </c>
    </row>
    <row r="81">
      <c r="A81" t="inlineStr">
        <is>
          <t xml:space="preserve">   - Processing revenue is $/MMBtu (different unit)</t>
        </is>
      </c>
    </row>
    <row r="83">
      <c r="A83" t="inlineStr">
        <is>
          <t>B. Commodity Exposure:</t>
        </is>
      </c>
    </row>
    <row r="84">
      <c r="A84" t="inlineStr">
        <is>
          <t xml:space="preserve">   - If fee has commodity-linked component</t>
        </is>
      </c>
    </row>
    <row r="85">
      <c r="A85" t="inlineStr">
        <is>
          <t xml:space="preserve">   - Must model WTI/HH price scenarios</t>
        </is>
      </c>
    </row>
    <row r="87">
      <c r="A87" t="inlineStr">
        <is>
          <t>C. Acreage Dedication:</t>
        </is>
      </c>
    </row>
    <row r="88">
      <c r="A88" t="inlineStr">
        <is>
          <t xml:space="preserve">   - If contract includes acreage dedication</t>
        </is>
      </c>
    </row>
    <row r="89">
      <c r="A89" t="inlineStr">
        <is>
          <t xml:space="preserve">   - Provides volume upside if producer drills more</t>
        </is>
      </c>
    </row>
    <row r="91">
      <c r="A91" s="32" t="inlineStr">
        <is>
          <t>--- QA CHECKS ---</t>
        </is>
      </c>
    </row>
    <row r="92">
      <c r="A92" t="inlineStr">
        <is>
          <t>QA CHECKS</t>
        </is>
      </c>
    </row>
    <row r="94">
      <c r="A94" t="inlineStr">
        <is>
          <t>1. Revenue formula does NOT have erroneous *1000</t>
        </is>
      </c>
    </row>
    <row r="95">
      <c r="A95" t="inlineStr">
        <is>
          <t>2. Y1 Revenue / Entry EV = reasonable multiple (4-6x typical)</t>
        </is>
      </c>
    </row>
    <row r="96">
      <c r="A96" t="inlineStr">
        <is>
          <t>3. Volume trajectory makes sense (growth then decline)</t>
        </is>
      </c>
    </row>
    <row r="97">
      <c r="A97" t="inlineStr">
        <is>
          <t>4. Take-or-pay floor revenue = MVC x Fee</t>
        </is>
      </c>
    </row>
    <row r="98">
      <c r="A98" t="inlineStr">
        <is>
          <t>5. Recontracting scenario modeled for Year 5+</t>
        </is>
      </c>
    </row>
    <row r="99">
      <c r="A99" t="inlineStr">
        <is>
          <t>6. DSCR &gt;= 1.25x during debt tenor</t>
        </is>
      </c>
    </row>
    <row r="101">
      <c r="A101" s="32" t="inlineStr">
        <is>
          <t>--- HINTS &amp; PITFALLS ---</t>
        </is>
      </c>
    </row>
    <row r="102">
      <c r="A102" s="33" t="inlineStr">
        <is>
          <t>* Revenue = Bcf x $/Mcf (NO conversion factor - they cancel)</t>
        </is>
      </c>
    </row>
    <row r="103">
      <c r="A103" s="33" t="inlineStr">
        <is>
          <t>* Y1 Revenue of ~$16mm on $85mm EV is ~5.3x, reasonable</t>
        </is>
      </c>
    </row>
    <row r="104">
      <c r="A104" s="33" t="inlineStr">
        <is>
          <t>* Recontracting at Year 5 is THE key risk - show sensitivity</t>
        </is>
      </c>
    </row>
    <row r="105">
      <c r="A105" s="33" t="inlineStr">
        <is>
          <t>* Take-or-pay provides 80% floor on contracted volume</t>
        </is>
      </c>
    </row>
    <row r="107">
      <c r="A107" s="32" t="inlineStr">
        <is>
          <t>--- INTERVIEW QUESTIONS ---</t>
        </is>
      </c>
    </row>
    <row r="108">
      <c r="A108" t="inlineStr">
        <is>
          <t>Q: Walk me through how you modeled volume decline.</t>
        </is>
      </c>
    </row>
    <row r="109">
      <c r="A109" t="inlineStr">
        <is>
          <t>Q: What's your recontracting assumption when anchor expires?</t>
        </is>
      </c>
    </row>
    <row r="110">
      <c r="A110" t="inlineStr">
        <is>
          <t>Q: How would a $10/bbl drop in WTI affect volume projections?</t>
        </is>
      </c>
    </row>
    <row r="111">
      <c r="A111" t="inlineStr">
        <is>
          <t>Q: What producer credit diligence would you conduct?</t>
        </is>
      </c>
    </row>
    <row r="113">
      <c r="A113" s="36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14">
      <c r="A114" s="37" t="inlineStr">
        <is>
          <t>COLD START WORKFLOW (4-Hour Test)</t>
        </is>
      </c>
    </row>
    <row r="116">
      <c r="A116" s="36" t="inlineStr">
        <is>
          <t>Phase 1: Setup (15 min)</t>
        </is>
      </c>
    </row>
    <row r="117">
      <c r="A117" s="38" t="inlineStr">
        <is>
          <t>→ Create workbook, freeze panes at E2</t>
        </is>
      </c>
    </row>
    <row r="118">
      <c r="A118" s="38" t="inlineStr">
        <is>
          <t>→ Set column widths: A=32, B=12, C=38, D-N=14</t>
        </is>
      </c>
    </row>
    <row r="119">
      <c r="A119" s="38" t="inlineStr">
        <is>
          <t>→ Build year headers: Y0 (2025), Y1 (2026), ... Y10 (2035)</t>
        </is>
      </c>
    </row>
    <row r="120">
      <c r="A120" s="38" t="inlineStr">
        <is>
          <t>→ Create section placeholders with ═══ dividers</t>
        </is>
      </c>
    </row>
    <row r="122">
      <c r="A122" s="36" t="inlineStr">
        <is>
          <t>Phase 2: Inputs &amp; S&amp;U (30 min)</t>
        </is>
      </c>
    </row>
    <row r="123">
      <c r="A123" s="38" t="inlineStr">
        <is>
          <t>→ Transaction: Entry EV, Fees %, Exit Multiple, Exit Year</t>
        </is>
      </c>
    </row>
    <row r="124">
      <c r="A124" s="38" t="inlineStr">
        <is>
          <t>→ Asset: Capacity, CF/Dispatch, Prices, Escalation</t>
        </is>
      </c>
    </row>
    <row r="125">
      <c r="A125" s="38" t="inlineStr">
        <is>
          <t>→ Financing: Leverage, Rate, Tenor, DSRA months, Sweep %</t>
        </is>
      </c>
    </row>
    <row r="126">
      <c r="A126" s="38" t="inlineStr">
        <is>
          <t>→ Build Uses first, then Sources (balancing item = equity)</t>
        </is>
      </c>
    </row>
    <row r="128">
      <c r="A128" s="36" t="inlineStr">
        <is>
          <t>Phase 3: Operating Model (45 min)</t>
        </is>
      </c>
    </row>
    <row r="129">
      <c r="A129" s="38" t="inlineStr">
        <is>
          <t>→ Generation = Capacity × CF × 8760 (baseload) OR Capacity × Dispatch × Avail (peaker)</t>
        </is>
      </c>
    </row>
    <row r="130">
      <c r="A130" s="38" t="inlineStr">
        <is>
          <t>→ Revenue = Generation × Price / 1E6  (careful: capacity $/kW needs ×1000)</t>
        </is>
      </c>
    </row>
    <row r="131">
      <c r="A131" s="38" t="inlineStr">
        <is>
          <t>→ Fuel = Gen × HR × Gas / 1E9  (CRITICAL: divide by BILLION)</t>
        </is>
      </c>
    </row>
    <row r="132">
      <c r="A132" s="38" t="inlineStr">
        <is>
          <t>→ EBITDA = Revenue - OpEx</t>
        </is>
      </c>
    </row>
    <row r="133">
      <c r="A133" s="38" t="inlineStr">
        <is>
          <t>→ Taxes = MAX(0, Taxable Income) × Rate  (no negative taxes!)</t>
        </is>
      </c>
    </row>
    <row r="135">
      <c r="A135" s="36" t="inlineStr">
        <is>
          <t>Phase 4: Debt Schedule (45 min)</t>
        </is>
      </c>
    </row>
    <row r="136">
      <c r="A136" s="38" t="inlineStr">
        <is>
          <t>→ Beginning Bal Y1 = Funded Debt; Yn = Prior Ending</t>
        </is>
      </c>
    </row>
    <row r="137">
      <c r="A137" s="38" t="inlineStr">
        <is>
          <t>→ Interest = Beg Bal × Rate</t>
        </is>
      </c>
    </row>
    <row r="138">
      <c r="A138" s="38" t="inlineStr">
        <is>
          <t>→ Principal: Straight-line OR Sculpted OR Sweep</t>
        </is>
      </c>
    </row>
    <row r="139">
      <c r="A139" s="38" t="inlineStr">
        <is>
          <t>→ DSCR = CFADS / Debt Service</t>
        </is>
      </c>
    </row>
    <row r="140">
      <c r="A140" s="38" t="inlineStr">
        <is>
          <t>→ DSRA Target = NEXT year's DS × (months/12)  [TRAP: not current year!]</t>
        </is>
      </c>
    </row>
    <row r="142">
      <c r="A142" s="36" t="inlineStr">
        <is>
          <t>Phase 5: Exit &amp; Returns (30 min)</t>
        </is>
      </c>
    </row>
    <row r="143">
      <c r="A143" s="38" t="inlineStr">
        <is>
          <t>→ Exit EV = Exit EBITDA × Multiple</t>
        </is>
      </c>
    </row>
    <row r="144">
      <c r="A144" s="38" t="inlineStr">
        <is>
          <t>→ Exit Equity = Exit EV - Debt Payoff + DSRA Release</t>
        </is>
      </c>
    </row>
    <row r="145">
      <c r="A145" s="38" t="inlineStr">
        <is>
          <t>→ Equity CF row: Y0 = -Entry Equity, Y1-n = Distributions, Exit Year += Exit Equity</t>
        </is>
      </c>
    </row>
    <row r="146">
      <c r="A146" s="38" t="inlineStr">
        <is>
          <t>→ IRR = IRR(Y0:Y10 equity CFs)</t>
        </is>
      </c>
    </row>
    <row r="147">
      <c r="A147" s="38" t="inlineStr">
        <is>
          <t>→ MOIC = (Distributions + Exit) / Entry Equity</t>
        </is>
      </c>
    </row>
    <row r="149">
      <c r="A149" s="36" t="inlineStr">
        <is>
          <t>Phase 6: QA &amp; Polish (15 min)</t>
        </is>
      </c>
    </row>
    <row r="150">
      <c r="A150" s="38" t="inlineStr">
        <is>
          <t>→ S&amp;U Balance Check = PASS</t>
        </is>
      </c>
    </row>
    <row r="151">
      <c r="A151" s="38" t="inlineStr">
        <is>
          <t>→ Debt Payoff Check = PASS (ending bal &lt; $1mm)</t>
        </is>
      </c>
    </row>
    <row r="152">
      <c r="A152" s="38" t="inlineStr">
        <is>
          <t>→ Min DSCR Check = PASS (≥1.25x merchant, ≥1.30x contracted)</t>
        </is>
      </c>
    </row>
    <row r="153">
      <c r="A153" s="38" t="inlineStr">
        <is>
          <t>→ Sanity: DSCR 1.2-2.5x, IRR 12-25%, Fuel $30-50mm (CCGT)</t>
        </is>
      </c>
    </row>
    <row r="156">
      <c r="A156" s="39" t="inlineStr">
        <is>
          <t>4-HOUR TIME BUDGET</t>
        </is>
      </c>
    </row>
    <row r="158">
      <c r="A158" t="inlineStr">
        <is>
          <t>Setup &amp; Structure</t>
        </is>
      </c>
      <c r="B158" t="inlineStr">
        <is>
          <t>15 min</t>
        </is>
      </c>
      <c r="C158" t="inlineStr">
        <is>
          <t>Workbook, headers, freeze panes</t>
        </is>
      </c>
    </row>
    <row r="159">
      <c r="A159" t="inlineStr">
        <is>
          <t>Transaction Inputs</t>
        </is>
      </c>
      <c r="B159" t="inlineStr">
        <is>
          <t>15 min</t>
        </is>
      </c>
      <c r="C159" t="inlineStr">
        <is>
          <t>EV, fees, leverage, rates</t>
        </is>
      </c>
    </row>
    <row r="160">
      <c r="A160" t="inlineStr">
        <is>
          <t>Sources &amp; Uses</t>
        </is>
      </c>
      <c r="B160" t="inlineStr">
        <is>
          <t>15 min</t>
        </is>
      </c>
      <c r="C160" t="inlineStr">
        <is>
          <t>Uses first, equity = balancing</t>
        </is>
      </c>
    </row>
    <row r="161">
      <c r="A161" t="inlineStr">
        <is>
          <t>Operating Model</t>
        </is>
      </c>
      <c r="B161" t="inlineStr">
        <is>
          <t>45 min</t>
        </is>
      </c>
      <c r="C161" t="inlineStr">
        <is>
          <t>Revenue, costs, EBITDA</t>
        </is>
      </c>
    </row>
    <row r="162">
      <c r="A162" t="inlineStr">
        <is>
          <t>Depreciation &amp; Tax</t>
        </is>
      </c>
      <c r="B162" t="inlineStr">
        <is>
          <t>15 min</t>
        </is>
      </c>
      <c r="C162" t="inlineStr">
        <is>
          <t>Straight-line, MAX(0) guardrail</t>
        </is>
      </c>
    </row>
    <row r="163">
      <c r="A163" t="inlineStr">
        <is>
          <t>Debt Schedule</t>
        </is>
      </c>
      <c r="B163" t="inlineStr">
        <is>
          <t>45 min</t>
        </is>
      </c>
      <c r="C163" t="inlineStr">
        <is>
          <t>Amort, interest, DSCR</t>
        </is>
      </c>
    </row>
    <row r="164">
      <c r="A164" t="inlineStr">
        <is>
          <t>DSRA (if needed)</t>
        </is>
      </c>
      <c r="B164" t="inlineStr">
        <is>
          <t>15 min</t>
        </is>
      </c>
      <c r="C164" t="inlineStr">
        <is>
          <t>Target = NEXT year DS</t>
        </is>
      </c>
    </row>
    <row r="165">
      <c r="A165" t="inlineStr">
        <is>
          <t>Waterfall &amp; Returns</t>
        </is>
      </c>
      <c r="B165" t="inlineStr">
        <is>
          <t>30 min</t>
        </is>
      </c>
      <c r="C165" t="inlineStr">
        <is>
          <t>Distributable, IRR, MOIC</t>
        </is>
      </c>
    </row>
    <row r="166">
      <c r="A166" t="inlineStr">
        <is>
          <t>Exit Mechanics</t>
        </is>
      </c>
      <c r="B166" t="inlineStr">
        <is>
          <t>15 min</t>
        </is>
      </c>
      <c r="C166" t="inlineStr">
        <is>
          <t>Exit EV, debt payoff, equity</t>
        </is>
      </c>
    </row>
    <row r="167">
      <c r="A167" t="inlineStr">
        <is>
          <t>QA &amp; Sanity Checks</t>
        </is>
      </c>
      <c r="B167" t="inlineStr">
        <is>
          <t>15 min</t>
        </is>
      </c>
      <c r="C167" t="inlineStr">
        <is>
          <t>Balance, DSCR, #REF sweep</t>
        </is>
      </c>
    </row>
    <row r="168">
      <c r="A168" t="inlineStr">
        <is>
          <t>Buffer / Iterate</t>
        </is>
      </c>
      <c r="B168" t="inlineStr">
        <is>
          <t>15 min</t>
        </is>
      </c>
      <c r="C168" t="inlineStr">
        <is>
          <t>Fix issues, polish</t>
        </is>
      </c>
    </row>
    <row r="169">
      <c r="A169" s="32" t="inlineStr">
        <is>
          <t>TOTAL</t>
        </is>
      </c>
      <c r="B169" s="32" t="inlineStr">
        <is>
          <t>4:00</t>
        </is>
      </c>
    </row>
    <row r="172">
      <c r="A172" s="39" t="inlineStr">
        <is>
          <t>DEBT SIZING APPROACHES</t>
        </is>
      </c>
    </row>
    <row r="174">
      <c r="A174" s="36" t="inlineStr">
        <is>
          <t>1. STRAIGHT-LINE (Simplest)</t>
        </is>
      </c>
    </row>
    <row r="175">
      <c r="A175" s="38" t="inlineStr">
        <is>
          <t xml:space="preserve">  Principal = Debt Amount / Tenor</t>
        </is>
      </c>
    </row>
    <row r="176">
      <c r="A176" s="38" t="inlineStr">
        <is>
          <t xml:space="preserve">  Best for: Quick models, Model_Quick, when told 'ignore sweep'</t>
        </is>
      </c>
    </row>
    <row r="177">
      <c r="A177" s="38" t="inlineStr">
        <is>
          <t xml:space="preserve">  Pros: No circularity, fast to build</t>
        </is>
      </c>
    </row>
    <row r="178">
      <c r="A178" s="38" t="inlineStr">
        <is>
          <t xml:space="preserve">  Cons: May not reflect economic reality</t>
        </is>
      </c>
    </row>
    <row r="180">
      <c r="A180" s="36" t="inlineStr">
        <is>
          <t>2. CASH SWEEP (Merchant)</t>
        </is>
      </c>
    </row>
    <row r="181">
      <c r="A181" s="38" t="inlineStr">
        <is>
          <t xml:space="preserve">  Sweep = Excess Cash × Sweep%  (Excess = CFADS - DS - DSRA)</t>
        </is>
      </c>
    </row>
    <row r="182">
      <c r="A182" s="38" t="inlineStr">
        <is>
          <t xml:space="preserve">  Best for: Merchant assets, volatile CFADS</t>
        </is>
      </c>
    </row>
    <row r="183">
      <c r="A183" s="38" t="inlineStr">
        <is>
          <t xml:space="preserve">  Pros: Realistic for bank debt, de-levers faster</t>
        </is>
      </c>
    </row>
    <row r="184">
      <c r="A184" s="38" t="inlineStr">
        <is>
          <t xml:space="preserve">  Cons: Requires DSRA logic, near-circular (use scheduled_ds trick)</t>
        </is>
      </c>
    </row>
    <row r="186">
      <c r="A186" s="36" t="inlineStr">
        <is>
          <t>3. SCULPTED (Contracted)</t>
        </is>
      </c>
    </row>
    <row r="187">
      <c r="A187" s="38" t="inlineStr">
        <is>
          <t xml:space="preserve">  Target DS = CFADS / Target DSCR; Principal = Target DS - Interest</t>
        </is>
      </c>
    </row>
    <row r="188">
      <c r="A188" s="38" t="inlineStr">
        <is>
          <t xml:space="preserve">  Best for: PPAs, regulated assets, predictable CFADS</t>
        </is>
      </c>
    </row>
    <row r="189">
      <c r="A189" s="38" t="inlineStr">
        <is>
          <t xml:space="preserve">  Pros: Maximizes debt capacity, matches CF profile</t>
        </is>
      </c>
    </row>
    <row r="190">
      <c r="A190" s="38" t="inlineStr">
        <is>
          <t xml:space="preserve">  Cons: More complex, requires CFADS forecast first</t>
        </is>
      </c>
    </row>
    <row r="193">
      <c r="A193" s="39" t="inlineStr">
        <is>
          <t>KEY FORMULA CONCEPTS</t>
        </is>
      </c>
    </row>
    <row r="195">
      <c r="A195" s="36" t="inlineStr">
        <is>
          <t>SPARK SPREAD (Thermal Plants)</t>
        </is>
      </c>
    </row>
    <row r="196">
      <c r="A196" s="38" t="inlineStr">
        <is>
          <t xml:space="preserve">  = Power Price ($/MWh) - Fuel Cost per MWh</t>
        </is>
      </c>
    </row>
    <row r="197">
      <c r="A197" s="38" t="inlineStr">
        <is>
          <t xml:space="preserve">  = Power Price - (Heat Rate × Gas Price / 1000)</t>
        </is>
      </c>
    </row>
    <row r="198">
      <c r="A198" s="38" t="inlineStr">
        <is>
          <t xml:space="preserve">  Example: $45/MWh - (7000 Btu/kWh × $3/mmBtu / 1000) = $45 - $21 = $24/MWh</t>
        </is>
      </c>
    </row>
    <row r="199">
      <c r="A199" s="38" t="inlineStr">
        <is>
          <t xml:space="preserve">  Core margin driver for CCGT/Peaker dispatch economics</t>
        </is>
      </c>
    </row>
    <row r="201">
      <c r="A201" s="36" t="inlineStr">
        <is>
          <t>UCAP (Unforced Capacity)</t>
        </is>
      </c>
    </row>
    <row r="202">
      <c r="A202" s="38" t="inlineStr">
        <is>
          <t xml:space="preserve">  = Nameplate Capacity × (1 - Forced Outage Rate)</t>
        </is>
      </c>
    </row>
    <row r="203">
      <c r="A203" s="38" t="inlineStr">
        <is>
          <t xml:space="preserve">  = 365 MW × (1 - 5%) = 346.75 MW</t>
        </is>
      </c>
    </row>
    <row r="204">
      <c r="A204" s="38" t="inlineStr">
        <is>
          <t xml:space="preserve">  Capacity revenue uses UCAP, not nameplate</t>
        </is>
      </c>
    </row>
    <row r="205">
      <c r="A205" s="38" t="inlineStr">
        <is>
          <t xml:space="preserve">  Capacity Price is $/kW-yr, so: UCAP × Price × 1000 / 1E6</t>
        </is>
      </c>
    </row>
    <row r="207">
      <c r="A207" s="36" t="inlineStr">
        <is>
          <t>LLCR / PLCR (Project Finance)</t>
        </is>
      </c>
    </row>
    <row r="208">
      <c r="A208" s="38" t="inlineStr">
        <is>
          <t xml:space="preserve">  LLCR = NPV(CFADS over loan life) / Debt Outstanding</t>
        </is>
      </c>
    </row>
    <row r="209">
      <c r="A209" s="38" t="inlineStr">
        <is>
          <t xml:space="preserve">  PLCR = NPV(CFADS over project life) / Debt Outstanding</t>
        </is>
      </c>
    </row>
    <row r="210">
      <c r="A210" s="38" t="inlineStr">
        <is>
          <t xml:space="preserve">  LLCR ~1.4x+ typical for investment grade</t>
        </is>
      </c>
    </row>
    <row r="211">
      <c r="A211" s="38" t="inlineStr">
        <is>
          <t xml:space="preserve">  Covenant-based lending uses these vs DSCR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Midstream ACQUISITION</t>
        </is>
      </c>
    </row>
    <row r="3">
      <c r="A3" t="inlineStr">
        <is>
          <t>Time: 4 hours | Deliverables: Model + IC Memo</t>
        </is>
      </c>
    </row>
    <row r="5">
      <c r="A5" s="32" t="inlineStr">
        <is>
          <t>SITUATION</t>
        </is>
      </c>
    </row>
    <row r="6">
      <c r="A6" t="inlineStr">
        <is>
          <t>500 MMcf/d gathering in Permian at $400mm.</t>
        </is>
      </c>
    </row>
    <row r="8">
      <c r="A8" s="32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IC MEMO - COACHING FRAMEWORK</t>
        </is>
      </c>
    </row>
    <row r="3">
      <c r="A3" s="32" t="inlineStr">
        <is>
          <t>1. EXECUTIVE SUMMARY</t>
        </is>
      </c>
    </row>
    <row r="4">
      <c r="A4" s="33" t="inlineStr">
        <is>
          <t>Tip: Lead with IRR and recommendation</t>
        </is>
      </c>
    </row>
    <row r="5">
      <c r="A5" t="inlineStr">
        <is>
          <t>[Your answer: ___________]</t>
        </is>
      </c>
    </row>
    <row r="6">
      <c r="A6" s="32" t="inlineStr">
        <is>
          <t>2. TRANSACTION OVERVIEW</t>
        </is>
      </c>
    </row>
    <row r="7">
      <c r="A7" s="33" t="inlineStr">
        <is>
          <t>Tip: Sources &amp; uses, debt terms</t>
        </is>
      </c>
    </row>
    <row r="8">
      <c r="A8" t="inlineStr">
        <is>
          <t>[Your answer: ___________]</t>
        </is>
      </c>
    </row>
    <row r="9">
      <c r="A9" s="32" t="inlineStr">
        <is>
          <t>3. INVESTMENT THESIS</t>
        </is>
      </c>
    </row>
    <row r="10">
      <c r="A10" s="33" t="inlineStr">
        <is>
          <t>Tip: 3-4 bullets on attractiveness</t>
        </is>
      </c>
    </row>
    <row r="11">
      <c r="A11" t="inlineStr">
        <is>
          <t>[Your answer: ___________]</t>
        </is>
      </c>
    </row>
    <row r="12">
      <c r="A12" s="32" t="inlineStr">
        <is>
          <t>4. KEY RISKS</t>
        </is>
      </c>
    </row>
    <row r="13">
      <c r="A13" s="33" t="inlineStr">
        <is>
          <t>Tip: Market, operational, regulatory</t>
        </is>
      </c>
    </row>
    <row r="14">
      <c r="A14" t="inlineStr">
        <is>
          <t>[Your answer: ___________]</t>
        </is>
      </c>
    </row>
    <row r="15">
      <c r="A15" s="32" t="inlineStr">
        <is>
          <t>5. MITIGANTS</t>
        </is>
      </c>
    </row>
    <row r="16">
      <c r="A16" s="33" t="inlineStr">
        <is>
          <t>Tip: Hedging, contracts, structure</t>
        </is>
      </c>
    </row>
    <row r="17">
      <c r="A17" t="inlineStr">
        <is>
          <t>[Your answer: ___________]</t>
        </is>
      </c>
    </row>
    <row r="18">
      <c r="A18" s="32" t="inlineStr">
        <is>
          <t>6. SENSITIVITIES</t>
        </is>
      </c>
    </row>
    <row r="19">
      <c r="A19" s="33" t="inlineStr">
        <is>
          <t>Tip: ±10-20% on key inputs</t>
        </is>
      </c>
    </row>
    <row r="20">
      <c r="A20" t="inlineStr">
        <is>
          <t>[Your answer: ___________]</t>
        </is>
      </c>
    </row>
    <row r="21">
      <c r="A21" s="32" t="inlineStr">
        <is>
          <t>7. RECOMMENDATION</t>
        </is>
      </c>
    </row>
    <row r="22">
      <c r="A22" s="33" t="inlineStr">
        <is>
          <t>Tip: Clear yes/no with walk-away price</t>
        </is>
      </c>
    </row>
    <row r="23">
      <c r="A23" t="inlineStr">
        <is>
          <t>[Your answer: ___________]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40" t="inlineStr">
        <is>
          <t>Model_Quick - Midstream (90-min build)</t>
        </is>
      </c>
    </row>
    <row r="2">
      <c r="D2" s="32" t="inlineStr">
        <is>
          <t>Y0 (2025)</t>
        </is>
      </c>
      <c r="E2" s="32" t="inlineStr">
        <is>
          <t>Y1 (2026)</t>
        </is>
      </c>
      <c r="F2" s="32" t="inlineStr">
        <is>
          <t>Y2 (2027)</t>
        </is>
      </c>
      <c r="G2" s="32" t="inlineStr">
        <is>
          <t>Y3 (2028)</t>
        </is>
      </c>
      <c r="H2" s="32" t="inlineStr">
        <is>
          <t>Y4 (2029)</t>
        </is>
      </c>
      <c r="I2" s="32" t="inlineStr">
        <is>
          <t>Y5 (2030)</t>
        </is>
      </c>
      <c r="J2" s="32" t="inlineStr">
        <is>
          <t>Y6 (2031)</t>
        </is>
      </c>
      <c r="K2" s="32" t="inlineStr">
        <is>
          <t>Y7 (2032)</t>
        </is>
      </c>
      <c r="L2" s="32" t="inlineStr">
        <is>
          <t>Y8 (2033)</t>
        </is>
      </c>
      <c r="M2" s="32" t="inlineStr">
        <is>
          <t>Y9 (2034)</t>
        </is>
      </c>
      <c r="N2" s="32" t="inlineStr">
        <is>
          <t>Y10 (2035)</t>
        </is>
      </c>
    </row>
    <row r="4">
      <c r="A4" s="36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41">
        <f>D12</f>
        <v/>
      </c>
    </row>
    <row r="6">
      <c r="A6" t="inlineStr">
        <is>
          <t>Debt %</t>
        </is>
      </c>
      <c r="B6" t="inlineStr">
        <is>
          <t>%</t>
        </is>
      </c>
      <c r="D6" s="42">
        <f>D35/D12</f>
        <v/>
      </c>
    </row>
    <row r="7">
      <c r="A7" t="inlineStr">
        <is>
          <t>Y1 EBITDA</t>
        </is>
      </c>
      <c r="B7" t="inlineStr">
        <is>
          <t>$mm</t>
        </is>
      </c>
      <c r="D7" s="43">
        <f>E41</f>
        <v/>
      </c>
    </row>
    <row r="8">
      <c r="A8" t="inlineStr">
        <is>
          <t>Levered IRR</t>
        </is>
      </c>
      <c r="B8" t="inlineStr">
        <is>
          <t>%</t>
        </is>
      </c>
      <c r="D8" s="42">
        <f>D57</f>
        <v/>
      </c>
    </row>
    <row r="9">
      <c r="A9" t="inlineStr">
        <is>
          <t>MOIC</t>
        </is>
      </c>
      <c r="B9" t="inlineStr">
        <is>
          <t>x</t>
        </is>
      </c>
      <c r="D9" s="44">
        <f>D58</f>
        <v/>
      </c>
    </row>
    <row r="11">
      <c r="A11" s="36" t="inlineStr">
        <is>
          <t>═══ TRANSACTION INPUTS ═══</t>
        </is>
      </c>
    </row>
    <row r="12">
      <c r="A12" t="inlineStr">
        <is>
          <t>Entry EV</t>
        </is>
      </c>
      <c r="B12" t="inlineStr">
        <is>
          <t>$mm</t>
        </is>
      </c>
      <c r="D12" s="45" t="n">
        <v>600</v>
      </c>
    </row>
    <row r="13">
      <c r="A13" t="inlineStr">
        <is>
          <t>Transaction Fees</t>
        </is>
      </c>
      <c r="B13" t="inlineStr">
        <is>
          <t>%</t>
        </is>
      </c>
      <c r="D13" s="45" t="n">
        <v>0.015</v>
      </c>
    </row>
    <row r="14">
      <c r="A14" t="inlineStr">
        <is>
          <t>Exit Multiple</t>
        </is>
      </c>
      <c r="B14" t="inlineStr">
        <is>
          <t>x</t>
        </is>
      </c>
      <c r="D14" s="45" t="n">
        <v>7.5</v>
      </c>
    </row>
    <row r="15">
      <c r="A15" t="inlineStr">
        <is>
          <t>Exit Year</t>
        </is>
      </c>
      <c r="B15" t="inlineStr">
        <is>
          <t>yr</t>
        </is>
      </c>
      <c r="D15" s="45" t="n">
        <v>7</v>
      </c>
    </row>
    <row r="17">
      <c r="A17" s="36" t="inlineStr">
        <is>
          <t>═══ ASSET INPUTS ═══</t>
        </is>
      </c>
    </row>
    <row r="18">
      <c r="A18" t="inlineStr">
        <is>
          <t>Capacity</t>
        </is>
      </c>
      <c r="B18" t="inlineStr">
        <is>
          <t>MW</t>
        </is>
      </c>
      <c r="D18" s="45" t="n">
        <v>365</v>
      </c>
    </row>
    <row r="19">
      <c r="A19" t="inlineStr">
        <is>
          <t>Capacity Factor</t>
        </is>
      </c>
      <c r="B19" t="inlineStr">
        <is>
          <t>%</t>
        </is>
      </c>
      <c r="D19" s="45" t="n">
        <v>0.55</v>
      </c>
    </row>
    <row r="20">
      <c r="A20" t="inlineStr">
        <is>
          <t>Y1 EBITDA</t>
        </is>
      </c>
      <c r="B20" t="inlineStr">
        <is>
          <t>$mm</t>
        </is>
      </c>
      <c r="D20" s="45" t="n">
        <v>85</v>
      </c>
    </row>
    <row r="21">
      <c r="A21" t="inlineStr">
        <is>
          <t>EBITDA Escalation</t>
        </is>
      </c>
      <c r="B21" t="inlineStr">
        <is>
          <t>%</t>
        </is>
      </c>
      <c r="D21" s="45" t="n">
        <v>0.02</v>
      </c>
    </row>
    <row r="23">
      <c r="A23" s="36" t="inlineStr">
        <is>
          <t>═══ FINANCING INPUTS ═══</t>
        </is>
      </c>
    </row>
    <row r="24">
      <c r="A24" t="inlineStr">
        <is>
          <t>Leverage</t>
        </is>
      </c>
      <c r="B24" t="inlineStr">
        <is>
          <t>%</t>
        </is>
      </c>
      <c r="D24" s="45" t="n">
        <v>0.65</v>
      </c>
    </row>
    <row r="25">
      <c r="A25" t="inlineStr">
        <is>
          <t>Interest Rate</t>
        </is>
      </c>
      <c r="B25" t="inlineStr">
        <is>
          <t>%</t>
        </is>
      </c>
      <c r="D25" s="45" t="n">
        <v>0.06</v>
      </c>
    </row>
    <row r="26">
      <c r="A26" t="inlineStr">
        <is>
          <t>Debt Tenor</t>
        </is>
      </c>
      <c r="B26" t="inlineStr">
        <is>
          <t>yrs</t>
        </is>
      </c>
      <c r="D26" s="45" t="n">
        <v>7</v>
      </c>
    </row>
    <row r="28">
      <c r="A28" s="36" t="inlineStr">
        <is>
          <t>═══ SOURCES &amp; USES ═══</t>
        </is>
      </c>
    </row>
    <row r="29">
      <c r="A29" s="32" t="inlineStr">
        <is>
          <t>USES:</t>
        </is>
      </c>
    </row>
    <row r="30">
      <c r="A30" t="inlineStr">
        <is>
          <t>Purchase Price</t>
        </is>
      </c>
      <c r="D30">
        <f>D12</f>
        <v/>
      </c>
    </row>
    <row r="31">
      <c r="A31" t="inlineStr">
        <is>
          <t>Transaction Fees</t>
        </is>
      </c>
      <c r="D31">
        <f>D12*D13</f>
        <v/>
      </c>
    </row>
    <row r="32">
      <c r="A32" s="32" t="inlineStr">
        <is>
          <t>Total Uses</t>
        </is>
      </c>
      <c r="D32" s="41">
        <f>D30+D31</f>
        <v/>
      </c>
    </row>
    <row r="34">
      <c r="A34" s="32" t="inlineStr">
        <is>
          <t>SOURCES:</t>
        </is>
      </c>
    </row>
    <row r="35">
      <c r="A35" t="inlineStr">
        <is>
          <t>Funded Debt</t>
        </is>
      </c>
      <c r="D35">
        <f>D12*D24</f>
        <v/>
      </c>
    </row>
    <row r="36">
      <c r="A36" t="inlineStr">
        <is>
          <t>Entry Equity</t>
        </is>
      </c>
      <c r="D36">
        <f>D32-D35</f>
        <v/>
      </c>
    </row>
    <row r="37">
      <c r="A37" s="32" t="inlineStr">
        <is>
          <t>Total Sources</t>
        </is>
      </c>
      <c r="D37" s="41">
        <f>D35+D36</f>
        <v/>
      </c>
    </row>
    <row r="38">
      <c r="A38" t="inlineStr">
        <is>
          <t>Balance Check</t>
        </is>
      </c>
      <c r="D38" s="41">
        <f>IF(ABS(D32-D37)&lt;0.01,"PASS","FAIL")</f>
        <v/>
      </c>
    </row>
    <row r="40">
      <c r="A40" s="36" t="inlineStr">
        <is>
          <t>═══ OPERATING MODEL ═══</t>
        </is>
      </c>
    </row>
    <row r="41">
      <c r="A41" t="inlineStr">
        <is>
          <t>EBITDA</t>
        </is>
      </c>
      <c r="B41" t="inlineStr">
        <is>
          <t>$mm</t>
        </is>
      </c>
      <c r="C41" t="inlineStr">
        <is>
          <t>Y1 input, then escalated</t>
        </is>
      </c>
      <c r="E41" s="43">
        <f>$D$20*(1+$D$21)^(1-1)</f>
        <v/>
      </c>
      <c r="F41" s="43">
        <f>$D$20*(1+$D$21)^(2-1)</f>
        <v/>
      </c>
      <c r="G41" s="43">
        <f>$D$20*(1+$D$21)^(3-1)</f>
        <v/>
      </c>
      <c r="H41" s="43">
        <f>$D$20*(1+$D$21)^(4-1)</f>
        <v/>
      </c>
      <c r="I41" s="43">
        <f>$D$20*(1+$D$21)^(5-1)</f>
        <v/>
      </c>
      <c r="J41" s="43">
        <f>$D$20*(1+$D$21)^(6-1)</f>
        <v/>
      </c>
      <c r="K41" s="43">
        <f>$D$20*(1+$D$21)^(7-1)</f>
        <v/>
      </c>
      <c r="L41" s="43">
        <f>$D$20*(1+$D$21)^(8-1)</f>
        <v/>
      </c>
      <c r="M41" s="43">
        <f>$D$20*(1+$D$21)^(9-1)</f>
        <v/>
      </c>
      <c r="N41" s="43">
        <f>$D$20*(1+$D$21)^(10-1)</f>
        <v/>
      </c>
    </row>
    <row r="43">
      <c r="A43" s="36" t="inlineStr">
        <is>
          <t>═══ DEBT SCHEDULE (Straight-Line) ═══</t>
        </is>
      </c>
    </row>
    <row r="44">
      <c r="A44" t="inlineStr">
        <is>
          <t>Beginning Balance</t>
        </is>
      </c>
      <c r="B44" t="inlineStr">
        <is>
          <t>$mm</t>
        </is>
      </c>
      <c r="E44">
        <f>D35</f>
        <v/>
      </c>
      <c r="F44">
        <f>E47</f>
        <v/>
      </c>
      <c r="G44">
        <f>F47</f>
        <v/>
      </c>
      <c r="H44">
        <f>G47</f>
        <v/>
      </c>
      <c r="I44">
        <f>H47</f>
        <v/>
      </c>
      <c r="J44">
        <f>I47</f>
        <v/>
      </c>
      <c r="K44">
        <f>J47</f>
        <v/>
      </c>
      <c r="L44">
        <f>K47</f>
        <v/>
      </c>
      <c r="M44">
        <f>L47</f>
        <v/>
      </c>
      <c r="N44">
        <f>M47</f>
        <v/>
      </c>
    </row>
    <row r="45">
      <c r="A45" t="inlineStr">
        <is>
          <t>Interest</t>
        </is>
      </c>
      <c r="B45" t="inlineStr">
        <is>
          <t>$mm</t>
        </is>
      </c>
      <c r="E45" s="46">
        <f>E44*$D$25</f>
        <v/>
      </c>
      <c r="F45" s="46">
        <f>F44*$D$25</f>
        <v/>
      </c>
      <c r="G45" s="46">
        <f>G44*$D$25</f>
        <v/>
      </c>
      <c r="H45" s="46">
        <f>H44*$D$25</f>
        <v/>
      </c>
      <c r="I45" s="46">
        <f>I44*$D$25</f>
        <v/>
      </c>
      <c r="J45" s="46">
        <f>J44*$D$25</f>
        <v/>
      </c>
      <c r="K45" s="46">
        <f>K44*$D$25</f>
        <v/>
      </c>
      <c r="L45" s="46">
        <f>L44*$D$25</f>
        <v/>
      </c>
      <c r="M45" s="46">
        <f>M44*$D$25</f>
        <v/>
      </c>
      <c r="N45" s="46">
        <f>N44*$D$25</f>
        <v/>
      </c>
    </row>
    <row r="46">
      <c r="A46" t="inlineStr">
        <is>
          <t>Principal</t>
        </is>
      </c>
      <c r="B46" t="inlineStr">
        <is>
          <t>$mm</t>
        </is>
      </c>
      <c r="C46" t="inlineStr">
        <is>
          <t>Straight-line: Debt / Tenor</t>
        </is>
      </c>
      <c r="E46" s="46">
        <f>MIN($D$35/$D$26,E44)</f>
        <v/>
      </c>
      <c r="F46" s="46">
        <f>MIN($D$35/$D$26,F44)</f>
        <v/>
      </c>
      <c r="G46" s="46">
        <f>MIN($D$35/$D$26,G44)</f>
        <v/>
      </c>
      <c r="H46" s="46">
        <f>MIN($D$35/$D$26,H44)</f>
        <v/>
      </c>
      <c r="I46" s="46">
        <f>MIN($D$35/$D$26,I44)</f>
        <v/>
      </c>
      <c r="J46" s="46">
        <f>MIN($D$35/$D$26,J44)</f>
        <v/>
      </c>
      <c r="K46" s="46">
        <f>MIN($D$35/$D$26,K44)</f>
        <v/>
      </c>
      <c r="L46" s="46">
        <f>MIN($D$35/$D$26,L44)</f>
        <v/>
      </c>
      <c r="M46" s="46">
        <f>MIN($D$35/$D$26,M44)</f>
        <v/>
      </c>
      <c r="N46" s="46">
        <f>MIN($D$35/$D$26,N44)</f>
        <v/>
      </c>
    </row>
    <row r="47">
      <c r="A47" t="inlineStr">
        <is>
          <t>Ending Balance</t>
        </is>
      </c>
      <c r="B47" t="inlineStr">
        <is>
          <t>$mm</t>
        </is>
      </c>
      <c r="E47" s="46">
        <f>MAX(0,E44-E46)</f>
        <v/>
      </c>
      <c r="F47" s="46">
        <f>MAX(0,F44-F46)</f>
        <v/>
      </c>
      <c r="G47" s="46">
        <f>MAX(0,G44-G46)</f>
        <v/>
      </c>
      <c r="H47" s="46">
        <f>MAX(0,H44-H46)</f>
        <v/>
      </c>
      <c r="I47" s="46">
        <f>MAX(0,I44-I46)</f>
        <v/>
      </c>
      <c r="J47" s="46">
        <f>MAX(0,J44-J46)</f>
        <v/>
      </c>
      <c r="K47" s="46">
        <f>MAX(0,K44-K46)</f>
        <v/>
      </c>
      <c r="L47" s="46">
        <f>MAX(0,L44-L46)</f>
        <v/>
      </c>
      <c r="M47" s="46">
        <f>MAX(0,M44-M46)</f>
        <v/>
      </c>
      <c r="N47" s="46">
        <f>MAX(0,N44-N46)</f>
        <v/>
      </c>
    </row>
    <row r="49">
      <c r="A49" s="36" t="inlineStr">
        <is>
          <t>═══ RETURNS ═══</t>
        </is>
      </c>
    </row>
    <row r="50">
      <c r="A50" t="inlineStr">
        <is>
          <t>Exit Year EBITDA</t>
        </is>
      </c>
      <c r="B50" t="inlineStr">
        <is>
          <t>$mm</t>
        </is>
      </c>
      <c r="D50" s="46">
        <f>OFFSET(E41,0,$D$15-1)</f>
        <v/>
      </c>
    </row>
    <row r="51">
      <c r="A51" t="inlineStr">
        <is>
          <t>Exit EV</t>
        </is>
      </c>
      <c r="B51" t="inlineStr">
        <is>
          <t>$mm</t>
        </is>
      </c>
      <c r="D51" s="43">
        <f>D50*$D$14</f>
        <v/>
      </c>
    </row>
    <row r="52">
      <c r="A52" t="inlineStr">
        <is>
          <t>Exit Debt Payoff</t>
        </is>
      </c>
      <c r="B52" t="inlineStr">
        <is>
          <t>$mm</t>
        </is>
      </c>
      <c r="D52" s="46">
        <f>OFFSET(E47,0,$D$15-1)</f>
        <v/>
      </c>
    </row>
    <row r="53">
      <c r="A53" t="inlineStr">
        <is>
          <t>Exit Equity Proceeds</t>
        </is>
      </c>
      <c r="B53" t="inlineStr">
        <is>
          <t>$mm</t>
        </is>
      </c>
      <c r="D53" s="43">
        <f>D51-D52</f>
        <v/>
      </c>
    </row>
    <row r="55">
      <c r="A55" t="inlineStr">
        <is>
          <t>Equity Cash Flow</t>
        </is>
      </c>
      <c r="B55" t="inlineStr">
        <is>
          <t>$mm</t>
        </is>
      </c>
      <c r="D55">
        <f>-D36</f>
        <v/>
      </c>
      <c r="E55" s="46">
        <f>IF(1=$D$15,D53,0)</f>
        <v/>
      </c>
      <c r="F55" s="46">
        <f>IF(2=$D$15,D53,0)</f>
        <v/>
      </c>
      <c r="G55" s="46">
        <f>IF(3=$D$15,D53,0)</f>
        <v/>
      </c>
      <c r="H55" s="46">
        <f>IF(4=$D$15,D53,0)</f>
        <v/>
      </c>
      <c r="I55" s="46">
        <f>IF(5=$D$15,D53,0)</f>
        <v/>
      </c>
      <c r="J55" s="46">
        <f>IF(6=$D$15,D53,0)</f>
        <v/>
      </c>
      <c r="K55" s="46">
        <f>IF(7=$D$15,D53,0)</f>
        <v/>
      </c>
      <c r="L55" s="46">
        <f>IF(8=$D$15,D53,0)</f>
        <v/>
      </c>
      <c r="M55" s="46">
        <f>IF(9=$D$15,D53,0)</f>
        <v/>
      </c>
      <c r="N55" s="46">
        <f>IF(10=$D$15,D53,0)</f>
        <v/>
      </c>
    </row>
    <row r="57">
      <c r="A57" s="32" t="inlineStr">
        <is>
          <t>Levered IRR</t>
        </is>
      </c>
      <c r="B57" t="inlineStr">
        <is>
          <t>%</t>
        </is>
      </c>
      <c r="D57" s="42">
        <f>IRR(D55:N55)</f>
        <v/>
      </c>
    </row>
    <row r="58">
      <c r="A58" s="32" t="inlineStr">
        <is>
          <t>MOIC</t>
        </is>
      </c>
      <c r="B58" t="inlineStr">
        <is>
          <t>x</t>
        </is>
      </c>
      <c r="D58" s="44">
        <f>D53/D36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Midstream Model - Lotus Infrastructure Partners</t>
        </is>
      </c>
      <c r="D1" s="34" t="inlineStr">
        <is>
          <t>Y0 (2025)</t>
        </is>
      </c>
      <c r="E1" s="34" t="inlineStr">
        <is>
          <t>Y1 (2026)</t>
        </is>
      </c>
      <c r="F1" s="34" t="inlineStr">
        <is>
          <t>Y2 (2027)</t>
        </is>
      </c>
      <c r="G1" s="34" t="inlineStr">
        <is>
          <t>Y3 (2028)</t>
        </is>
      </c>
      <c r="H1" s="34" t="inlineStr">
        <is>
          <t>Y4 (2029)</t>
        </is>
      </c>
      <c r="I1" s="34" t="inlineStr">
        <is>
          <t>Y5 (2030)</t>
        </is>
      </c>
      <c r="J1" s="34" t="inlineStr">
        <is>
          <t>Y6 (2031)</t>
        </is>
      </c>
      <c r="K1" s="34" t="inlineStr">
        <is>
          <t>Y7 (2032)</t>
        </is>
      </c>
      <c r="L1" s="34" t="inlineStr">
        <is>
          <t>Y8 (2033)</t>
        </is>
      </c>
      <c r="M1" s="34" t="inlineStr">
        <is>
          <t>Y9 (2034)</t>
        </is>
      </c>
      <c r="N1" s="34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$D$27</f>
        <v/>
      </c>
      <c r="E3" s="4" t="n"/>
      <c r="F3" s="4" t="n"/>
      <c r="G3" s="4" t="n"/>
      <c r="H3" s="4" t="n"/>
      <c r="I3" s="4" t="n"/>
      <c r="J3" s="4" t="n"/>
      <c r="K3" s="4" t="n"/>
      <c r="L3" s="4" t="n"/>
      <c r="M3" s="54" t="inlineStr">
        <is>
          <t>IRR Sensitivity:</t>
        </is>
      </c>
      <c r="N3" s="4" t="n"/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E72</f>
        <v/>
      </c>
      <c r="M4" s="55" t="inlineStr">
        <is>
          <t>+/- 5% Entry → ~+/- 1% IRR</t>
        </is>
      </c>
    </row>
    <row r="5">
      <c r="A5" s="36" t="inlineStr">
        <is>
          <t>═══════════ CONTROL PANEL ═══════════</t>
        </is>
      </c>
      <c r="B5" s="47" t="n"/>
      <c r="C5" s="47" t="n"/>
      <c r="D5" s="47" t="n"/>
      <c r="M5" s="55" t="inlineStr">
        <is>
          <t>+/- 0.5x Exit → ~+/- 1.5% IRR</t>
        </is>
      </c>
    </row>
    <row r="6">
      <c r="A6" s="47" t="n"/>
      <c r="B6" s="47" t="n"/>
      <c r="C6" s="47" t="n"/>
      <c r="D6" s="47" t="n"/>
    </row>
    <row r="7">
      <c r="A7" s="48" t="inlineStr">
        <is>
          <t>REVENUE</t>
        </is>
      </c>
      <c r="B7" s="47" t="n"/>
      <c r="C7" s="47" t="n"/>
      <c r="D7" s="47" t="n"/>
    </row>
    <row r="8">
      <c r="A8" s="32" t="inlineStr">
        <is>
          <t>Revenue Mode</t>
        </is>
      </c>
      <c r="B8" s="47" t="n"/>
      <c r="C8" s="6" t="inlineStr">
        <is>
          <t>Merchant / Contracted / Hybrid</t>
        </is>
      </c>
      <c r="D8" s="45" t="inlineStr">
        <is>
          <t>Merchant</t>
        </is>
      </c>
    </row>
    <row r="9">
      <c r="A9" s="32" t="inlineStr">
        <is>
          <t>Contract End Year</t>
        </is>
      </c>
      <c r="B9" s="47" t="n"/>
      <c r="C9" s="6" t="inlineStr">
        <is>
          <t>0 = pure merchant; else year PPA ends</t>
        </is>
      </c>
      <c r="D9" s="45" t="n">
        <v>0</v>
      </c>
    </row>
    <row r="10">
      <c r="A10" s="47" t="n"/>
      <c r="B10" s="47" t="n"/>
      <c r="C10" s="47" t="n"/>
      <c r="D10" s="47" t="n"/>
    </row>
    <row r="11">
      <c r="A11" s="48" t="inlineStr">
        <is>
          <t>TIMING</t>
        </is>
      </c>
      <c r="B11" s="47" t="n"/>
      <c r="C11" s="47" t="n"/>
      <c r="D11" s="47" t="n"/>
    </row>
    <row r="12">
      <c r="A12" s="32" t="inlineStr">
        <is>
          <t>Exit Year</t>
        </is>
      </c>
      <c r="B12" s="47" t="n"/>
      <c r="C12" s="6" t="inlineStr">
        <is>
          <t>5 / 7 / 10</t>
        </is>
      </c>
      <c r="D12" s="45" t="n">
        <v>7</v>
      </c>
    </row>
    <row r="13">
      <c r="A13" s="32" t="inlineStr">
        <is>
          <t>Tax Credit End Year</t>
        </is>
      </c>
      <c r="B13" s="47" t="n"/>
      <c r="C13" s="6" t="inlineStr">
        <is>
          <t>0 = N/A; else last year of PTC/ITC</t>
        </is>
      </c>
      <c r="D13" s="45" t="n">
        <v>0</v>
      </c>
    </row>
    <row r="14">
      <c r="A14" s="47" t="n"/>
      <c r="B14" s="47" t="n"/>
      <c r="C14" s="47" t="n"/>
      <c r="D14" s="47" t="n"/>
    </row>
    <row r="15">
      <c r="A15" s="48" t="inlineStr">
        <is>
          <t>DEBT</t>
        </is>
      </c>
      <c r="B15" s="47" t="n"/>
      <c r="C15" s="47" t="n"/>
      <c r="D15" s="49" t="n"/>
    </row>
    <row r="16">
      <c r="A16" s="32" t="inlineStr">
        <is>
          <t>Debt Sweep</t>
        </is>
      </c>
      <c r="B16" s="47" t="n"/>
      <c r="C16" s="6" t="inlineStr">
        <is>
          <t>ON / OFF (for sweep assets)</t>
        </is>
      </c>
      <c r="D16" s="31" t="inlineStr">
        <is>
          <t>ON</t>
        </is>
      </c>
    </row>
    <row r="17">
      <c r="A17" s="32" t="inlineStr">
        <is>
          <t>Sweep %</t>
        </is>
      </c>
      <c r="B17" s="47" t="n"/>
      <c r="C17" s="6" t="inlineStr">
        <is>
          <t>Active when Sweep = ON</t>
        </is>
      </c>
      <c r="D17" s="30" t="inlineStr">
        <is>
          <t>75%</t>
        </is>
      </c>
    </row>
    <row r="18">
      <c r="A18" s="47" t="n"/>
      <c r="B18" s="47" t="n"/>
      <c r="C18" s="47" t="n"/>
      <c r="D18" s="50" t="n"/>
    </row>
    <row r="19">
      <c r="A19" s="48" t="inlineStr">
        <is>
          <t>OTHER</t>
        </is>
      </c>
      <c r="B19" s="47" t="n"/>
      <c r="C19" s="47" t="n"/>
      <c r="D19" s="51" t="n"/>
    </row>
    <row r="20">
      <c r="A20" s="52" t="inlineStr">
        <is>
          <t>Exit Method</t>
        </is>
      </c>
      <c r="B20" s="47" t="n"/>
      <c r="C20" s="6" t="inlineStr">
        <is>
          <t>Multiple / DCF</t>
        </is>
      </c>
      <c r="D20" s="45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6" t="inlineStr">
        <is>
          <t>════════════════════════════════════</t>
        </is>
      </c>
      <c r="B21" s="6" t="n"/>
      <c r="C21" s="6" t="n"/>
      <c r="D21" s="10">
        <f>D103</f>
        <v/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inlineStr">
        <is>
          <t>Debt Payoff Y5</t>
        </is>
      </c>
      <c r="B22" s="6" t="n"/>
      <c r="C22" s="6" t="n"/>
      <c r="D22" s="10">
        <f>IF(I78&lt;1,"PASS","FAIL")</f>
        <v/>
      </c>
    </row>
    <row r="23">
      <c r="A23" s="5" t="inlineStr">
        <is>
          <t>Min DSCR ≥ 1.25x</t>
        </is>
      </c>
      <c r="B23" s="6" t="n"/>
      <c r="C23" s="6" t="inlineStr">
        <is>
          <t>CFADS / Debt Service</t>
        </is>
      </c>
      <c r="D23" s="10">
        <f>IF(D6&gt;=1.25,"PASS","FAIL")</f>
        <v/>
      </c>
    </row>
    <row r="24">
      <c r="A24" s="5" t="n"/>
      <c r="B24" s="6" t="n"/>
      <c r="C24" s="6" t="n"/>
      <c r="D24" s="10" t="n"/>
    </row>
    <row r="25"/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85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30" t="n">
        <v>0.015</v>
      </c>
    </row>
    <row r="29">
      <c r="A29" s="5" t="inlineStr">
        <is>
          <t>Exit Multiple</t>
        </is>
      </c>
      <c r="B29" s="6" t="inlineStr">
        <is>
          <t>x</t>
        </is>
      </c>
      <c r="C29" s="6" t="inlineStr">
        <is>
          <t>Compressed for decline</t>
        </is>
      </c>
      <c r="D29" s="31" t="n">
        <v>6.5</v>
      </c>
    </row>
    <row r="30">
      <c r="A30" s="5" t="inlineStr">
        <is>
          <t>Exit Year</t>
        </is>
      </c>
      <c r="B30" s="6" t="inlineStr">
        <is>
          <t>#</t>
        </is>
      </c>
      <c r="C30" s="6" t="inlineStr">
        <is>
          <t>Hold period</t>
        </is>
      </c>
      <c r="D30" s="14" t="n">
        <v>7</v>
      </c>
    </row>
    <row r="31">
      <c r="A31" s="5" t="n"/>
      <c r="B31" s="6" t="n"/>
      <c r="C31" s="6" t="n"/>
      <c r="D31" s="14" t="n"/>
    </row>
    <row r="32">
      <c r="A32" s="3" t="inlineStr">
        <is>
          <t>VOLUME INPUTS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inlineStr">
        <is>
          <t>Y1 Volume</t>
        </is>
      </c>
      <c r="B33" s="6" t="inlineStr">
        <is>
          <t>MMcf/d</t>
        </is>
      </c>
      <c r="C33" s="6" t="inlineStr">
        <is>
          <t>Daily throughput</t>
        </is>
      </c>
      <c r="D33" s="14" t="n">
        <v>80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inlineStr">
        <is>
          <t>Growth Rate Y1-Y5</t>
        </is>
      </c>
      <c r="B34" s="6" t="inlineStr">
        <is>
          <t>%/yr</t>
        </is>
      </c>
      <c r="C34" s="6" t="inlineStr">
        <is>
          <t>Drilling phase</t>
        </is>
      </c>
      <c r="D34" s="30" t="n">
        <v>0.03</v>
      </c>
    </row>
    <row r="35">
      <c r="A35" s="5" t="inlineStr">
        <is>
          <t>Decline Rate Y6-Y10</t>
        </is>
      </c>
      <c r="B35" s="6" t="inlineStr">
        <is>
          <t>%/yr</t>
        </is>
      </c>
      <c r="C35" s="6" t="inlineStr">
        <is>
          <t>Depletion phase</t>
        </is>
      </c>
      <c r="D35" s="30" t="n">
        <v>0.05</v>
      </c>
    </row>
    <row r="36">
      <c r="A36" s="5" t="n"/>
      <c r="B36" s="6" t="n"/>
      <c r="C36" s="6" t="n"/>
      <c r="D36" s="30" t="n"/>
    </row>
    <row r="37">
      <c r="A37" s="3" t="inlineStr">
        <is>
          <t>PRICING INPUTS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inlineStr">
        <is>
          <t>Total Fee</t>
        </is>
      </c>
      <c r="B38" s="6" t="inlineStr">
        <is>
          <t>$/Mcf</t>
        </is>
      </c>
      <c r="C38" s="6" t="inlineStr">
        <is>
          <t>Gathering + compression</t>
        </is>
      </c>
      <c r="D38" s="15" t="n">
        <v>0.55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5" t="inlineStr">
        <is>
          <t>Fee Escalation</t>
        </is>
      </c>
      <c r="B39" s="6" t="inlineStr">
        <is>
          <t>%/yr</t>
        </is>
      </c>
      <c r="C39" s="6" t="inlineStr">
        <is>
          <t>Contract escalation</t>
        </is>
      </c>
      <c r="D39" s="30" t="n">
        <v>0.02</v>
      </c>
    </row>
    <row r="40">
      <c r="A40" s="5" t="n"/>
      <c r="B40" s="6" t="n"/>
      <c r="C40" s="6" t="n"/>
      <c r="D40" s="30" t="n"/>
    </row>
    <row r="41">
      <c r="A41" s="3" t="inlineStr">
        <is>
          <t>COST INPUTS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inlineStr">
        <is>
          <t>O&amp;M Y1</t>
        </is>
      </c>
      <c r="B42" s="6" t="inlineStr">
        <is>
          <t>$mm</t>
        </is>
      </c>
      <c r="C42" s="6" t="inlineStr">
        <is>
          <t>Operating costs</t>
        </is>
      </c>
      <c r="D42" s="11" t="n">
        <v>3.5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5" t="inlineStr">
        <is>
          <t>O&amp;M Escalation</t>
        </is>
      </c>
      <c r="B43" s="6" t="inlineStr">
        <is>
          <t>%/yr</t>
        </is>
      </c>
      <c r="C43" s="6" t="inlineStr">
        <is>
          <t>Cost escalation</t>
        </is>
      </c>
      <c r="D43" s="30" t="n">
        <v>0.025</v>
      </c>
    </row>
    <row r="44">
      <c r="A44" s="5" t="inlineStr">
        <is>
          <t>Growth Capex Y1-Y5</t>
        </is>
      </c>
      <c r="B44" s="6" t="inlineStr">
        <is>
          <t>$mm/yr</t>
        </is>
      </c>
      <c r="C44" s="6" t="inlineStr">
        <is>
          <t>Compression, looping</t>
        </is>
      </c>
      <c r="D44" s="11" t="n">
        <v>2</v>
      </c>
    </row>
    <row r="45">
      <c r="A45" s="5" t="n"/>
      <c r="B45" s="6" t="n"/>
      <c r="C45" s="6" t="n"/>
      <c r="D45" s="11" t="n"/>
    </row>
    <row r="46">
      <c r="A46" s="3" t="inlineStr">
        <is>
          <t>FINANCING INPUTS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Leverage</t>
        </is>
      </c>
      <c r="B47" s="6" t="inlineStr">
        <is>
          <t>%</t>
        </is>
      </c>
      <c r="C47" s="6" t="inlineStr">
        <is>
          <t>Debt / Entry EV</t>
        </is>
      </c>
      <c r="D47" s="30" t="n">
        <v>0.3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5" t="inlineStr">
        <is>
          <t>Interest Rate</t>
        </is>
      </c>
      <c r="B48" s="6" t="inlineStr">
        <is>
          <t>%</t>
        </is>
      </c>
      <c r="C48" s="6" t="inlineStr">
        <is>
          <t>Higher (basin risk)</t>
        </is>
      </c>
      <c r="D48" s="30" t="n">
        <v>0.07000000000000001</v>
      </c>
    </row>
    <row r="49">
      <c r="A49" s="5" t="inlineStr">
        <is>
          <t>Debt Tenor</t>
        </is>
      </c>
      <c r="B49" s="6" t="inlineStr">
        <is>
          <t>years</t>
        </is>
      </c>
      <c r="C49" s="6" t="inlineStr">
        <is>
          <t>Short - pre-decline</t>
        </is>
      </c>
      <c r="D49" s="14" t="n">
        <v>5</v>
      </c>
    </row>
    <row r="50">
      <c r="A50" s="5" t="inlineStr">
        <is>
          <t>DSRA Months</t>
        </is>
      </c>
      <c r="B50" s="6" t="inlineStr">
        <is>
          <t>months</t>
        </is>
      </c>
      <c r="C50" s="6" t="inlineStr">
        <is>
          <t>Debt service reserve</t>
        </is>
      </c>
      <c r="D50" s="14" t="n">
        <v>6</v>
      </c>
    </row>
    <row r="51">
      <c r="A51" s="5" t="inlineStr">
        <is>
          <t>Cash Sweep %</t>
        </is>
      </c>
      <c r="B51" s="6" t="inlineStr">
        <is>
          <t>%</t>
        </is>
      </c>
      <c r="C51" s="6" t="inlineStr">
        <is>
          <t>Aggressive paydown</t>
        </is>
      </c>
      <c r="D51" s="30" t="n">
        <v>0.75</v>
      </c>
    </row>
    <row r="52">
      <c r="A52" s="5" t="inlineStr">
        <is>
          <t>Lock-up DSCR</t>
        </is>
      </c>
      <c r="B52" s="6" t="inlineStr">
        <is>
          <t>x</t>
        </is>
      </c>
      <c r="C52" s="6" t="inlineStr">
        <is>
          <t>Distribution threshold</t>
        </is>
      </c>
      <c r="D52" s="31" t="n">
        <v>1.1</v>
      </c>
    </row>
    <row r="53">
      <c r="A53" s="5" t="n"/>
      <c r="B53" s="6" t="n"/>
      <c r="C53" s="6" t="n"/>
      <c r="D53" s="31" t="n"/>
    </row>
    <row r="54">
      <c r="A54" s="3" t="inlineStr">
        <is>
          <t>TAX INPUTS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Tax Rate</t>
        </is>
      </c>
      <c r="B55" s="6" t="inlineStr">
        <is>
          <t>%</t>
        </is>
      </c>
      <c r="C55" s="6" t="inlineStr">
        <is>
          <t>Blended federal + state</t>
        </is>
      </c>
      <c r="D55" s="30" t="n">
        <v>0.25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5" t="inlineStr">
        <is>
          <t>Depreciable Basis</t>
        </is>
      </c>
      <c r="B56" s="6" t="inlineStr">
        <is>
          <t>%</t>
        </is>
      </c>
      <c r="C56" s="6" t="inlineStr">
        <is>
          <t>% of EV for depreciation</t>
        </is>
      </c>
      <c r="D56" s="30" t="n">
        <v>0.8</v>
      </c>
    </row>
    <row r="57">
      <c r="A57" s="5" t="inlineStr">
        <is>
          <t>Depreciation Life</t>
        </is>
      </c>
      <c r="B57" s="6" t="inlineStr">
        <is>
          <t>years</t>
        </is>
      </c>
      <c r="C57" s="6" t="inlineStr">
        <is>
          <t>Straight-line</t>
        </is>
      </c>
      <c r="D57" s="14" t="n">
        <v>15</v>
      </c>
    </row>
    <row r="58">
      <c r="A58" s="5" t="n"/>
      <c r="B58" s="6" t="n"/>
      <c r="C58" s="6" t="n"/>
      <c r="D58" s="14" t="n"/>
    </row>
    <row r="59">
      <c r="A59" s="3" t="inlineStr">
        <is>
          <t>CALCULATED ITEMS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inlineStr">
        <is>
          <t>Debt Amount</t>
        </is>
      </c>
      <c r="B60" s="6" t="inlineStr">
        <is>
          <t>$mm</t>
        </is>
      </c>
      <c r="C60" s="6" t="inlineStr">
        <is>
          <t>Entry EV × Leverage</t>
        </is>
      </c>
      <c r="D60" s="16">
        <f>$D$27*$D$47</f>
        <v/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5" t="inlineStr">
        <is>
          <t>Annual Depreciation</t>
        </is>
      </c>
      <c r="B61" s="6" t="inlineStr">
        <is>
          <t>$mm</t>
        </is>
      </c>
      <c r="C61" s="6" t="inlineStr">
        <is>
          <t>EV × Basis / Life</t>
        </is>
      </c>
      <c r="D61" s="16">
        <f>$D$27*$D$56/$D$57</f>
        <v/>
      </c>
    </row>
    <row r="62">
      <c r="A62" s="5" t="inlineStr">
        <is>
          <t>Scheduled Principal</t>
        </is>
      </c>
      <c r="B62" s="6" t="inlineStr">
        <is>
          <t>$mm/yr</t>
        </is>
      </c>
      <c r="C62" s="6" t="inlineStr">
        <is>
          <t>Debt / Tenor</t>
        </is>
      </c>
      <c r="D62" s="16">
        <f>$D$60/$D$49</f>
        <v/>
      </c>
    </row>
    <row r="63">
      <c r="A63" s="5" t="n"/>
      <c r="B63" s="6" t="n"/>
      <c r="C63" s="6" t="n"/>
      <c r="D63" s="16" t="n"/>
    </row>
    <row r="64">
      <c r="A64" s="3" t="inlineStr">
        <is>
          <t>OPERATING MODEL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Daily Volume</t>
        </is>
      </c>
      <c r="B65" s="6" t="inlineStr">
        <is>
          <t>MMcf/d</t>
        </is>
      </c>
      <c r="C65" s="6" t="inlineStr">
        <is>
          <t>Growth then decline</t>
        </is>
      </c>
      <c r="D65" s="4" t="n"/>
      <c r="E65" s="17">
        <f>$D$33*(1+$D$34)^(1-1)</f>
        <v/>
      </c>
      <c r="F65" s="17">
        <f>$D$33*(1+$D$34)^(2-1)</f>
        <v/>
      </c>
      <c r="G65" s="17">
        <f>$D$33*(1+$D$34)^(3-1)</f>
        <v/>
      </c>
      <c r="H65" s="17">
        <f>$D$33*(1+$D$34)^(4-1)</f>
        <v/>
      </c>
      <c r="I65" s="17">
        <f>$D$33*(1+$D$34)^(5-1)</f>
        <v/>
      </c>
      <c r="J65" s="17">
        <f>$D$33*(1+$D$34)^4*(1-$D$35)^(6-5)</f>
        <v/>
      </c>
      <c r="K65" s="17">
        <f>$D$33*(1+$D$34)^4*(1-$D$35)^(7-5)</f>
        <v/>
      </c>
      <c r="L65" s="17">
        <f>$D$33*(1+$D$34)^4*(1-$D$35)^(8-5)</f>
        <v/>
      </c>
      <c r="M65" s="17">
        <f>$D$33*(1+$D$34)^4*(1-$D$35)^(9-5)</f>
        <v/>
      </c>
      <c r="N65" s="17">
        <f>$D$33*(1+$D$34)^4*(1-$D$35)^(10-5)</f>
        <v/>
      </c>
    </row>
    <row r="66">
      <c r="A66" s="5" t="inlineStr">
        <is>
          <t>Annual Volume</t>
        </is>
      </c>
      <c r="B66" s="6" t="inlineStr">
        <is>
          <t>Bcf</t>
        </is>
      </c>
      <c r="C66" s="6" t="inlineStr">
        <is>
          <t>Daily × 365 / 1000</t>
        </is>
      </c>
      <c r="E66" s="17">
        <f>E65*365</f>
        <v/>
      </c>
      <c r="F66" s="17">
        <f>F65*365</f>
        <v/>
      </c>
      <c r="G66" s="17">
        <f>G65*365</f>
        <v/>
      </c>
      <c r="H66" s="17">
        <f>H65*365</f>
        <v/>
      </c>
      <c r="I66" s="17">
        <f>I65*365</f>
        <v/>
      </c>
      <c r="J66" s="17">
        <f>J65*365</f>
        <v/>
      </c>
      <c r="K66" s="17">
        <f>K65*365</f>
        <v/>
      </c>
      <c r="L66" s="17">
        <f>L65*365</f>
        <v/>
      </c>
      <c r="M66" s="17">
        <f>M65*365</f>
        <v/>
      </c>
      <c r="N66" s="17">
        <f>N65*365</f>
        <v/>
      </c>
    </row>
    <row r="67">
      <c r="A67" s="5" t="inlineStr">
        <is>
          <t>Fee</t>
        </is>
      </c>
      <c r="B67" s="6" t="inlineStr">
        <is>
          <t>$/Mcf</t>
        </is>
      </c>
      <c r="C67" s="6" t="inlineStr">
        <is>
          <t>Escalated</t>
        </is>
      </c>
      <c r="E67" s="18">
        <f>$D$38*(1+$D$39)^(1-1)</f>
        <v/>
      </c>
      <c r="F67" s="18">
        <f>$D$38*(1+$D$39)^(2-1)</f>
        <v/>
      </c>
      <c r="G67" s="18">
        <f>$D$38*(1+$D$39)^(3-1)</f>
        <v/>
      </c>
      <c r="H67" s="18">
        <f>$D$38*(1+$D$39)^(4-1)</f>
        <v/>
      </c>
      <c r="I67" s="18">
        <f>$D$38*(1+$D$39)^(5-1)</f>
        <v/>
      </c>
      <c r="J67" s="18">
        <f>$D$38*(1+$D$39)^(6-1)</f>
        <v/>
      </c>
      <c r="K67" s="18">
        <f>$D$38*(1+$D$39)^(7-1)</f>
        <v/>
      </c>
      <c r="L67" s="18">
        <f>$D$38*(1+$D$39)^(8-1)</f>
        <v/>
      </c>
      <c r="M67" s="18">
        <f>$D$38*(1+$D$39)^(9-1)</f>
        <v/>
      </c>
      <c r="N67" s="18">
        <f>$D$38*(1+$D$39)^(10-1)</f>
        <v/>
      </c>
    </row>
    <row r="68">
      <c r="A68" s="5" t="n"/>
      <c r="B68" s="6" t="n"/>
      <c r="C68" s="6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>
      <c r="A69" s="5" t="inlineStr">
        <is>
          <t>Revenue</t>
        </is>
      </c>
      <c r="B69" s="6" t="inlineStr">
        <is>
          <t>$mm</t>
        </is>
      </c>
      <c r="C69" s="6" t="inlineStr">
        <is>
          <t>Volume(Bcf) × Fee × 1000</t>
        </is>
      </c>
      <c r="E69" s="16">
        <f>E66*E67</f>
        <v/>
      </c>
      <c r="F69" s="16">
        <f>F66*F67</f>
        <v/>
      </c>
      <c r="G69" s="16">
        <f>G66*G67</f>
        <v/>
      </c>
      <c r="H69" s="16">
        <f>H66*H67</f>
        <v/>
      </c>
      <c r="I69" s="16">
        <f>I66*I67</f>
        <v/>
      </c>
      <c r="J69" s="16">
        <f>J66*J67</f>
        <v/>
      </c>
      <c r="K69" s="16">
        <f>K66*K67</f>
        <v/>
      </c>
      <c r="L69" s="16">
        <f>L66*L67</f>
        <v/>
      </c>
      <c r="M69" s="16">
        <f>M66*M67</f>
        <v/>
      </c>
      <c r="N69" s="16">
        <f>N66*N67</f>
        <v/>
      </c>
    </row>
    <row r="70">
      <c r="A70" s="5" t="inlineStr">
        <is>
          <t>O&amp;M Cost</t>
        </is>
      </c>
      <c r="B70" s="6" t="inlineStr">
        <is>
          <t>$mm</t>
        </is>
      </c>
      <c r="C70" s="6" t="inlineStr">
        <is>
          <t>Escalated</t>
        </is>
      </c>
      <c r="E70" s="16">
        <f>$D$42*(1+$D$43)^(1-1)</f>
        <v/>
      </c>
      <c r="F70" s="16">
        <f>$D$42*(1+$D$43)^(2-1)</f>
        <v/>
      </c>
      <c r="G70" s="16">
        <f>$D$42*(1+$D$43)^(3-1)</f>
        <v/>
      </c>
      <c r="H70" s="16">
        <f>$D$42*(1+$D$43)^(4-1)</f>
        <v/>
      </c>
      <c r="I70" s="16">
        <f>$D$42*(1+$D$43)^(5-1)</f>
        <v/>
      </c>
      <c r="J70" s="16">
        <f>$D$42*(1+$D$43)^(6-1)</f>
        <v/>
      </c>
      <c r="K70" s="16">
        <f>$D$42*(1+$D$43)^(7-1)</f>
        <v/>
      </c>
      <c r="L70" s="16">
        <f>$D$42*(1+$D$43)^(8-1)</f>
        <v/>
      </c>
      <c r="M70" s="16">
        <f>$D$42*(1+$D$43)^(9-1)</f>
        <v/>
      </c>
      <c r="N70" s="16">
        <f>$D$42*(1+$D$43)^(10-1)</f>
        <v/>
      </c>
    </row>
    <row r="71">
      <c r="A71" s="5" t="n"/>
      <c r="B71" s="6" t="n"/>
      <c r="C71" s="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</row>
    <row r="72">
      <c r="A72" s="5" t="inlineStr">
        <is>
          <t>EBITDA</t>
        </is>
      </c>
      <c r="B72" s="6" t="inlineStr">
        <is>
          <t>$mm</t>
        </is>
      </c>
      <c r="C72" s="6" t="inlineStr">
        <is>
          <t>Revenue minus OpEx</t>
        </is>
      </c>
      <c r="E72" s="7">
        <f>E69-E70</f>
        <v/>
      </c>
      <c r="F72" s="7">
        <f>F69-F70</f>
        <v/>
      </c>
      <c r="G72" s="7">
        <f>G69-G70</f>
        <v/>
      </c>
      <c r="H72" s="7">
        <f>H69-H70</f>
        <v/>
      </c>
      <c r="I72" s="7">
        <f>I69-I70</f>
        <v/>
      </c>
      <c r="J72" s="7">
        <f>J69-J70</f>
        <v/>
      </c>
      <c r="K72" s="7">
        <f>K69-K70</f>
        <v/>
      </c>
      <c r="L72" s="7">
        <f>L69-L70</f>
        <v/>
      </c>
      <c r="M72" s="7">
        <f>M69-M70</f>
        <v/>
      </c>
      <c r="N72" s="7">
        <f>N69-N70</f>
        <v/>
      </c>
    </row>
    <row r="73">
      <c r="A73" s="5" t="n"/>
      <c r="B73" s="6" t="n"/>
      <c r="C73" s="6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3" t="inlineStr">
        <is>
          <t>CASH FLOW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5" t="inlineStr">
        <is>
          <t>EBIT</t>
        </is>
      </c>
      <c r="B75" s="6" t="inlineStr">
        <is>
          <t>$mm</t>
        </is>
      </c>
      <c r="C75" s="6" t="inlineStr">
        <is>
          <t>EBITDA - Depreciation</t>
        </is>
      </c>
      <c r="D75" s="4" t="n"/>
      <c r="E75" s="16">
        <f>E72-$D$61</f>
        <v/>
      </c>
      <c r="F75" s="16">
        <f>F72-$D$61</f>
        <v/>
      </c>
      <c r="G75" s="16">
        <f>G72-$D$61</f>
        <v/>
      </c>
      <c r="H75" s="16">
        <f>H72-$D$61</f>
        <v/>
      </c>
      <c r="I75" s="16">
        <f>I72-$D$61</f>
        <v/>
      </c>
      <c r="J75" s="16">
        <f>J72-$D$61</f>
        <v/>
      </c>
      <c r="K75" s="16">
        <f>K72-$D$61</f>
        <v/>
      </c>
      <c r="L75" s="16">
        <f>L72-$D$61</f>
        <v/>
      </c>
      <c r="M75" s="16">
        <f>M72-$D$61</f>
        <v/>
      </c>
      <c r="N75" s="16">
        <f>N72-$D$61</f>
        <v/>
      </c>
    </row>
    <row r="76">
      <c r="A76" s="5" t="inlineStr">
        <is>
          <t>Taxes</t>
        </is>
      </c>
      <c r="B76" s="6" t="inlineStr">
        <is>
          <t>$mm</t>
        </is>
      </c>
      <c r="C76" s="6" t="inlineStr">
        <is>
          <t>MAX(0, EBIT) × Tax Rate</t>
        </is>
      </c>
      <c r="E76" s="16">
        <f>MAX(0,E75)*$D$55</f>
        <v/>
      </c>
      <c r="F76" s="16">
        <f>MAX(0,F75)*$D$55</f>
        <v/>
      </c>
      <c r="G76" s="16">
        <f>MAX(0,G75)*$D$55</f>
        <v/>
      </c>
      <c r="H76" s="16">
        <f>MAX(0,H75)*$D$55</f>
        <v/>
      </c>
      <c r="I76" s="16">
        <f>MAX(0,I75)*$D$55</f>
        <v/>
      </c>
      <c r="J76" s="16">
        <f>MAX(0,J75)*$D$55</f>
        <v/>
      </c>
      <c r="K76" s="16">
        <f>MAX(0,K75)*$D$55</f>
        <v/>
      </c>
      <c r="L76" s="16">
        <f>MAX(0,L75)*$D$55</f>
        <v/>
      </c>
      <c r="M76" s="16">
        <f>MAX(0,M75)*$D$55</f>
        <v/>
      </c>
      <c r="N76" s="16">
        <f>MAX(0,N75)*$D$55</f>
        <v/>
      </c>
    </row>
    <row r="77">
      <c r="A77" s="5" t="inlineStr">
        <is>
          <t>Growth Capex</t>
        </is>
      </c>
      <c r="B77" s="6" t="inlineStr">
        <is>
          <t>$mm</t>
        </is>
      </c>
      <c r="C77" s="6" t="inlineStr">
        <is>
          <t>Y1-Y5 only</t>
        </is>
      </c>
      <c r="E77" s="7">
        <f>IF(1&lt;=5,$D$44,0)</f>
        <v/>
      </c>
      <c r="F77" s="7">
        <f>IF(2&lt;=5,$D$44,0)</f>
        <v/>
      </c>
      <c r="G77" s="7">
        <f>IF(3&lt;=5,$D$44,0)</f>
        <v/>
      </c>
      <c r="H77" s="7">
        <f>IF(4&lt;=5,$D$44,0)</f>
        <v/>
      </c>
      <c r="I77" s="7">
        <f>IF(5&lt;=5,$D$44,0)</f>
        <v/>
      </c>
      <c r="J77" s="7">
        <f>IF(6&lt;=5,$D$44,0)</f>
        <v/>
      </c>
      <c r="K77" s="7">
        <f>IF(7&lt;=5,$D$44,0)</f>
        <v/>
      </c>
      <c r="L77" s="7">
        <f>IF(8&lt;=5,$D$44,0)</f>
        <v/>
      </c>
      <c r="M77" s="7">
        <f>IF(9&lt;=5,$D$44,0)</f>
        <v/>
      </c>
      <c r="N77" s="7">
        <f>IF(10&lt;=5,$D$44,0)</f>
        <v/>
      </c>
    </row>
    <row r="78">
      <c r="A78" s="5" t="inlineStr">
        <is>
          <t>CFADS</t>
        </is>
      </c>
      <c r="B78" s="6" t="inlineStr">
        <is>
          <t>$mm</t>
        </is>
      </c>
      <c r="C78" s="6" t="inlineStr">
        <is>
          <t>EBITDA - Taxes - Capex</t>
        </is>
      </c>
      <c r="E78" s="7">
        <f>E72-E76-E77</f>
        <v/>
      </c>
      <c r="F78" s="7">
        <f>F72-F76-F77</f>
        <v/>
      </c>
      <c r="G78" s="7">
        <f>G72-G76-G77</f>
        <v/>
      </c>
      <c r="H78" s="7">
        <f>H72-H76-H77</f>
        <v/>
      </c>
      <c r="I78" s="7">
        <f>I72-I76-I77</f>
        <v/>
      </c>
      <c r="J78" s="7">
        <f>J72-J76-J77</f>
        <v/>
      </c>
      <c r="K78" s="7">
        <f>K72-K76-K77</f>
        <v/>
      </c>
      <c r="L78" s="7">
        <f>L72-L76-L77</f>
        <v/>
      </c>
      <c r="M78" s="7">
        <f>M72-M76-M77</f>
        <v/>
      </c>
      <c r="N78" s="7">
        <f>N72-N76-N77</f>
        <v/>
      </c>
    </row>
    <row r="79">
      <c r="A79" s="5" t="n"/>
      <c r="B79" s="6" t="n"/>
      <c r="C79" s="6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3" t="inlineStr">
        <is>
          <t>DEBT SCHEDULE (75% Sweep, 5-Year Tenor)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Beginning Balance</t>
        </is>
      </c>
      <c r="B81" s="6" t="inlineStr">
        <is>
          <t>$mm</t>
        </is>
      </c>
      <c r="C81" s="6" t="n"/>
      <c r="D81" s="4" t="n">
        <v>0</v>
      </c>
      <c r="E81" s="16">
        <f>$D$60</f>
        <v/>
      </c>
      <c r="F81" s="16">
        <f>E88</f>
        <v/>
      </c>
      <c r="G81" s="16">
        <f>F88</f>
        <v/>
      </c>
      <c r="H81" s="16">
        <f>G88</f>
        <v/>
      </c>
      <c r="I81" s="16">
        <f>H88</f>
        <v/>
      </c>
      <c r="J81" s="16">
        <f>I88</f>
        <v/>
      </c>
      <c r="K81" s="16">
        <f>J88</f>
        <v/>
      </c>
      <c r="L81" s="16">
        <f>K88</f>
        <v/>
      </c>
      <c r="M81" s="16">
        <f>L88</f>
        <v/>
      </c>
      <c r="N81" s="16">
        <f>M88</f>
        <v/>
      </c>
    </row>
    <row r="82">
      <c r="A82" s="5" t="inlineStr">
        <is>
          <t>Interest</t>
        </is>
      </c>
      <c r="B82" s="6" t="inlineStr">
        <is>
          <t>$mm</t>
        </is>
      </c>
      <c r="C82" s="6" t="inlineStr">
        <is>
          <t>Beg Bal × Int Rate</t>
        </is>
      </c>
      <c r="E82" s="16">
        <f>E81*$D$48</f>
        <v/>
      </c>
      <c r="F82" s="16">
        <f>F81*$D$48</f>
        <v/>
      </c>
      <c r="G82" s="16">
        <f>G81*$D$48</f>
        <v/>
      </c>
      <c r="H82" s="16">
        <f>H81*$D$48</f>
        <v/>
      </c>
      <c r="I82" s="16">
        <f>I81*$D$48</f>
        <v/>
      </c>
      <c r="J82" s="16">
        <f>J81*$D$48</f>
        <v/>
      </c>
      <c r="K82" s="16">
        <f>K81*$D$48</f>
        <v/>
      </c>
      <c r="L82" s="16">
        <f>L81*$D$48</f>
        <v/>
      </c>
      <c r="M82" s="16">
        <f>M81*$D$48</f>
        <v/>
      </c>
      <c r="N82" s="16">
        <f>N81*$D$48</f>
        <v/>
      </c>
    </row>
    <row r="83">
      <c r="A83" s="5" t="inlineStr">
        <is>
          <t>Scheduled Principal</t>
        </is>
      </c>
      <c r="B83" s="6" t="inlineStr">
        <is>
          <t>$mm</t>
        </is>
      </c>
      <c r="C83" s="6" t="inlineStr">
        <is>
          <t>MIN(Sched, Beg Bal)</t>
        </is>
      </c>
      <c r="E83" s="16">
        <f>MIN($D$62,E81)</f>
        <v/>
      </c>
      <c r="F83" s="16">
        <f>MIN($D$62,F81)</f>
        <v/>
      </c>
      <c r="G83" s="16">
        <f>MIN($D$62,G81)</f>
        <v/>
      </c>
      <c r="H83" s="16">
        <f>MIN($D$62,H81)</f>
        <v/>
      </c>
      <c r="I83" s="16">
        <f>MIN($D$62,I81)</f>
        <v/>
      </c>
      <c r="J83" s="16">
        <f>MIN($D$62,J81)</f>
        <v/>
      </c>
      <c r="K83" s="16">
        <f>MIN($D$62,K81)</f>
        <v/>
      </c>
      <c r="L83" s="16">
        <f>MIN($D$62,L81)</f>
        <v/>
      </c>
      <c r="M83" s="16">
        <f>MIN($D$62,M81)</f>
        <v/>
      </c>
      <c r="N83" s="16">
        <f>MIN($D$62,N81)</f>
        <v/>
      </c>
    </row>
    <row r="84">
      <c r="A84" s="5" t="inlineStr">
        <is>
          <t>Debt Service (Pre-Sweep)</t>
        </is>
      </c>
      <c r="B84" s="6" t="inlineStr">
        <is>
          <t>$mm</t>
        </is>
      </c>
      <c r="C84" s="6" t="inlineStr">
        <is>
          <t>Interest + Sched Prin</t>
        </is>
      </c>
      <c r="E84" s="16">
        <f>E82+E83</f>
        <v/>
      </c>
      <c r="F84" s="16">
        <f>F82+F83</f>
        <v/>
      </c>
      <c r="G84" s="16">
        <f>G82+G83</f>
        <v/>
      </c>
      <c r="H84" s="16">
        <f>H82+H83</f>
        <v/>
      </c>
      <c r="I84" s="16">
        <f>I82+I83</f>
        <v/>
      </c>
      <c r="J84" s="16">
        <f>J82+J83</f>
        <v/>
      </c>
      <c r="K84" s="16">
        <f>K82+K83</f>
        <v/>
      </c>
      <c r="L84" s="16">
        <f>L82+L83</f>
        <v/>
      </c>
      <c r="M84" s="16">
        <f>M82+M83</f>
        <v/>
      </c>
      <c r="N84" s="16">
        <f>N82+N83</f>
        <v/>
      </c>
    </row>
    <row r="85">
      <c r="A85" s="5" t="inlineStr">
        <is>
          <t>Excess Cash</t>
        </is>
      </c>
      <c r="B85" s="6" t="inlineStr">
        <is>
          <t>$mm</t>
        </is>
      </c>
      <c r="C85" s="6" t="inlineStr">
        <is>
          <t>CFADS - DS - DSRA Funding</t>
        </is>
      </c>
      <c r="E85" s="16">
        <f>MAX(0,E77-E84-E96)</f>
        <v/>
      </c>
      <c r="F85" s="16">
        <f>MAX(0,F77-F84-F96)</f>
        <v/>
      </c>
      <c r="G85" s="16">
        <f>MAX(0,G77-G84-G96)</f>
        <v/>
      </c>
      <c r="H85" s="16">
        <f>MAX(0,H77-H84-H96)</f>
        <v/>
      </c>
      <c r="I85" s="16">
        <f>MAX(0,I77-I84-I96)</f>
        <v/>
      </c>
      <c r="J85" s="16">
        <f>MAX(0,J77-J84-J96)</f>
        <v/>
      </c>
      <c r="K85" s="16">
        <f>MAX(0,K77-K84-K96)</f>
        <v/>
      </c>
      <c r="L85" s="16">
        <f>MAX(0,L77-L84-L96)</f>
        <v/>
      </c>
      <c r="M85" s="16">
        <f>MAX(0,M77-M84-M96)</f>
        <v/>
      </c>
      <c r="N85" s="16">
        <f>MAX(0,N77-N84-N96)</f>
        <v/>
      </c>
    </row>
    <row r="86">
      <c r="A86" s="5" t="inlineStr">
        <is>
          <t>Cash Sweep</t>
        </is>
      </c>
      <c r="B86" s="6" t="inlineStr">
        <is>
          <t>$mm</t>
        </is>
      </c>
      <c r="C86" s="6" t="inlineStr">
        <is>
          <t>MIN(Excess×75%, Beg-Sched)</t>
        </is>
      </c>
      <c r="E86" s="19">
        <f>MIN(E85*$D$51,MAX(0,E81-E83))</f>
        <v/>
      </c>
      <c r="F86" s="19">
        <f>MIN(F85*$D$51,MAX(0,F81-F83))</f>
        <v/>
      </c>
      <c r="G86" s="19">
        <f>MIN(G85*$D$51,MAX(0,G81-G83))</f>
        <v/>
      </c>
      <c r="H86" s="19">
        <f>MIN(H85*$D$51,MAX(0,H81-H83))</f>
        <v/>
      </c>
      <c r="I86" s="19">
        <f>MIN(I85*$D$51,MAX(0,I81-I83))</f>
        <v/>
      </c>
      <c r="J86" s="19">
        <f>MIN(J85*$D$51,MAX(0,J81-J83))</f>
        <v/>
      </c>
      <c r="K86" s="19">
        <f>MIN(K85*$D$51,MAX(0,K81-K83))</f>
        <v/>
      </c>
      <c r="L86" s="19">
        <f>MIN(L85*$D$51,MAX(0,L81-L83))</f>
        <v/>
      </c>
      <c r="M86" s="19">
        <f>MIN(M85*$D$51,MAX(0,M81-M83))</f>
        <v/>
      </c>
      <c r="N86" s="19">
        <f>MIN(N85*$D$51,MAX(0,N81-N83))</f>
        <v/>
      </c>
    </row>
    <row r="87">
      <c r="A87" s="5" t="inlineStr">
        <is>
          <t>Total Principal</t>
        </is>
      </c>
      <c r="B87" s="6" t="inlineStr">
        <is>
          <t>$mm</t>
        </is>
      </c>
      <c r="C87" s="6" t="inlineStr">
        <is>
          <t>Scheduled + Sweep</t>
        </is>
      </c>
      <c r="E87" s="16">
        <f>E83+E86</f>
        <v/>
      </c>
      <c r="F87" s="16">
        <f>F83+F86</f>
        <v/>
      </c>
      <c r="G87" s="16">
        <f>G83+G86</f>
        <v/>
      </c>
      <c r="H87" s="16">
        <f>H83+H86</f>
        <v/>
      </c>
      <c r="I87" s="16">
        <f>I83+I86</f>
        <v/>
      </c>
      <c r="J87" s="16">
        <f>J83+J86</f>
        <v/>
      </c>
      <c r="K87" s="16">
        <f>K83+K86</f>
        <v/>
      </c>
      <c r="L87" s="16">
        <f>L83+L86</f>
        <v/>
      </c>
      <c r="M87" s="16">
        <f>M83+M86</f>
        <v/>
      </c>
      <c r="N87" s="16">
        <f>N83+N86</f>
        <v/>
      </c>
    </row>
    <row r="88">
      <c r="A88" s="5" t="inlineStr">
        <is>
          <t>Ending Balance</t>
        </is>
      </c>
      <c r="B88" s="6" t="inlineStr">
        <is>
          <t>$mm</t>
        </is>
      </c>
      <c r="C88" s="6" t="inlineStr">
        <is>
          <t>MAX(0, Beg - Total Prin)</t>
        </is>
      </c>
      <c r="D88">
        <f>$D$60</f>
        <v/>
      </c>
      <c r="E88" s="16">
        <f>MAX(0,E81-E87)</f>
        <v/>
      </c>
      <c r="F88" s="16">
        <f>MAX(0,F81-F87)</f>
        <v/>
      </c>
      <c r="G88" s="16">
        <f>MAX(0,G81-G87)</f>
        <v/>
      </c>
      <c r="H88" s="16">
        <f>MAX(0,H81-H87)</f>
        <v/>
      </c>
      <c r="I88" s="16">
        <f>MAX(0,I81-I87)</f>
        <v/>
      </c>
      <c r="J88" s="16">
        <f>MAX(0,J81-J87)</f>
        <v/>
      </c>
      <c r="K88" s="16">
        <f>MAX(0,K81-K87)</f>
        <v/>
      </c>
      <c r="L88" s="16">
        <f>MAX(0,L81-L87)</f>
        <v/>
      </c>
      <c r="M88" s="16">
        <f>MAX(0,M81-M87)</f>
        <v/>
      </c>
      <c r="N88" s="16">
        <f>MAX(0,N81-N87)</f>
        <v/>
      </c>
    </row>
    <row r="89">
      <c r="A89" s="5" t="inlineStr">
        <is>
          <t>DSCR</t>
        </is>
      </c>
      <c r="B89" s="6" t="inlineStr">
        <is>
          <t>x</t>
        </is>
      </c>
      <c r="C89" s="6" t="inlineStr">
        <is>
          <t>CFADS / Debt Service</t>
        </is>
      </c>
      <c r="E89" s="28">
        <f>IF(E84&gt;0,E77/E84,0)</f>
        <v/>
      </c>
      <c r="F89" s="28">
        <f>IF(F84&gt;0,F77/F84,0)</f>
        <v/>
      </c>
      <c r="G89" s="28">
        <f>IF(G84&gt;0,G77/G84,0)</f>
        <v/>
      </c>
      <c r="H89" s="28">
        <f>IF(H84&gt;0,H77/H84,0)</f>
        <v/>
      </c>
      <c r="I89" s="28">
        <f>IF(I84&gt;0,I77/I84,0)</f>
        <v/>
      </c>
      <c r="J89" s="28">
        <f>IF(J84&gt;0,J77/J84,0)</f>
        <v/>
      </c>
      <c r="K89" s="28">
        <f>IF(K84&gt;0,K77/K84,0)</f>
        <v/>
      </c>
      <c r="L89" s="28">
        <f>IF(L84&gt;0,L77/L84,0)</f>
        <v/>
      </c>
      <c r="M89" s="28">
        <f>IF(M84&gt;0,M77/M84,0)</f>
        <v/>
      </c>
      <c r="N89" s="28">
        <f>IF(N84&gt;0,N77/N84,0)</f>
        <v/>
      </c>
    </row>
    <row r="90">
      <c r="A90" s="5" t="inlineStr">
        <is>
          <t>Scheduled DS (for DSRA)</t>
        </is>
      </c>
      <c r="B90" s="6" t="inlineStr">
        <is>
          <t>$mm</t>
        </is>
      </c>
      <c r="C90" s="6" t="inlineStr">
        <is>
          <t>Based on straight-line amort, no sweep</t>
        </is>
      </c>
      <c r="E90" s="16">
        <f>MAX(0,$D$60-(1-1)*$D$62)*$D$48+$D$62</f>
        <v/>
      </c>
      <c r="F90" s="16">
        <f>MAX(0,$D$60-(2-1)*$D$62)*$D$48+$D$62</f>
        <v/>
      </c>
      <c r="G90" s="16">
        <f>MAX(0,$D$60-(3-1)*$D$62)*$D$48+$D$62</f>
        <v/>
      </c>
      <c r="H90" s="16">
        <f>MAX(0,$D$60-(4-1)*$D$62)*$D$48+$D$62</f>
        <v/>
      </c>
      <c r="I90" s="16">
        <f>MAX(0,$D$60-(5-1)*$D$62)*$D$48+$D$62</f>
        <v/>
      </c>
      <c r="J90" s="16">
        <f>MAX(0,$D$60-(6-1)*$D$62)*$D$48+$D$62</f>
        <v/>
      </c>
      <c r="K90" s="16">
        <f>MAX(0,$D$60-(7-1)*$D$62)*$D$48+$D$62</f>
        <v/>
      </c>
      <c r="L90" s="16">
        <f>MAX(0,$D$60-(8-1)*$D$62)*$D$48+$D$62</f>
        <v/>
      </c>
      <c r="M90" s="16">
        <f>MAX(0,$D$60-(9-1)*$D$62)*$D$48+$D$62</f>
        <v/>
      </c>
      <c r="N90" s="16">
        <f>MAX(0,$D$60-(10-1)*$D$62)*$D$48+$D$62</f>
        <v/>
      </c>
    </row>
    <row r="91">
      <c r="A91" s="5" t="n"/>
      <c r="B91" s="6" t="n"/>
      <c r="C91" s="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</row>
    <row r="92">
      <c r="A92" s="3" t="inlineStr">
        <is>
          <t>DSRA (Debt Service Reserve Account)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5" t="inlineStr">
        <is>
          <t>DSRA Target</t>
        </is>
      </c>
      <c r="B93" s="6" t="inlineStr">
        <is>
          <t>$mm</t>
        </is>
      </c>
      <c r="C93" s="6" t="inlineStr">
        <is>
          <t>Next Yr Scheduled DS × DSRA Months / 12</t>
        </is>
      </c>
      <c r="D93" s="16">
        <f>E80*$D$40/12</f>
        <v/>
      </c>
      <c r="E93" s="16">
        <f>F80*$D$40/12</f>
        <v/>
      </c>
      <c r="F93" s="16">
        <f>G80*$D$40/12</f>
        <v/>
      </c>
      <c r="G93" s="16">
        <f>H80*$D$40/12</f>
        <v/>
      </c>
      <c r="H93" s="16">
        <f>I80*$D$40/12</f>
        <v/>
      </c>
      <c r="I93" s="16">
        <f>J80*$D$40/12</f>
        <v/>
      </c>
      <c r="J93" s="16">
        <f>K80*$D$40/12</f>
        <v/>
      </c>
      <c r="K93" s="16">
        <f>L80*$D$40/12</f>
        <v/>
      </c>
      <c r="L93" s="16">
        <f>M80*$D$40/12</f>
        <v/>
      </c>
      <c r="M93" s="16">
        <f>N80*$D$40/12</f>
        <v/>
      </c>
      <c r="N93" s="16">
        <f>0</f>
        <v/>
      </c>
    </row>
    <row r="94">
      <c r="A94" s="5" t="inlineStr">
        <is>
          <t>DSRA Beginning</t>
        </is>
      </c>
      <c r="B94" s="6" t="inlineStr">
        <is>
          <t>$mm</t>
        </is>
      </c>
      <c r="C94" s="6" t="n"/>
      <c r="D94" s="16">
        <f>0</f>
        <v/>
      </c>
      <c r="E94" s="16">
        <f>F90*$D$50/12</f>
        <v/>
      </c>
      <c r="F94" s="16">
        <f>G90*$D$50/12</f>
        <v/>
      </c>
      <c r="G94" s="16">
        <f>H90*$D$50/12</f>
        <v/>
      </c>
      <c r="H94" s="16">
        <f>I90*$D$50/12</f>
        <v/>
      </c>
      <c r="I94" s="16">
        <f>J90*$D$50/12</f>
        <v/>
      </c>
      <c r="J94" s="16">
        <f>K90*$D$50/12</f>
        <v/>
      </c>
      <c r="K94" s="16">
        <f>L90*$D$50/12</f>
        <v/>
      </c>
      <c r="L94" s="16">
        <f>M90*$D$50/12</f>
        <v/>
      </c>
      <c r="M94" s="16">
        <f>N90*$D$50/12</f>
        <v/>
      </c>
      <c r="N94" s="16" t="n">
        <v>0</v>
      </c>
    </row>
    <row r="95">
      <c r="A95" s="5" t="inlineStr">
        <is>
          <t>DSRA Funding/(Release)</t>
        </is>
      </c>
      <c r="B95" s="6" t="inlineStr">
        <is>
          <t>$mm</t>
        </is>
      </c>
      <c r="C95" s="6" t="inlineStr">
        <is>
          <t>Target - Beginning</t>
        </is>
      </c>
      <c r="D95" s="16" t="n">
        <v>0</v>
      </c>
      <c r="E95" s="16">
        <f>D108</f>
        <v/>
      </c>
      <c r="F95" s="16">
        <f>E97</f>
        <v/>
      </c>
      <c r="G95" s="16">
        <f>F97</f>
        <v/>
      </c>
      <c r="H95" s="16">
        <f>G97</f>
        <v/>
      </c>
      <c r="I95" s="16">
        <f>H97</f>
        <v/>
      </c>
      <c r="J95" s="16">
        <f>I97</f>
        <v/>
      </c>
      <c r="K95" s="16">
        <f>J97</f>
        <v/>
      </c>
      <c r="L95" s="16">
        <f>K97</f>
        <v/>
      </c>
      <c r="M95" s="16">
        <f>L97</f>
        <v/>
      </c>
      <c r="N95" s="16">
        <f>M97</f>
        <v/>
      </c>
    </row>
    <row r="96">
      <c r="A96" s="5" t="inlineStr">
        <is>
          <t>DSRA Ending</t>
        </is>
      </c>
      <c r="B96" s="6" t="inlineStr">
        <is>
          <t>$mm</t>
        </is>
      </c>
      <c r="C96" s="6" t="inlineStr">
        <is>
          <t>Beginning + Funding</t>
        </is>
      </c>
      <c r="D96" s="16">
        <f>D84+D85</f>
        <v/>
      </c>
      <c r="E96" s="16">
        <f>E94-E95</f>
        <v/>
      </c>
      <c r="F96" s="16">
        <f>F94-F95</f>
        <v/>
      </c>
      <c r="G96" s="16">
        <f>G94-G95</f>
        <v/>
      </c>
      <c r="H96" s="16">
        <f>H94-H95</f>
        <v/>
      </c>
      <c r="I96" s="16">
        <f>I94-I95</f>
        <v/>
      </c>
      <c r="J96" s="16">
        <f>J94-J95</f>
        <v/>
      </c>
      <c r="K96" s="16">
        <f>K94-K95</f>
        <v/>
      </c>
      <c r="L96" s="16">
        <f>L94-L95</f>
        <v/>
      </c>
      <c r="M96" s="16">
        <f>M94-M95</f>
        <v/>
      </c>
      <c r="N96" s="16">
        <f>N94-N95</f>
        <v/>
      </c>
    </row>
    <row r="97">
      <c r="A97" s="3" t="inlineStr">
        <is>
          <t>DISTRIBUTION WATERFALL</t>
        </is>
      </c>
      <c r="B97" s="4" t="n"/>
      <c r="C97" s="4" t="n"/>
      <c r="D97" s="4" t="n"/>
      <c r="E97" s="4">
        <f>E95+E96</f>
        <v/>
      </c>
      <c r="F97" s="4">
        <f>F95+F96</f>
        <v/>
      </c>
      <c r="G97" s="4">
        <f>G95+G96</f>
        <v/>
      </c>
      <c r="H97" s="4">
        <f>H95+H96</f>
        <v/>
      </c>
      <c r="I97" s="4">
        <f>I95+I96</f>
        <v/>
      </c>
      <c r="J97" s="4">
        <f>J95+J96</f>
        <v/>
      </c>
      <c r="K97" s="4">
        <f>K95+K96</f>
        <v/>
      </c>
      <c r="L97" s="4">
        <f>L95+L96</f>
        <v/>
      </c>
      <c r="M97" s="4">
        <f>M95+M96</f>
        <v/>
      </c>
      <c r="N97" s="4">
        <f>N95+N96</f>
        <v/>
      </c>
    </row>
    <row r="98">
      <c r="A98" s="5" t="inlineStr">
        <is>
          <t>Cash Available for Distribution</t>
        </is>
      </c>
      <c r="B98" s="6" t="inlineStr">
        <is>
          <t>$mm</t>
        </is>
      </c>
      <c r="C98" s="6" t="inlineStr">
        <is>
          <t>CFADS - Total DS - DSRA Fund</t>
        </is>
      </c>
      <c r="D98" s="4" t="n"/>
      <c r="E98" s="16">
        <f>E68-(E72+E77)-E85</f>
        <v/>
      </c>
      <c r="F98" s="16">
        <f>F68-(F72+F77)-F85</f>
        <v/>
      </c>
      <c r="G98" s="16">
        <f>G68-(G72+G77)-G85</f>
        <v/>
      </c>
      <c r="H98" s="16">
        <f>H68-(H72+H77)-H85</f>
        <v/>
      </c>
      <c r="I98" s="16">
        <f>I68-(I72+I77)-I85</f>
        <v/>
      </c>
      <c r="J98" s="16">
        <f>J68-(J72+J77)-J85</f>
        <v/>
      </c>
      <c r="K98" s="16">
        <f>K68-(K72+K77)-K85</f>
        <v/>
      </c>
      <c r="L98" s="16">
        <f>L68-(L72+L77)-L85</f>
        <v/>
      </c>
      <c r="M98" s="16">
        <f>M68-(M72+M77)-M85</f>
        <v/>
      </c>
      <c r="N98" s="16">
        <f>N68-(N72+N77)-N85</f>
        <v/>
      </c>
    </row>
    <row r="99">
      <c r="A99" s="5" t="inlineStr">
        <is>
          <t>Lock-up Test</t>
        </is>
      </c>
      <c r="B99" s="6" t="n"/>
      <c r="C99" s="6" t="inlineStr">
        <is>
          <t>PASS if DSCR ≥ Lock-up</t>
        </is>
      </c>
      <c r="E99" s="20">
        <f>IF(E79&gt;=$D$42,"PASS","LOCKED")</f>
        <v/>
      </c>
      <c r="F99" s="20">
        <f>IF(F79&gt;=$D$42,"PASS","LOCKED")</f>
        <v/>
      </c>
      <c r="G99" s="20">
        <f>IF(G79&gt;=$D$42,"PASS","LOCKED")</f>
        <v/>
      </c>
      <c r="H99" s="20">
        <f>IF(H79&gt;=$D$42,"PASS","LOCKED")</f>
        <v/>
      </c>
      <c r="I99" s="20">
        <f>IF(I79&gt;=$D$42,"PASS","LOCKED")</f>
        <v/>
      </c>
      <c r="J99" s="20">
        <f>IF(J79&gt;=$D$42,"PASS","LOCKED")</f>
        <v/>
      </c>
      <c r="K99" s="20">
        <f>IF(K79&gt;=$D$42,"PASS","LOCKED")</f>
        <v/>
      </c>
      <c r="L99" s="20">
        <f>IF(L79&gt;=$D$42,"PASS","LOCKED")</f>
        <v/>
      </c>
      <c r="M99" s="20">
        <f>IF(M79&gt;=$D$42,"PASS","LOCKED")</f>
        <v/>
      </c>
      <c r="N99" s="20">
        <f>IF(N79&gt;=$D$42,"PASS","LOCKED")</f>
        <v/>
      </c>
    </row>
    <row r="100">
      <c r="A100" s="5" t="inlineStr">
        <is>
          <t>Distributable Cash</t>
        </is>
      </c>
      <c r="B100" s="6" t="inlineStr">
        <is>
          <t>$mm</t>
        </is>
      </c>
      <c r="C100" s="6" t="inlineStr">
        <is>
          <t>If PASS, MAX(0, Cash Avail)</t>
        </is>
      </c>
      <c r="E100" s="7">
        <f>E77-E82-E87-E96</f>
        <v/>
      </c>
      <c r="F100" s="7">
        <f>F77-F82-F87-F96</f>
        <v/>
      </c>
      <c r="G100" s="7">
        <f>G77-G82-G87-G96</f>
        <v/>
      </c>
      <c r="H100" s="7">
        <f>H77-H82-H87-H96</f>
        <v/>
      </c>
      <c r="I100" s="7">
        <f>I77-I82-I87-I96</f>
        <v/>
      </c>
      <c r="J100" s="7">
        <f>J77-J82-J87-J96</f>
        <v/>
      </c>
      <c r="K100" s="7">
        <f>K77-K82-K87-K96</f>
        <v/>
      </c>
      <c r="L100" s="7">
        <f>L77-L82-L87-L96</f>
        <v/>
      </c>
      <c r="M100" s="7">
        <f>M77-M82-M87-M96</f>
        <v/>
      </c>
      <c r="N100" s="7">
        <f>N77-N82-N87-N96</f>
        <v/>
      </c>
    </row>
    <row r="101">
      <c r="A101" s="5" t="n"/>
      <c r="B101" s="6" t="n"/>
      <c r="C101" s="6" t="n"/>
      <c r="E101" s="7">
        <f>IF(E89&gt;=$D$52,"PASS","LOCKED")</f>
        <v/>
      </c>
      <c r="F101" s="7">
        <f>IF(F89&gt;=$D$52,"PASS","LOCKED")</f>
        <v/>
      </c>
      <c r="G101" s="7">
        <f>IF(G89&gt;=$D$52,"PASS","LOCKED")</f>
        <v/>
      </c>
      <c r="H101" s="7">
        <f>IF(H89&gt;=$D$52,"PASS","LOCKED")</f>
        <v/>
      </c>
      <c r="I101" s="7">
        <f>IF(I89&gt;=$D$52,"PASS","LOCKED")</f>
        <v/>
      </c>
      <c r="J101" s="7">
        <f>IF(J89&gt;=$D$52,"PASS","LOCKED")</f>
        <v/>
      </c>
      <c r="K101" s="7">
        <f>IF(K89&gt;=$D$52,"PASS","LOCKED")</f>
        <v/>
      </c>
      <c r="L101" s="7">
        <f>IF(L89&gt;=$D$52,"PASS","LOCKED")</f>
        <v/>
      </c>
      <c r="M101" s="7">
        <f>IF(M89&gt;=$D$52,"PASS","LOCKED")</f>
        <v/>
      </c>
      <c r="N101" s="7">
        <f>IF(N89&gt;=$D$52,"PASS","LOCKED")</f>
        <v/>
      </c>
    </row>
    <row r="102">
      <c r="A102" s="3" t="inlineStr">
        <is>
          <t>SOURCES &amp; USES (Year 0)</t>
        </is>
      </c>
      <c r="B102" s="4" t="n"/>
      <c r="C102" s="4" t="n"/>
      <c r="D102" s="4" t="n"/>
      <c r="E102" s="4">
        <f>IF(E101="PASS",MAX(0,E100),0)</f>
        <v/>
      </c>
      <c r="F102" s="4">
        <f>IF(F101="PASS",MAX(0,F100),0)</f>
        <v/>
      </c>
      <c r="G102" s="4">
        <f>IF(G101="PASS",MAX(0,G100),0)</f>
        <v/>
      </c>
      <c r="H102" s="4">
        <f>IF(H101="PASS",MAX(0,H100),0)</f>
        <v/>
      </c>
      <c r="I102" s="4">
        <f>IF(I101="PASS",MAX(0,I100),0)</f>
        <v/>
      </c>
      <c r="J102" s="4">
        <f>IF(J101="PASS",MAX(0,J100),0)</f>
        <v/>
      </c>
      <c r="K102" s="4">
        <f>IF(K101="PASS",MAX(0,K100),0)</f>
        <v/>
      </c>
      <c r="L102" s="4">
        <f>IF(L101="PASS",MAX(0,L100),0)</f>
        <v/>
      </c>
      <c r="M102" s="4">
        <f>IF(M101="PASS",MAX(0,M100),0)</f>
        <v/>
      </c>
      <c r="N102" s="4">
        <f>IF(N101="PASS",MAX(0,N100),0)</f>
        <v/>
      </c>
    </row>
    <row r="103">
      <c r="A103" s="21" t="inlineStr">
        <is>
          <t>USES</t>
        </is>
      </c>
      <c r="B103" s="6" t="n"/>
      <c r="C103" s="6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5" t="inlineStr">
        <is>
          <t xml:space="preserve">  Purchase Price</t>
        </is>
      </c>
      <c r="B104" s="6" t="inlineStr">
        <is>
          <t>$mm</t>
        </is>
      </c>
      <c r="C104" s="6" t="n"/>
      <c r="D104" s="16">
        <f>$D$27</f>
        <v/>
      </c>
    </row>
    <row r="105">
      <c r="A105" s="5" t="inlineStr">
        <is>
          <t xml:space="preserve">  Transaction Fees</t>
        </is>
      </c>
      <c r="B105" s="6" t="inlineStr">
        <is>
          <t>$mm</t>
        </is>
      </c>
      <c r="C105" s="6" t="n"/>
      <c r="D105" s="16">
        <f>$D$27*$D$28</f>
        <v/>
      </c>
    </row>
    <row r="106">
      <c r="A106" s="5" t="inlineStr">
        <is>
          <t xml:space="preserve">  DSRA Funding</t>
        </is>
      </c>
      <c r="B106" s="6" t="inlineStr">
        <is>
          <t>$mm</t>
        </is>
      </c>
      <c r="C106" s="6" t="n"/>
      <c r="D106" s="16">
        <f>E94</f>
        <v/>
      </c>
    </row>
    <row r="107">
      <c r="A107" s="5" t="inlineStr">
        <is>
          <t>Total Uses</t>
        </is>
      </c>
      <c r="B107" s="6" t="inlineStr">
        <is>
          <t>$mm</t>
        </is>
      </c>
      <c r="C107" s="6" t="n"/>
      <c r="D107" s="7">
        <f>D104+D105+D106</f>
        <v/>
      </c>
    </row>
    <row r="108">
      <c r="A108" s="5" t="n"/>
      <c r="B108" s="6" t="n"/>
      <c r="C108" s="6" t="n"/>
      <c r="D108" s="7">
        <f>E94</f>
        <v/>
      </c>
    </row>
    <row r="109">
      <c r="A109" s="21" t="inlineStr">
        <is>
          <t>SOURCES</t>
        </is>
      </c>
      <c r="B109" s="6" t="n"/>
      <c r="C109" s="6" t="n"/>
      <c r="D109">
        <f>D106+D107+D108</f>
        <v/>
      </c>
    </row>
    <row r="110">
      <c r="A110" s="5" t="inlineStr">
        <is>
          <t xml:space="preserve">  Debt</t>
        </is>
      </c>
      <c r="B110" s="6" t="inlineStr">
        <is>
          <t>$mm</t>
        </is>
      </c>
      <c r="C110" s="6" t="n"/>
      <c r="D110" s="16">
        <f>$D$27*$D$47</f>
        <v/>
      </c>
    </row>
    <row r="111">
      <c r="A111" s="5" t="inlineStr">
        <is>
          <t xml:space="preserve">  Equity</t>
        </is>
      </c>
      <c r="B111" s="6" t="inlineStr">
        <is>
          <t>$mm</t>
        </is>
      </c>
      <c r="C111" s="6" t="inlineStr">
        <is>
          <t>Plug to balance</t>
        </is>
      </c>
      <c r="D111" s="16">
        <f>D107-D110</f>
        <v/>
      </c>
    </row>
    <row r="112">
      <c r="A112" s="5" t="inlineStr">
        <is>
          <t>Total Sources</t>
        </is>
      </c>
      <c r="B112" s="6" t="inlineStr">
        <is>
          <t>$mm</t>
        </is>
      </c>
      <c r="C112" s="6" t="n"/>
      <c r="D112" s="7">
        <f>D110+D111</f>
        <v/>
      </c>
    </row>
    <row r="113">
      <c r="A113" s="5" t="inlineStr">
        <is>
          <t>Balance Check</t>
        </is>
      </c>
      <c r="B113" s="6" t="n"/>
      <c r="C113" s="6" t="n"/>
      <c r="D113" s="10">
        <f>IF(ABS(D107-D112)&lt;0.01,"PASS","FAIL")</f>
        <v/>
      </c>
    </row>
    <row r="114">
      <c r="A114" s="5" t="n"/>
      <c r="B114" s="6" t="n"/>
      <c r="C114" s="6" t="n"/>
      <c r="D114" s="10">
        <f>D112+D113</f>
        <v/>
      </c>
    </row>
    <row r="115">
      <c r="A115" s="3" t="inlineStr">
        <is>
          <t>EXIT CALCULATIONS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inlineStr">
        <is>
          <t>Exit EV</t>
        </is>
      </c>
      <c r="B116" s="6" t="inlineStr">
        <is>
          <t>$mm</t>
        </is>
      </c>
      <c r="C116" s="6" t="inlineStr">
        <is>
          <t>Exit Multiple × Exit Yr EBITDA</t>
        </is>
      </c>
      <c r="D116" s="4">
        <f>K72*$D$29</f>
        <v/>
      </c>
      <c r="E116" s="4" t="n"/>
      <c r="F116" s="4" t="n"/>
      <c r="G116" s="4" t="n"/>
      <c r="H116" s="4" t="n"/>
      <c r="I116" s="4" t="n"/>
      <c r="J116" s="4" t="n"/>
      <c r="K116" s="16">
        <f>$D$19*K62</f>
        <v/>
      </c>
      <c r="L116" s="4" t="n"/>
      <c r="M116" s="4" t="n"/>
      <c r="N116" s="4" t="n"/>
    </row>
    <row r="117">
      <c r="A117" s="5" t="inlineStr">
        <is>
          <t>Exit Debt Payoff</t>
        </is>
      </c>
      <c r="B117" s="6" t="inlineStr">
        <is>
          <t>$mm</t>
        </is>
      </c>
      <c r="C117" s="6" t="inlineStr">
        <is>
          <t>Ending Bal at Exit</t>
        </is>
      </c>
      <c r="D117">
        <f>K88</f>
        <v/>
      </c>
      <c r="K117" s="16">
        <f>K78</f>
        <v/>
      </c>
    </row>
    <row r="118">
      <c r="A118" s="5" t="inlineStr">
        <is>
          <t>DSRA Release</t>
        </is>
      </c>
      <c r="B118" s="6" t="inlineStr">
        <is>
          <t>$mm</t>
        </is>
      </c>
      <c r="C118" s="6" t="inlineStr">
        <is>
          <t>DSRA Ending at Exit</t>
        </is>
      </c>
      <c r="D118">
        <f>K97</f>
        <v/>
      </c>
      <c r="K118" s="16">
        <f>K86</f>
        <v/>
      </c>
    </row>
    <row r="119">
      <c r="A119" s="5" t="inlineStr">
        <is>
          <t>Exit Equity Proceeds</t>
        </is>
      </c>
      <c r="B119" s="6" t="inlineStr">
        <is>
          <t>$mm</t>
        </is>
      </c>
      <c r="C119" s="6" t="inlineStr">
        <is>
          <t>Exit EV - Debt + DSRA</t>
        </is>
      </c>
      <c r="D119">
        <f>D116-D117+D118</f>
        <v/>
      </c>
      <c r="K119" s="7">
        <f>K106-K107+K108</f>
        <v/>
      </c>
    </row>
    <row r="120">
      <c r="A120" s="5" t="n"/>
      <c r="B120" s="6" t="n"/>
      <c r="C120" s="6" t="n"/>
      <c r="D120">
        <f>D119*$D$29</f>
        <v/>
      </c>
      <c r="K120" s="7" t="n"/>
    </row>
    <row r="121">
      <c r="A121" s="3" t="inlineStr">
        <is>
          <t>EQUITY RETURNS</t>
        </is>
      </c>
      <c r="B121" s="4" t="n"/>
      <c r="C121" s="4" t="n"/>
      <c r="D121" s="4">
        <f>K88</f>
        <v/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5" t="inlineStr">
        <is>
          <t>Equity Cash Flow</t>
        </is>
      </c>
      <c r="B122" s="6" t="inlineStr">
        <is>
          <t>$mm</t>
        </is>
      </c>
      <c r="C122" s="6" t="n"/>
      <c r="D122" s="16">
        <f>-D111</f>
        <v/>
      </c>
      <c r="E122" s="16">
        <f>E100</f>
        <v/>
      </c>
      <c r="F122" s="16">
        <f>F100</f>
        <v/>
      </c>
      <c r="G122" s="16">
        <f>G100</f>
        <v/>
      </c>
      <c r="H122" s="16">
        <f>H100</f>
        <v/>
      </c>
      <c r="I122" s="16">
        <f>I100</f>
        <v/>
      </c>
      <c r="J122" s="16">
        <f>J100</f>
        <v/>
      </c>
      <c r="K122" s="16">
        <f>K100+D119</f>
        <v/>
      </c>
      <c r="L122" s="16" t="n">
        <v>0</v>
      </c>
      <c r="M122" s="16" t="n">
        <v>0</v>
      </c>
      <c r="N122" s="16" t="n">
        <v>0</v>
      </c>
    </row>
    <row r="123">
      <c r="A123" s="5" t="inlineStr">
        <is>
          <t>Levered IRR</t>
        </is>
      </c>
      <c r="B123" s="6" t="inlineStr">
        <is>
          <t>%</t>
        </is>
      </c>
      <c r="C123" s="6" t="inlineStr">
        <is>
          <t>IRR of Equity CFs</t>
        </is>
      </c>
      <c r="D123" s="29">
        <f>IRR(D122:N122)</f>
        <v/>
      </c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</row>
    <row r="124">
      <c r="A124" s="5" t="inlineStr">
        <is>
          <t>MOIC</t>
        </is>
      </c>
      <c r="B124" s="6" t="inlineStr">
        <is>
          <t>x</t>
        </is>
      </c>
      <c r="C124" s="6" t="inlineStr">
        <is>
          <t>Sum inflows / outflow</t>
        </is>
      </c>
      <c r="D124" s="28">
        <f>(SUM(E122:K122))/-D122</f>
        <v/>
      </c>
    </row>
    <row r="125">
      <c r="A125" s="5" t="n"/>
      <c r="B125" s="6" t="n"/>
      <c r="C125" s="6" t="n"/>
      <c r="D125" s="28" t="n"/>
    </row>
    <row r="126">
      <c r="A126" s="21" t="inlineStr">
        <is>
          <t>Unlevered Returns (for reference)</t>
        </is>
      </c>
      <c r="B126" s="6" t="n"/>
      <c r="C126" s="6" t="n"/>
      <c r="D126">
        <f>-D113</f>
        <v/>
      </c>
      <c r="E126">
        <f>E102</f>
        <v/>
      </c>
      <c r="F126">
        <f>F102</f>
        <v/>
      </c>
      <c r="G126">
        <f>G102</f>
        <v/>
      </c>
      <c r="H126">
        <f>H102</f>
        <v/>
      </c>
      <c r="I126">
        <f>I102</f>
        <v/>
      </c>
      <c r="J126">
        <f>J102</f>
        <v/>
      </c>
      <c r="K126">
        <f>K102+D123</f>
        <v/>
      </c>
      <c r="L126" t="n">
        <v>0</v>
      </c>
      <c r="M126" t="n">
        <v>0</v>
      </c>
      <c r="N126" t="n">
        <v>0</v>
      </c>
    </row>
    <row r="127">
      <c r="A127" s="5" t="inlineStr">
        <is>
          <t>Unlevered Cash Flow</t>
        </is>
      </c>
      <c r="B127" s="6" t="inlineStr">
        <is>
          <t>$mm</t>
        </is>
      </c>
      <c r="C127" s="6" t="n"/>
      <c r="D127" s="29">
        <f>IRR(D126:N126)</f>
        <v/>
      </c>
      <c r="E127" s="16">
        <f>E68</f>
        <v/>
      </c>
      <c r="F127" s="16">
        <f>F68</f>
        <v/>
      </c>
      <c r="G127" s="16">
        <f>G68</f>
        <v/>
      </c>
      <c r="H127" s="16">
        <f>H68</f>
        <v/>
      </c>
      <c r="I127" s="16">
        <f>I68</f>
        <v/>
      </c>
      <c r="J127" s="16">
        <f>J68</f>
        <v/>
      </c>
      <c r="K127" s="16">
        <f>K68+K106</f>
        <v/>
      </c>
      <c r="L127" s="16">
        <f>0</f>
        <v/>
      </c>
      <c r="M127" s="16">
        <f>0</f>
        <v/>
      </c>
      <c r="N127" s="16">
        <f>0</f>
        <v/>
      </c>
    </row>
    <row r="128">
      <c r="A128" s="5" t="inlineStr">
        <is>
          <t>Unlevered IRR</t>
        </is>
      </c>
      <c r="B128" s="6" t="inlineStr">
        <is>
          <t>%</t>
        </is>
      </c>
      <c r="C128" s="6" t="inlineStr">
        <is>
          <t>IRR of Equity CFs</t>
        </is>
      </c>
      <c r="D128" s="28">
        <f>(SUM(E126:K126))/-D126</f>
        <v/>
      </c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</row>
    <row r="129">
      <c r="A129" s="5" t="n"/>
      <c r="B129" s="6" t="n"/>
      <c r="C129" s="6" t="n"/>
      <c r="D129" s="29" t="n"/>
    </row>
    <row r="130"/>
    <row r="131">
      <c r="D131">
        <f>-$D$27-D107</f>
        <v/>
      </c>
      <c r="E131">
        <f>E77</f>
        <v/>
      </c>
      <c r="F131">
        <f>F77</f>
        <v/>
      </c>
      <c r="G131">
        <f>G77</f>
        <v/>
      </c>
      <c r="H131">
        <f>H77</f>
        <v/>
      </c>
      <c r="I131">
        <f>I77</f>
        <v/>
      </c>
      <c r="J131">
        <f>J77</f>
        <v/>
      </c>
      <c r="K131">
        <f>K77+D120</f>
        <v/>
      </c>
      <c r="L131" t="n">
        <v>0</v>
      </c>
      <c r="M131" t="n">
        <v>0</v>
      </c>
      <c r="N131" t="n">
        <v>0</v>
      </c>
    </row>
    <row r="132">
      <c r="D132" s="56">
        <f>IRR(D131:N131)</f>
        <v/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dataValidations count="3">
    <dataValidation sqref="D7" showDropDown="0" showInputMessage="0" showErrorMessage="0" allowBlank="0" type="list">
      <formula1>"Merchant,Contracted,Hybrid"</formula1>
    </dataValidation>
    <dataValidation sqref="D9" showDropDown="0" showInputMessage="0" showErrorMessage="0" allowBlank="0" type="list">
      <formula1>"ON,OFF"</formula1>
    </dataValidation>
    <dataValidation sqref="D11" showDropDown="0" showInputMessage="0" showErrorMessage="0" allowBlank="0" type="list">
      <formula1>"Multiple,DCF"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Midstream Model - Lotus Infrastructure Partners</t>
        </is>
      </c>
      <c r="D1" s="34" t="inlineStr">
        <is>
          <t>Y0 (2025)</t>
        </is>
      </c>
      <c r="E1" s="34" t="inlineStr">
        <is>
          <t>Y1 (2026)</t>
        </is>
      </c>
      <c r="F1" s="34" t="inlineStr">
        <is>
          <t>Y2 (2027)</t>
        </is>
      </c>
      <c r="G1" s="34" t="inlineStr">
        <is>
          <t>Y3 (2028)</t>
        </is>
      </c>
      <c r="H1" s="34" t="inlineStr">
        <is>
          <t>Y4 (2029)</t>
        </is>
      </c>
      <c r="I1" s="34" t="inlineStr">
        <is>
          <t>Y5 (2030)</t>
        </is>
      </c>
      <c r="J1" s="34" t="inlineStr">
        <is>
          <t>Y6 (2031)</t>
        </is>
      </c>
      <c r="K1" s="34" t="inlineStr">
        <is>
          <t>Y7 (2032)</t>
        </is>
      </c>
      <c r="L1" s="34" t="inlineStr">
        <is>
          <t>Y8 (2033)</t>
        </is>
      </c>
      <c r="M1" s="34" t="inlineStr">
        <is>
          <t>Y9 (2034)</t>
        </is>
      </c>
      <c r="N1" s="34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/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/>
      <c r="D4" s="7">
        <f>E62</f>
        <v/>
      </c>
    </row>
    <row r="5">
      <c r="A5" s="36" t="inlineStr">
        <is>
          <t>═══════════ CONTROL PANEL ═══════════</t>
        </is>
      </c>
      <c r="B5" s="47" t="n"/>
      <c r="C5" s="47" t="n"/>
      <c r="D5" s="47" t="n"/>
    </row>
    <row r="6">
      <c r="A6" s="47" t="n"/>
      <c r="B6" s="47" t="n"/>
      <c r="C6" s="47" t="n"/>
      <c r="D6" s="47" t="n"/>
    </row>
    <row r="7">
      <c r="A7" s="48" t="inlineStr">
        <is>
          <t>REVENUE</t>
        </is>
      </c>
      <c r="B7" s="47" t="n"/>
      <c r="C7" s="47" t="n"/>
      <c r="D7" s="47" t="n"/>
    </row>
    <row r="8">
      <c r="A8" s="32" t="inlineStr">
        <is>
          <t>Revenue Mode</t>
        </is>
      </c>
      <c r="B8" s="47" t="n"/>
      <c r="C8" s="6" t="inlineStr">
        <is>
          <t>Merchant / Contracted / Hybrid</t>
        </is>
      </c>
      <c r="D8" s="45" t="inlineStr">
        <is>
          <t>Merchant</t>
        </is>
      </c>
    </row>
    <row r="9">
      <c r="A9" s="32" t="inlineStr">
        <is>
          <t>Contract End Year</t>
        </is>
      </c>
      <c r="B9" s="47" t="n"/>
      <c r="C9" s="6" t="inlineStr">
        <is>
          <t>0 = pure merchant; else year PPA ends</t>
        </is>
      </c>
      <c r="D9" s="45" t="n">
        <v>0</v>
      </c>
    </row>
    <row r="10">
      <c r="A10" s="47" t="n"/>
      <c r="B10" s="47" t="n"/>
      <c r="C10" s="47" t="n"/>
      <c r="D10" s="47" t="n"/>
    </row>
    <row r="11">
      <c r="A11" s="48" t="inlineStr">
        <is>
          <t>TIMING</t>
        </is>
      </c>
      <c r="B11" s="47" t="n"/>
      <c r="C11" s="47" t="n"/>
      <c r="D11" s="47" t="n"/>
    </row>
    <row r="12">
      <c r="A12" s="32" t="inlineStr">
        <is>
          <t>Exit Year</t>
        </is>
      </c>
      <c r="B12" s="47" t="n"/>
      <c r="C12" s="6" t="inlineStr">
        <is>
          <t>5 / 7 / 10</t>
        </is>
      </c>
      <c r="D12" s="45" t="n">
        <v>7</v>
      </c>
    </row>
    <row r="13">
      <c r="A13" s="32" t="inlineStr">
        <is>
          <t>Tax Credit End Year</t>
        </is>
      </c>
      <c r="B13" s="47" t="n"/>
      <c r="C13" s="6" t="inlineStr">
        <is>
          <t>0 = N/A; else last year of PTC/ITC</t>
        </is>
      </c>
      <c r="D13" s="45" t="n">
        <v>0</v>
      </c>
    </row>
    <row r="14">
      <c r="A14" s="47" t="n"/>
      <c r="B14" s="47" t="n"/>
      <c r="C14" s="47" t="n"/>
      <c r="D14" s="47" t="n"/>
    </row>
    <row r="15">
      <c r="A15" s="48" t="inlineStr">
        <is>
          <t>DEBT</t>
        </is>
      </c>
      <c r="B15" s="47" t="n"/>
      <c r="C15" s="47" t="n"/>
      <c r="D15" s="49" t="n"/>
    </row>
    <row r="16">
      <c r="A16" s="32" t="inlineStr">
        <is>
          <t>Debt Sweep</t>
        </is>
      </c>
      <c r="B16" s="47" t="n"/>
      <c r="C16" s="6" t="inlineStr">
        <is>
          <t>ON / OFF (for sweep assets)</t>
        </is>
      </c>
      <c r="D16" s="31" t="inlineStr">
        <is>
          <t>ON</t>
        </is>
      </c>
    </row>
    <row r="17">
      <c r="A17" s="32" t="inlineStr">
        <is>
          <t>Sweep %</t>
        </is>
      </c>
      <c r="B17" s="47" t="n"/>
      <c r="C17" s="6" t="inlineStr">
        <is>
          <t>Active when Sweep = ON</t>
        </is>
      </c>
      <c r="D17" s="30" t="inlineStr">
        <is>
          <t>75%</t>
        </is>
      </c>
    </row>
    <row r="18">
      <c r="A18" s="47" t="n"/>
      <c r="B18" s="47" t="n"/>
      <c r="C18" s="47" t="n"/>
      <c r="D18" s="50" t="n"/>
    </row>
    <row r="19">
      <c r="A19" s="48" t="inlineStr">
        <is>
          <t>OTHER</t>
        </is>
      </c>
      <c r="B19" s="47" t="n"/>
      <c r="C19" s="47" t="n"/>
      <c r="D19" s="51" t="n"/>
    </row>
    <row r="20">
      <c r="A20" s="52" t="inlineStr">
        <is>
          <t>Exit Method</t>
        </is>
      </c>
      <c r="B20" s="47" t="n"/>
      <c r="C20" s="6" t="inlineStr">
        <is>
          <t>Multiple / DCF</t>
        </is>
      </c>
      <c r="D20" s="45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6" t="inlineStr">
        <is>
          <t>════════════════════════════════════</t>
        </is>
      </c>
      <c r="B21" s="6" t="inlineStr"/>
      <c r="C21" s="6" t="inlineStr"/>
      <c r="D21" s="10">
        <f>D103</f>
        <v/>
      </c>
    </row>
    <row r="22">
      <c r="A22" s="5" t="inlineStr">
        <is>
          <t>Debt Payoff Y5</t>
        </is>
      </c>
      <c r="B22" s="6" t="inlineStr"/>
      <c r="C22" s="6" t="inlineStr"/>
      <c r="D22" s="10">
        <f>IF(I78&lt;1,"PASS","FAIL")</f>
        <v/>
      </c>
    </row>
    <row r="23">
      <c r="A23" s="5" t="inlineStr">
        <is>
          <t>Min DSCR ≥ 1.25x</t>
        </is>
      </c>
      <c r="B23" s="6" t="inlineStr"/>
      <c r="C23" s="6" t="inlineStr"/>
      <c r="D23" s="10">
        <f>IF(D6&gt;=1.25,"PASS","FAIL")</f>
        <v/>
      </c>
    </row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85</v>
      </c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30" t="n">
        <v>0.015</v>
      </c>
    </row>
    <row r="29">
      <c r="A29" s="5" t="inlineStr">
        <is>
          <t>Exit Multiple</t>
        </is>
      </c>
      <c r="B29" s="6" t="inlineStr">
        <is>
          <t>x</t>
        </is>
      </c>
      <c r="C29" s="6" t="inlineStr">
        <is>
          <t>Compressed for decline</t>
        </is>
      </c>
      <c r="D29" s="31" t="n">
        <v>6.5</v>
      </c>
    </row>
    <row r="30">
      <c r="A30" s="5" t="inlineStr">
        <is>
          <t>Exit Year</t>
        </is>
      </c>
      <c r="B30" s="6" t="inlineStr">
        <is>
          <t>#</t>
        </is>
      </c>
      <c r="C30" s="6" t="inlineStr">
        <is>
          <t>Hold period</t>
        </is>
      </c>
      <c r="D30" s="14" t="n">
        <v>7</v>
      </c>
    </row>
    <row r="32">
      <c r="A32" s="3" t="inlineStr">
        <is>
          <t>VOLUME INPUTS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inlineStr">
        <is>
          <t>Y1 Volume</t>
        </is>
      </c>
      <c r="B33" s="6" t="inlineStr">
        <is>
          <t>MMcf/d</t>
        </is>
      </c>
      <c r="C33" s="6" t="inlineStr">
        <is>
          <t>Daily throughput</t>
        </is>
      </c>
      <c r="D33" s="14" t="n">
        <v>80</v>
      </c>
    </row>
    <row r="34">
      <c r="A34" s="5" t="inlineStr">
        <is>
          <t>Growth Rate Y1-Y5</t>
        </is>
      </c>
      <c r="B34" s="6" t="inlineStr">
        <is>
          <t>%/yr</t>
        </is>
      </c>
      <c r="C34" s="6" t="inlineStr">
        <is>
          <t>Drilling phase</t>
        </is>
      </c>
      <c r="D34" s="30" t="n">
        <v>0.03</v>
      </c>
    </row>
    <row r="35">
      <c r="A35" s="5" t="inlineStr">
        <is>
          <t>Decline Rate Y6-Y10</t>
        </is>
      </c>
      <c r="B35" s="6" t="inlineStr">
        <is>
          <t>%/yr</t>
        </is>
      </c>
      <c r="C35" s="6" t="inlineStr">
        <is>
          <t>Depletion phase</t>
        </is>
      </c>
      <c r="D35" s="30" t="n">
        <v>0.05</v>
      </c>
    </row>
    <row r="37">
      <c r="A37" s="3" t="inlineStr">
        <is>
          <t>PRICING INPUTS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inlineStr">
        <is>
          <t>Total Fee</t>
        </is>
      </c>
      <c r="B38" s="6" t="inlineStr">
        <is>
          <t>$/Mcf</t>
        </is>
      </c>
      <c r="C38" s="6" t="inlineStr">
        <is>
          <t>Gathering + compression</t>
        </is>
      </c>
      <c r="D38" s="15" t="n">
        <v>0.55</v>
      </c>
    </row>
    <row r="39">
      <c r="A39" s="5" t="inlineStr">
        <is>
          <t>Fee Escalation</t>
        </is>
      </c>
      <c r="B39" s="6" t="inlineStr">
        <is>
          <t>%/yr</t>
        </is>
      </c>
      <c r="C39" s="6" t="inlineStr">
        <is>
          <t>Contract escalation</t>
        </is>
      </c>
      <c r="D39" s="30" t="n">
        <v>0.02</v>
      </c>
    </row>
    <row r="41">
      <c r="A41" s="3" t="inlineStr">
        <is>
          <t>COST INPUTS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inlineStr">
        <is>
          <t>O&amp;M Y1</t>
        </is>
      </c>
      <c r="B42" s="6" t="inlineStr">
        <is>
          <t>$mm</t>
        </is>
      </c>
      <c r="C42" s="6" t="inlineStr">
        <is>
          <t>Operating costs</t>
        </is>
      </c>
      <c r="D42" s="11" t="n">
        <v>3.5</v>
      </c>
    </row>
    <row r="43">
      <c r="A43" s="5" t="inlineStr">
        <is>
          <t>O&amp;M Escalation</t>
        </is>
      </c>
      <c r="B43" s="6" t="inlineStr">
        <is>
          <t>%/yr</t>
        </is>
      </c>
      <c r="C43" s="6" t="inlineStr">
        <is>
          <t>Cost escalation</t>
        </is>
      </c>
      <c r="D43" s="30" t="n">
        <v>0.025</v>
      </c>
    </row>
    <row r="44">
      <c r="A44" s="5" t="inlineStr">
        <is>
          <t>Growth Capex Y1-Y5</t>
        </is>
      </c>
      <c r="B44" s="6" t="inlineStr">
        <is>
          <t>$mm/yr</t>
        </is>
      </c>
      <c r="C44" s="6" t="inlineStr">
        <is>
          <t>Compression, looping</t>
        </is>
      </c>
      <c r="D44" s="11" t="n">
        <v>2</v>
      </c>
    </row>
    <row r="46">
      <c r="A46" s="3" t="inlineStr">
        <is>
          <t>FINANCING INPUTS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Leverage</t>
        </is>
      </c>
      <c r="B47" s="6" t="inlineStr">
        <is>
          <t>%</t>
        </is>
      </c>
      <c r="C47" s="6" t="inlineStr">
        <is>
          <t>Debt / Entry EV</t>
        </is>
      </c>
      <c r="D47" s="30" t="n">
        <v>0.3</v>
      </c>
    </row>
    <row r="48">
      <c r="A48" s="5" t="inlineStr">
        <is>
          <t>Interest Rate</t>
        </is>
      </c>
      <c r="B48" s="6" t="inlineStr">
        <is>
          <t>%</t>
        </is>
      </c>
      <c r="C48" s="6" t="inlineStr">
        <is>
          <t>Higher (basin risk)</t>
        </is>
      </c>
      <c r="D48" s="30" t="n">
        <v>0.07000000000000001</v>
      </c>
    </row>
    <row r="49">
      <c r="A49" s="5" t="inlineStr">
        <is>
          <t>Debt Tenor</t>
        </is>
      </c>
      <c r="B49" s="6" t="inlineStr">
        <is>
          <t>years</t>
        </is>
      </c>
      <c r="C49" s="6" t="inlineStr">
        <is>
          <t>Short - pre-decline</t>
        </is>
      </c>
      <c r="D49" s="14" t="n">
        <v>5</v>
      </c>
    </row>
    <row r="50">
      <c r="A50" s="5" t="inlineStr">
        <is>
          <t>DSRA Months</t>
        </is>
      </c>
      <c r="B50" s="6" t="inlineStr">
        <is>
          <t>months</t>
        </is>
      </c>
      <c r="C50" s="6" t="inlineStr">
        <is>
          <t>Debt service reserve</t>
        </is>
      </c>
      <c r="D50" s="14" t="n">
        <v>6</v>
      </c>
    </row>
    <row r="51">
      <c r="A51" s="5" t="inlineStr">
        <is>
          <t>Cash Sweep %</t>
        </is>
      </c>
      <c r="B51" s="6" t="inlineStr">
        <is>
          <t>%</t>
        </is>
      </c>
      <c r="C51" s="6" t="inlineStr">
        <is>
          <t>Aggressive paydown</t>
        </is>
      </c>
      <c r="D51" s="30" t="n">
        <v>0.75</v>
      </c>
    </row>
    <row r="52">
      <c r="A52" s="5" t="inlineStr">
        <is>
          <t>Lock-up DSCR</t>
        </is>
      </c>
      <c r="B52" s="6" t="inlineStr">
        <is>
          <t>x</t>
        </is>
      </c>
      <c r="C52" s="6" t="inlineStr">
        <is>
          <t>Distribution threshold</t>
        </is>
      </c>
      <c r="D52" s="31" t="n">
        <v>1.1</v>
      </c>
    </row>
    <row r="54">
      <c r="A54" s="3" t="inlineStr">
        <is>
          <t>TAX INPUTS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Tax Rate</t>
        </is>
      </c>
      <c r="B55" s="6" t="inlineStr">
        <is>
          <t>%</t>
        </is>
      </c>
      <c r="C55" s="6" t="inlineStr">
        <is>
          <t>Blended federal + state</t>
        </is>
      </c>
      <c r="D55" s="30" t="n">
        <v>0.25</v>
      </c>
    </row>
    <row r="56">
      <c r="A56" s="5" t="inlineStr">
        <is>
          <t>Depreciable Basis</t>
        </is>
      </c>
      <c r="B56" s="6" t="inlineStr">
        <is>
          <t>%</t>
        </is>
      </c>
      <c r="C56" s="6" t="inlineStr">
        <is>
          <t>% of EV for depreciation</t>
        </is>
      </c>
      <c r="D56" s="30" t="n">
        <v>0.8</v>
      </c>
    </row>
    <row r="57">
      <c r="A57" s="5" t="inlineStr">
        <is>
          <t>Depreciation Life</t>
        </is>
      </c>
      <c r="B57" s="6" t="inlineStr">
        <is>
          <t>years</t>
        </is>
      </c>
      <c r="C57" s="6" t="inlineStr">
        <is>
          <t>Straight-line</t>
        </is>
      </c>
      <c r="D57" s="14" t="n">
        <v>15</v>
      </c>
    </row>
    <row r="59">
      <c r="A59" s="3" t="inlineStr">
        <is>
          <t>CALCULATED ITEMS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inlineStr">
        <is>
          <t>Debt Amount</t>
        </is>
      </c>
      <c r="B60" s="6" t="inlineStr">
        <is>
          <t>$mm</t>
        </is>
      </c>
      <c r="C60" s="6" t="inlineStr">
        <is>
          <t>Entry EV × Leverage</t>
        </is>
      </c>
      <c r="D60" s="16">
        <f>$D$17*$D$37</f>
        <v/>
      </c>
    </row>
    <row r="61">
      <c r="A61" s="5" t="inlineStr">
        <is>
          <t>Annual Depreciation</t>
        </is>
      </c>
      <c r="B61" s="6" t="inlineStr">
        <is>
          <t>$mm</t>
        </is>
      </c>
      <c r="C61" s="6" t="inlineStr">
        <is>
          <t>EV × Basis / Life</t>
        </is>
      </c>
      <c r="D61" s="16">
        <f>$D$17*$D$46/$D$47</f>
        <v/>
      </c>
    </row>
    <row r="62">
      <c r="A62" s="5" t="inlineStr">
        <is>
          <t>Scheduled Principal</t>
        </is>
      </c>
      <c r="B62" s="6" t="inlineStr">
        <is>
          <t>$mm/yr</t>
        </is>
      </c>
      <c r="C62" s="6" t="inlineStr">
        <is>
          <t>Debt / Tenor</t>
        </is>
      </c>
      <c r="D62" s="16">
        <f>$D$50/$D$39</f>
        <v/>
      </c>
    </row>
    <row r="64">
      <c r="A64" s="3" t="inlineStr">
        <is>
          <t>OPERATING MODEL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Daily Volume</t>
        </is>
      </c>
      <c r="B65" s="6" t="inlineStr">
        <is>
          <t>MMcf/d</t>
        </is>
      </c>
      <c r="C65" s="6" t="inlineStr">
        <is>
          <t>Growth then decline</t>
        </is>
      </c>
      <c r="E65" s="17">
        <f>$D$23*(1+$D$24)^(1-1)</f>
        <v/>
      </c>
      <c r="F65" s="17">
        <f>$D$23*(1+$D$24)^(2-1)</f>
        <v/>
      </c>
      <c r="G65" s="17">
        <f>$D$23*(1+$D$24)^(3-1)</f>
        <v/>
      </c>
      <c r="H65" s="17">
        <f>$D$23*(1+$D$24)^(4-1)</f>
        <v/>
      </c>
      <c r="I65" s="17">
        <f>$D$23*(1+$D$24)^(5-1)</f>
        <v/>
      </c>
      <c r="J65" s="17">
        <f>$D$23*(1+$D$24)^4*(1-$D$25)^(6-5)</f>
        <v/>
      </c>
      <c r="K65" s="17">
        <f>$D$23*(1+$D$24)^4*(1-$D$25)^(7-5)</f>
        <v/>
      </c>
      <c r="L65" s="17">
        <f>$D$23*(1+$D$24)^4*(1-$D$25)^(8-5)</f>
        <v/>
      </c>
      <c r="M65" s="17">
        <f>$D$23*(1+$D$24)^4*(1-$D$25)^(9-5)</f>
        <v/>
      </c>
      <c r="N65" s="17">
        <f>$D$23*(1+$D$24)^4*(1-$D$25)^(10-5)</f>
        <v/>
      </c>
    </row>
    <row r="66">
      <c r="A66" s="5" t="inlineStr">
        <is>
          <t>Annual Volume</t>
        </is>
      </c>
      <c r="B66" s="6" t="inlineStr">
        <is>
          <t>Bcf</t>
        </is>
      </c>
      <c r="C66" s="6" t="inlineStr">
        <is>
          <t>Daily × 365 / 1000</t>
        </is>
      </c>
      <c r="E66" s="17">
        <f>E55*365/1000</f>
        <v/>
      </c>
      <c r="F66" s="17">
        <f>F55*365/1000</f>
        <v/>
      </c>
      <c r="G66" s="17">
        <f>G55*365/1000</f>
        <v/>
      </c>
      <c r="H66" s="17">
        <f>H55*365/1000</f>
        <v/>
      </c>
      <c r="I66" s="17">
        <f>I55*365/1000</f>
        <v/>
      </c>
      <c r="J66" s="17">
        <f>J55*365/1000</f>
        <v/>
      </c>
      <c r="K66" s="17">
        <f>K55*365/1000</f>
        <v/>
      </c>
      <c r="L66" s="17">
        <f>L55*365/1000</f>
        <v/>
      </c>
      <c r="M66" s="17">
        <f>M55*365/1000</f>
        <v/>
      </c>
      <c r="N66" s="17">
        <f>N55*365/1000</f>
        <v/>
      </c>
    </row>
    <row r="67">
      <c r="A67" s="5" t="inlineStr">
        <is>
          <t>Fee</t>
        </is>
      </c>
      <c r="B67" s="6" t="inlineStr">
        <is>
          <t>$/Mcf</t>
        </is>
      </c>
      <c r="C67" s="6" t="inlineStr">
        <is>
          <t>Escalated</t>
        </is>
      </c>
      <c r="E67" s="18">
        <f>$D$28*(1+$D$29)^(1-1)</f>
        <v/>
      </c>
      <c r="F67" s="18">
        <f>$D$28*(1+$D$29)^(2-1)</f>
        <v/>
      </c>
      <c r="G67" s="18">
        <f>$D$28*(1+$D$29)^(3-1)</f>
        <v/>
      </c>
      <c r="H67" s="18">
        <f>$D$28*(1+$D$29)^(4-1)</f>
        <v/>
      </c>
      <c r="I67" s="18">
        <f>$D$28*(1+$D$29)^(5-1)</f>
        <v/>
      </c>
      <c r="J67" s="18">
        <f>$D$28*(1+$D$29)^(6-1)</f>
        <v/>
      </c>
      <c r="K67" s="18">
        <f>$D$28*(1+$D$29)^(7-1)</f>
        <v/>
      </c>
      <c r="L67" s="18">
        <f>$D$28*(1+$D$29)^(8-1)</f>
        <v/>
      </c>
      <c r="M67" s="18">
        <f>$D$28*(1+$D$29)^(9-1)</f>
        <v/>
      </c>
      <c r="N67" s="18">
        <f>$D$28*(1+$D$29)^(10-1)</f>
        <v/>
      </c>
    </row>
    <row r="69">
      <c r="A69" s="5" t="inlineStr">
        <is>
          <t>Revenue</t>
        </is>
      </c>
      <c r="B69" s="6" t="inlineStr">
        <is>
          <t>$mm</t>
        </is>
      </c>
      <c r="C69" s="6" t="inlineStr">
        <is>
          <t>Volume(Bcf) × Fee × 1000</t>
        </is>
      </c>
      <c r="E69" s="16">
        <f>E56*E57</f>
        <v/>
      </c>
      <c r="F69" s="16">
        <f>F56*F57</f>
        <v/>
      </c>
      <c r="G69" s="16">
        <f>G56*G57</f>
        <v/>
      </c>
      <c r="H69" s="16">
        <f>H56*H57</f>
        <v/>
      </c>
      <c r="I69" s="16">
        <f>I56*I57</f>
        <v/>
      </c>
      <c r="J69" s="16">
        <f>J56*J57</f>
        <v/>
      </c>
      <c r="K69" s="16">
        <f>K56*K57</f>
        <v/>
      </c>
      <c r="L69" s="16">
        <f>L56*L57</f>
        <v/>
      </c>
      <c r="M69" s="16">
        <f>M56*M57</f>
        <v/>
      </c>
      <c r="N69" s="16">
        <f>N56*N57</f>
        <v/>
      </c>
    </row>
    <row r="70">
      <c r="A70" s="5" t="inlineStr">
        <is>
          <t>O&amp;M Cost</t>
        </is>
      </c>
      <c r="B70" s="6" t="inlineStr">
        <is>
          <t>$mm</t>
        </is>
      </c>
      <c r="C70" s="6" t="inlineStr">
        <is>
          <t>Escalated</t>
        </is>
      </c>
      <c r="E70" s="16">
        <f>$D$32*(1+$D$33)^(1-1)</f>
        <v/>
      </c>
      <c r="F70" s="16">
        <f>$D$32*(1+$D$33)^(2-1)</f>
        <v/>
      </c>
      <c r="G70" s="16">
        <f>$D$32*(1+$D$33)^(3-1)</f>
        <v/>
      </c>
      <c r="H70" s="16">
        <f>$D$32*(1+$D$33)^(4-1)</f>
        <v/>
      </c>
      <c r="I70" s="16">
        <f>$D$32*(1+$D$33)^(5-1)</f>
        <v/>
      </c>
      <c r="J70" s="16">
        <f>$D$32*(1+$D$33)^(6-1)</f>
        <v/>
      </c>
      <c r="K70" s="16">
        <f>$D$32*(1+$D$33)^(7-1)</f>
        <v/>
      </c>
      <c r="L70" s="16">
        <f>$D$32*(1+$D$33)^(8-1)</f>
        <v/>
      </c>
      <c r="M70" s="16">
        <f>$D$32*(1+$D$33)^(9-1)</f>
        <v/>
      </c>
      <c r="N70" s="16">
        <f>$D$32*(1+$D$33)^(10-1)</f>
        <v/>
      </c>
    </row>
    <row r="72">
      <c r="A72" s="5" t="inlineStr">
        <is>
          <t>EBITDA</t>
        </is>
      </c>
      <c r="B72" s="6" t="inlineStr">
        <is>
          <t>$mm</t>
        </is>
      </c>
      <c r="C72" s="6" t="inlineStr"/>
      <c r="E72" s="7">
        <f>E59-E60</f>
        <v/>
      </c>
      <c r="F72" s="7">
        <f>F59-F60</f>
        <v/>
      </c>
      <c r="G72" s="7">
        <f>G59-G60</f>
        <v/>
      </c>
      <c r="H72" s="7">
        <f>H59-H60</f>
        <v/>
      </c>
      <c r="I72" s="7">
        <f>I59-I60</f>
        <v/>
      </c>
      <c r="J72" s="7">
        <f>J59-J60</f>
        <v/>
      </c>
      <c r="K72" s="7">
        <f>K59-K60</f>
        <v/>
      </c>
      <c r="L72" s="7">
        <f>L59-L60</f>
        <v/>
      </c>
      <c r="M72" s="7">
        <f>M59-M60</f>
        <v/>
      </c>
      <c r="N72" s="7">
        <f>N59-N60</f>
        <v/>
      </c>
    </row>
    <row r="74">
      <c r="A74" s="3" t="inlineStr">
        <is>
          <t>CASH FLOW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5" t="inlineStr">
        <is>
          <t>EBIT</t>
        </is>
      </c>
      <c r="B75" s="6" t="inlineStr">
        <is>
          <t>$mm</t>
        </is>
      </c>
      <c r="C75" s="6" t="inlineStr">
        <is>
          <t>EBITDA - Depreciation</t>
        </is>
      </c>
      <c r="E75" s="16">
        <f>E62-$D$51</f>
        <v/>
      </c>
      <c r="F75" s="16">
        <f>F62-$D$51</f>
        <v/>
      </c>
      <c r="G75" s="16">
        <f>G62-$D$51</f>
        <v/>
      </c>
      <c r="H75" s="16">
        <f>H62-$D$51</f>
        <v/>
      </c>
      <c r="I75" s="16">
        <f>I62-$D$51</f>
        <v/>
      </c>
      <c r="J75" s="16">
        <f>J62-$D$51</f>
        <v/>
      </c>
      <c r="K75" s="16">
        <f>K62-$D$51</f>
        <v/>
      </c>
      <c r="L75" s="16">
        <f>L62-$D$51</f>
        <v/>
      </c>
      <c r="M75" s="16">
        <f>M62-$D$51</f>
        <v/>
      </c>
      <c r="N75" s="16">
        <f>N62-$D$51</f>
        <v/>
      </c>
    </row>
    <row r="76">
      <c r="A76" s="5" t="inlineStr">
        <is>
          <t>Taxes</t>
        </is>
      </c>
      <c r="B76" s="6" t="inlineStr">
        <is>
          <t>$mm</t>
        </is>
      </c>
      <c r="C76" s="6" t="inlineStr">
        <is>
          <t>MAX(0, EBIT) × Tax Rate</t>
        </is>
      </c>
      <c r="E76" s="16">
        <f>MAX(0,E65)*$D$45</f>
        <v/>
      </c>
      <c r="F76" s="16">
        <f>MAX(0,F65)*$D$45</f>
        <v/>
      </c>
      <c r="G76" s="16">
        <f>MAX(0,G65)*$D$45</f>
        <v/>
      </c>
      <c r="H76" s="16">
        <f>MAX(0,H65)*$D$45</f>
        <v/>
      </c>
      <c r="I76" s="16">
        <f>MAX(0,I65)*$D$45</f>
        <v/>
      </c>
      <c r="J76" s="16">
        <f>MAX(0,J65)*$D$45</f>
        <v/>
      </c>
      <c r="K76" s="16">
        <f>MAX(0,K65)*$D$45</f>
        <v/>
      </c>
      <c r="L76" s="16">
        <f>MAX(0,L65)*$D$45</f>
        <v/>
      </c>
      <c r="M76" s="16">
        <f>MAX(0,M65)*$D$45</f>
        <v/>
      </c>
      <c r="N76" s="16">
        <f>MAX(0,N65)*$D$45</f>
        <v/>
      </c>
    </row>
    <row r="77">
      <c r="A77" s="5" t="inlineStr">
        <is>
          <t>Growth Capex</t>
        </is>
      </c>
      <c r="B77" s="6" t="inlineStr">
        <is>
          <t>$mm</t>
        </is>
      </c>
      <c r="C77" s="6" t="inlineStr">
        <is>
          <t>Y1-Y5 only</t>
        </is>
      </c>
      <c r="E77" s="19">
        <f>IF(1&lt;=5,$D$34,0)</f>
        <v/>
      </c>
      <c r="F77" s="19">
        <f>IF(2&lt;=5,$D$34,0)</f>
        <v/>
      </c>
      <c r="G77" s="19">
        <f>IF(3&lt;=5,$D$34,0)</f>
        <v/>
      </c>
      <c r="H77" s="19">
        <f>IF(4&lt;=5,$D$34,0)</f>
        <v/>
      </c>
      <c r="I77" s="19">
        <f>IF(5&lt;=5,$D$34,0)</f>
        <v/>
      </c>
      <c r="J77" s="19">
        <f>IF(6&lt;=5,$D$34,0)</f>
        <v/>
      </c>
      <c r="K77" s="19">
        <f>IF(7&lt;=5,$D$34,0)</f>
        <v/>
      </c>
      <c r="L77" s="19">
        <f>IF(8&lt;=5,$D$34,0)</f>
        <v/>
      </c>
      <c r="M77" s="19">
        <f>IF(9&lt;=5,$D$34,0)</f>
        <v/>
      </c>
      <c r="N77" s="19">
        <f>IF(10&lt;=5,$D$34,0)</f>
        <v/>
      </c>
    </row>
    <row r="78">
      <c r="A78" s="5" t="inlineStr">
        <is>
          <t>CFADS</t>
        </is>
      </c>
      <c r="B78" s="6" t="inlineStr">
        <is>
          <t>$mm</t>
        </is>
      </c>
      <c r="C78" s="6" t="inlineStr">
        <is>
          <t>EBITDA - Taxes - Capex</t>
        </is>
      </c>
      <c r="E78" s="7">
        <f>E62-E66-E67</f>
        <v/>
      </c>
      <c r="F78" s="7">
        <f>F62-F66-F67</f>
        <v/>
      </c>
      <c r="G78" s="7">
        <f>G62-G66-G67</f>
        <v/>
      </c>
      <c r="H78" s="7">
        <f>H62-H66-H67</f>
        <v/>
      </c>
      <c r="I78" s="7">
        <f>I62-I66-I67</f>
        <v/>
      </c>
      <c r="J78" s="7">
        <f>J62-J66-J67</f>
        <v/>
      </c>
      <c r="K78" s="7">
        <f>K62-K66-K67</f>
        <v/>
      </c>
      <c r="L78" s="7">
        <f>L62-L66-L67</f>
        <v/>
      </c>
      <c r="M78" s="7">
        <f>M62-M66-M67</f>
        <v/>
      </c>
      <c r="N78" s="7">
        <f>N62-N66-N67</f>
        <v/>
      </c>
    </row>
    <row r="80">
      <c r="A80" s="3" t="inlineStr">
        <is>
          <t>DEBT SCHEDULE (75% Sweep, 5-Year Tenor)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Beginning Balance</t>
        </is>
      </c>
      <c r="B81" s="6" t="inlineStr">
        <is>
          <t>$mm</t>
        </is>
      </c>
      <c r="C81" s="6" t="inlineStr"/>
      <c r="E81" s="16">
        <f>$D$50</f>
        <v/>
      </c>
      <c r="F81" s="16">
        <f>E78</f>
        <v/>
      </c>
      <c r="G81" s="16">
        <f>F78</f>
        <v/>
      </c>
      <c r="H81" s="16">
        <f>G78</f>
        <v/>
      </c>
      <c r="I81" s="16">
        <f>H78</f>
        <v/>
      </c>
      <c r="J81" s="16">
        <f>I78</f>
        <v/>
      </c>
      <c r="K81" s="16">
        <f>J78</f>
        <v/>
      </c>
      <c r="L81" s="16">
        <f>K78</f>
        <v/>
      </c>
      <c r="M81" s="16">
        <f>L78</f>
        <v/>
      </c>
      <c r="N81" s="16">
        <f>M78</f>
        <v/>
      </c>
    </row>
    <row r="82">
      <c r="A82" s="5" t="inlineStr">
        <is>
          <t>Interest</t>
        </is>
      </c>
      <c r="B82" s="6" t="inlineStr">
        <is>
          <t>$mm</t>
        </is>
      </c>
      <c r="C82" s="6" t="inlineStr">
        <is>
          <t>Beg Bal × Int Rate</t>
        </is>
      </c>
      <c r="E82" s="16">
        <f>E71*$D$38</f>
        <v/>
      </c>
      <c r="F82" s="16">
        <f>F71*$D$38</f>
        <v/>
      </c>
      <c r="G82" s="16">
        <f>G71*$D$38</f>
        <v/>
      </c>
      <c r="H82" s="16">
        <f>H71*$D$38</f>
        <v/>
      </c>
      <c r="I82" s="16">
        <f>I71*$D$38</f>
        <v/>
      </c>
      <c r="J82" s="16">
        <f>J71*$D$38</f>
        <v/>
      </c>
      <c r="K82" s="16">
        <f>K71*$D$38</f>
        <v/>
      </c>
      <c r="L82" s="16">
        <f>L71*$D$38</f>
        <v/>
      </c>
      <c r="M82" s="16">
        <f>M71*$D$38</f>
        <v/>
      </c>
      <c r="N82" s="16">
        <f>N71*$D$38</f>
        <v/>
      </c>
    </row>
    <row r="83">
      <c r="A83" s="5" t="inlineStr">
        <is>
          <t>Scheduled Principal</t>
        </is>
      </c>
      <c r="B83" s="6" t="inlineStr">
        <is>
          <t>$mm</t>
        </is>
      </c>
      <c r="C83" s="6" t="inlineStr">
        <is>
          <t>MIN(Sched, Beg Bal)</t>
        </is>
      </c>
      <c r="E83" s="16">
        <f>MIN($D$52,E71)</f>
        <v/>
      </c>
      <c r="F83" s="16">
        <f>MIN($D$52,F71)</f>
        <v/>
      </c>
      <c r="G83" s="16">
        <f>MIN($D$52,G71)</f>
        <v/>
      </c>
      <c r="H83" s="16">
        <f>MIN($D$52,H71)</f>
        <v/>
      </c>
      <c r="I83" s="16">
        <f>MIN($D$52,I71)</f>
        <v/>
      </c>
      <c r="J83" s="16">
        <f>MIN($D$52,J71)</f>
        <v/>
      </c>
      <c r="K83" s="16">
        <f>MIN($D$52,K71)</f>
        <v/>
      </c>
      <c r="L83" s="16">
        <f>MIN($D$52,L71)</f>
        <v/>
      </c>
      <c r="M83" s="16">
        <f>MIN($D$52,M71)</f>
        <v/>
      </c>
      <c r="N83" s="16">
        <f>MIN($D$52,N71)</f>
        <v/>
      </c>
    </row>
    <row r="84">
      <c r="A84" s="5" t="inlineStr">
        <is>
          <t>Debt Service (Pre-Sweep)</t>
        </is>
      </c>
      <c r="B84" s="6" t="inlineStr">
        <is>
          <t>$mm</t>
        </is>
      </c>
      <c r="C84" s="6" t="inlineStr">
        <is>
          <t>Interest + Sched Prin</t>
        </is>
      </c>
      <c r="E84" s="16">
        <f>E72+E73</f>
        <v/>
      </c>
      <c r="F84" s="16">
        <f>F72+F73</f>
        <v/>
      </c>
      <c r="G84" s="16">
        <f>G72+G73</f>
        <v/>
      </c>
      <c r="H84" s="16">
        <f>H72+H73</f>
        <v/>
      </c>
      <c r="I84" s="16">
        <f>I72+I73</f>
        <v/>
      </c>
      <c r="J84" s="16">
        <f>J72+J73</f>
        <v/>
      </c>
      <c r="K84" s="16">
        <f>K72+K73</f>
        <v/>
      </c>
      <c r="L84" s="16">
        <f>L72+L73</f>
        <v/>
      </c>
      <c r="M84" s="16">
        <f>M72+M73</f>
        <v/>
      </c>
      <c r="N84" s="16">
        <f>N72+N73</f>
        <v/>
      </c>
    </row>
    <row r="85">
      <c r="A85" s="5" t="inlineStr">
        <is>
          <t>Excess Cash</t>
        </is>
      </c>
      <c r="B85" s="6" t="inlineStr">
        <is>
          <t>$mm</t>
        </is>
      </c>
      <c r="C85" s="6" t="inlineStr">
        <is>
          <t>CFADS - DS - DSRA Funding</t>
        </is>
      </c>
      <c r="E85" s="16">
        <f>MAX(0,E68-E74-E85)</f>
        <v/>
      </c>
      <c r="F85" s="16">
        <f>MAX(0,F68-F74-F85)</f>
        <v/>
      </c>
      <c r="G85" s="16">
        <f>MAX(0,G68-G74-G85)</f>
        <v/>
      </c>
      <c r="H85" s="16">
        <f>MAX(0,H68-H74-H85)</f>
        <v/>
      </c>
      <c r="I85" s="16">
        <f>MAX(0,I68-I74-I85)</f>
        <v/>
      </c>
      <c r="J85" s="16">
        <f>MAX(0,J68-J74-J85)</f>
        <v/>
      </c>
      <c r="K85" s="16">
        <f>MAX(0,K68-K74-K85)</f>
        <v/>
      </c>
      <c r="L85" s="16">
        <f>MAX(0,L68-L74-L85)</f>
        <v/>
      </c>
      <c r="M85" s="16">
        <f>MAX(0,M68-M74-M85)</f>
        <v/>
      </c>
      <c r="N85" s="16">
        <f>MAX(0,N68-N74-N85)</f>
        <v/>
      </c>
    </row>
    <row r="86">
      <c r="A86" s="5" t="inlineStr">
        <is>
          <t>Cash Sweep</t>
        </is>
      </c>
      <c r="B86" s="6" t="inlineStr">
        <is>
          <t>$mm</t>
        </is>
      </c>
      <c r="C86" s="6" t="inlineStr">
        <is>
          <t>MIN(Excess×75%, Beg-Sched)</t>
        </is>
      </c>
      <c r="E86" s="19">
        <f>MIN(MAX(0,E75)*$D$41,MAX(0,E71-E73))</f>
        <v/>
      </c>
      <c r="F86" s="19">
        <f>MIN(MAX(0,F75)*$D$41,MAX(0,F71-F73))</f>
        <v/>
      </c>
      <c r="G86" s="19">
        <f>MIN(MAX(0,G75)*$D$41,MAX(0,G71-G73))</f>
        <v/>
      </c>
      <c r="H86" s="19">
        <f>MIN(MAX(0,H75)*$D$41,MAX(0,H71-H73))</f>
        <v/>
      </c>
      <c r="I86" s="19">
        <f>MIN(MAX(0,I75)*$D$41,MAX(0,I71-I73))</f>
        <v/>
      </c>
      <c r="J86" s="19">
        <f>MIN(MAX(0,J75)*$D$41,MAX(0,J71-J73))</f>
        <v/>
      </c>
      <c r="K86" s="19">
        <f>MIN(MAX(0,K75)*$D$41,MAX(0,K71-K73))</f>
        <v/>
      </c>
      <c r="L86" s="19">
        <f>MIN(MAX(0,L75)*$D$41,MAX(0,L71-L73))</f>
        <v/>
      </c>
      <c r="M86" s="19">
        <f>MIN(MAX(0,M75)*$D$41,MAX(0,M71-M73))</f>
        <v/>
      </c>
      <c r="N86" s="19">
        <f>MIN(MAX(0,N75)*$D$41,MAX(0,N71-N73))</f>
        <v/>
      </c>
    </row>
    <row r="87">
      <c r="A87" s="5" t="inlineStr">
        <is>
          <t>Total Principal</t>
        </is>
      </c>
      <c r="B87" s="6" t="inlineStr">
        <is>
          <t>$mm</t>
        </is>
      </c>
      <c r="C87" s="6" t="inlineStr">
        <is>
          <t>Scheduled + Sweep</t>
        </is>
      </c>
      <c r="E87" s="16">
        <f>E73+E76</f>
        <v/>
      </c>
      <c r="F87" s="16">
        <f>F73+F76</f>
        <v/>
      </c>
      <c r="G87" s="16">
        <f>G73+G76</f>
        <v/>
      </c>
      <c r="H87" s="16">
        <f>H73+H76</f>
        <v/>
      </c>
      <c r="I87" s="16">
        <f>I73+I76</f>
        <v/>
      </c>
      <c r="J87" s="16">
        <f>J73+J76</f>
        <v/>
      </c>
      <c r="K87" s="16">
        <f>K73+K76</f>
        <v/>
      </c>
      <c r="L87" s="16">
        <f>L73+L76</f>
        <v/>
      </c>
      <c r="M87" s="16">
        <f>M73+M76</f>
        <v/>
      </c>
      <c r="N87" s="16">
        <f>N73+N76</f>
        <v/>
      </c>
    </row>
    <row r="88">
      <c r="A88" s="5" t="inlineStr">
        <is>
          <t>Ending Balance</t>
        </is>
      </c>
      <c r="B88" s="6" t="inlineStr">
        <is>
          <t>$mm</t>
        </is>
      </c>
      <c r="C88" s="6" t="inlineStr">
        <is>
          <t>MAX(0, Beg - Total Prin)</t>
        </is>
      </c>
      <c r="E88" s="16">
        <f>MAX(0,E71-E77)</f>
        <v/>
      </c>
      <c r="F88" s="16">
        <f>MAX(0,F71-F77)</f>
        <v/>
      </c>
      <c r="G88" s="16">
        <f>MAX(0,G71-G77)</f>
        <v/>
      </c>
      <c r="H88" s="16">
        <f>MAX(0,H71-H77)</f>
        <v/>
      </c>
      <c r="I88" s="16">
        <f>MAX(0,I71-I77)</f>
        <v/>
      </c>
      <c r="J88" s="16">
        <f>MAX(0,J71-J77)</f>
        <v/>
      </c>
      <c r="K88" s="16">
        <f>MAX(0,K71-K77)</f>
        <v/>
      </c>
      <c r="L88" s="16">
        <f>MAX(0,L71-L77)</f>
        <v/>
      </c>
      <c r="M88" s="16">
        <f>MAX(0,M71-M77)</f>
        <v/>
      </c>
      <c r="N88" s="16">
        <f>MAX(0,N71-N77)</f>
        <v/>
      </c>
    </row>
    <row r="89">
      <c r="A89" s="5" t="inlineStr">
        <is>
          <t>DSCR</t>
        </is>
      </c>
      <c r="B89" s="6" t="inlineStr">
        <is>
          <t>x</t>
        </is>
      </c>
      <c r="C89" s="6" t="inlineStr">
        <is>
          <t>CFADS / Debt Service</t>
        </is>
      </c>
      <c r="E89" s="28">
        <f>IF(E74&gt;0,E68/E74,0)</f>
        <v/>
      </c>
      <c r="F89" s="28">
        <f>IF(F74&gt;0,F68/F74,0)</f>
        <v/>
      </c>
      <c r="G89" s="28">
        <f>IF(G74&gt;0,G68/G74,0)</f>
        <v/>
      </c>
      <c r="H89" s="28">
        <f>IF(H74&gt;0,H68/H74,0)</f>
        <v/>
      </c>
      <c r="I89" s="28">
        <f>IF(I74&gt;0,I68/I74,0)</f>
        <v/>
      </c>
      <c r="J89" s="28">
        <f>IF(J74&gt;0,J68/J74,0)</f>
        <v/>
      </c>
      <c r="K89" s="28">
        <f>IF(K74&gt;0,K68/K74,0)</f>
        <v/>
      </c>
      <c r="L89" s="28">
        <f>IF(L74&gt;0,L68/L74,0)</f>
        <v/>
      </c>
      <c r="M89" s="28">
        <f>IF(M74&gt;0,M68/M74,0)</f>
        <v/>
      </c>
      <c r="N89" s="28">
        <f>IF(N74&gt;0,N68/N74,0)</f>
        <v/>
      </c>
    </row>
    <row r="90">
      <c r="A90" s="5" t="inlineStr">
        <is>
          <t>Scheduled DS (for DSRA)</t>
        </is>
      </c>
      <c r="B90" s="6" t="inlineStr">
        <is>
          <t>$mm</t>
        </is>
      </c>
      <c r="C90" s="6" t="inlineStr">
        <is>
          <t>Based on straight-line amort, no sweep</t>
        </is>
      </c>
      <c r="E90" s="16">
        <f>MAX(0,$D$50-(1-1)*$D$52)*$D$38+$D$52</f>
        <v/>
      </c>
      <c r="F90" s="16">
        <f>MAX(0,$D$50-(2-1)*$D$52)*$D$38+$D$52</f>
        <v/>
      </c>
      <c r="G90" s="16">
        <f>MAX(0,$D$50-(3-1)*$D$52)*$D$38+$D$52</f>
        <v/>
      </c>
      <c r="H90" s="16">
        <f>MAX(0,$D$50-(4-1)*$D$52)*$D$38+$D$52</f>
        <v/>
      </c>
      <c r="I90" s="16">
        <f>MAX(0,$D$50-(5-1)*$D$52)*$D$38+$D$52</f>
        <v/>
      </c>
      <c r="J90" s="16">
        <f>MAX(0,$D$50-(6-1)*$D$52)*$D$38+$D$52</f>
        <v/>
      </c>
      <c r="K90" s="16">
        <f>MAX(0,$D$50-(7-1)*$D$52)*$D$38+$D$52</f>
        <v/>
      </c>
      <c r="L90" s="16">
        <f>MAX(0,$D$50-(8-1)*$D$52)*$D$38+$D$52</f>
        <v/>
      </c>
      <c r="M90" s="16">
        <f>MAX(0,$D$50-(9-1)*$D$52)*$D$38+$D$52</f>
        <v/>
      </c>
      <c r="N90" s="16">
        <f>MAX(0,$D$50-(10-1)*$D$52)*$D$38+$D$52</f>
        <v/>
      </c>
    </row>
    <row r="92">
      <c r="A92" s="3" t="inlineStr">
        <is>
          <t>DSRA (Debt Service Reserve Account)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5" t="inlineStr">
        <is>
          <t>DSRA Target</t>
        </is>
      </c>
      <c r="B93" s="6" t="inlineStr">
        <is>
          <t>$mm</t>
        </is>
      </c>
      <c r="C93" s="6" t="inlineStr">
        <is>
          <t>Next Yr Scheduled DS × DSRA Months / 12</t>
        </is>
      </c>
      <c r="D93" s="16">
        <f>E80*$D$40/12</f>
        <v/>
      </c>
      <c r="E93" s="16">
        <f>F80*$D$40/12</f>
        <v/>
      </c>
      <c r="F93" s="16">
        <f>G80*$D$40/12</f>
        <v/>
      </c>
      <c r="G93" s="16">
        <f>H80*$D$40/12</f>
        <v/>
      </c>
      <c r="H93" s="16">
        <f>I80*$D$40/12</f>
        <v/>
      </c>
      <c r="I93" s="16">
        <f>J80*$D$40/12</f>
        <v/>
      </c>
      <c r="J93" s="16">
        <f>K80*$D$40/12</f>
        <v/>
      </c>
      <c r="K93" s="16">
        <f>L80*$D$40/12</f>
        <v/>
      </c>
      <c r="L93" s="16">
        <f>M80*$D$40/12</f>
        <v/>
      </c>
      <c r="M93" s="16">
        <f>N80*$D$40/12</f>
        <v/>
      </c>
      <c r="N93" s="16">
        <f>0</f>
        <v/>
      </c>
    </row>
    <row r="94">
      <c r="A94" s="5" t="inlineStr">
        <is>
          <t>DSRA Beginning</t>
        </is>
      </c>
      <c r="B94" s="6" t="inlineStr">
        <is>
          <t>$mm</t>
        </is>
      </c>
      <c r="C94" s="6" t="inlineStr"/>
      <c r="D94" s="16">
        <f>0</f>
        <v/>
      </c>
      <c r="E94" s="16">
        <f>D86</f>
        <v/>
      </c>
      <c r="F94" s="16">
        <f>E86</f>
        <v/>
      </c>
      <c r="G94" s="16">
        <f>F86</f>
        <v/>
      </c>
      <c r="H94" s="16">
        <f>G86</f>
        <v/>
      </c>
      <c r="I94" s="16">
        <f>H86</f>
        <v/>
      </c>
      <c r="J94" s="16">
        <f>I86</f>
        <v/>
      </c>
      <c r="K94" s="16">
        <f>J86</f>
        <v/>
      </c>
      <c r="L94" s="16">
        <f>K86</f>
        <v/>
      </c>
      <c r="M94" s="16">
        <f>L86</f>
        <v/>
      </c>
      <c r="N94" s="16">
        <f>M86</f>
        <v/>
      </c>
    </row>
    <row r="95">
      <c r="A95" s="5" t="inlineStr">
        <is>
          <t>DSRA Funding/(Release)</t>
        </is>
      </c>
      <c r="B95" s="6" t="inlineStr">
        <is>
          <t>$mm</t>
        </is>
      </c>
      <c r="C95" s="6" t="inlineStr">
        <is>
          <t>Target - Beginning</t>
        </is>
      </c>
      <c r="D95" s="16">
        <f>D83-D84</f>
        <v/>
      </c>
      <c r="E95" s="16">
        <f>E83-E84</f>
        <v/>
      </c>
      <c r="F95" s="16">
        <f>F83-F84</f>
        <v/>
      </c>
      <c r="G95" s="16">
        <f>G83-G84</f>
        <v/>
      </c>
      <c r="H95" s="16">
        <f>H83-H84</f>
        <v/>
      </c>
      <c r="I95" s="16">
        <f>I83-I84</f>
        <v/>
      </c>
      <c r="J95" s="16">
        <f>J83-J84</f>
        <v/>
      </c>
      <c r="K95" s="16">
        <f>K83-K84</f>
        <v/>
      </c>
      <c r="L95" s="16">
        <f>L83-L84</f>
        <v/>
      </c>
      <c r="M95" s="16">
        <f>M83-M84</f>
        <v/>
      </c>
      <c r="N95" s="16">
        <f>N83-N84</f>
        <v/>
      </c>
    </row>
    <row r="96">
      <c r="A96" s="5" t="inlineStr">
        <is>
          <t>DSRA Ending</t>
        </is>
      </c>
      <c r="B96" s="6" t="inlineStr">
        <is>
          <t>$mm</t>
        </is>
      </c>
      <c r="C96" s="6" t="inlineStr">
        <is>
          <t>Beginning + Funding</t>
        </is>
      </c>
      <c r="D96" s="16">
        <f>D84+D85</f>
        <v/>
      </c>
      <c r="E96" s="16">
        <f>E84+E85</f>
        <v/>
      </c>
      <c r="F96" s="16">
        <f>F84+F85</f>
        <v/>
      </c>
      <c r="G96" s="16">
        <f>G84+G85</f>
        <v/>
      </c>
      <c r="H96" s="16">
        <f>H84+H85</f>
        <v/>
      </c>
      <c r="I96" s="16">
        <f>I84+I85</f>
        <v/>
      </c>
      <c r="J96" s="16">
        <f>J84+J85</f>
        <v/>
      </c>
      <c r="K96" s="16">
        <f>K84+K85</f>
        <v/>
      </c>
      <c r="L96" s="16">
        <f>L84+L85</f>
        <v/>
      </c>
      <c r="M96" s="16">
        <f>M84+M85</f>
        <v/>
      </c>
      <c r="N96" s="16">
        <f>N84+N85</f>
        <v/>
      </c>
    </row>
    <row r="97">
      <c r="A97" s="3" t="inlineStr">
        <is>
          <t>DISTRIBUTION WATERFALL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5" t="inlineStr">
        <is>
          <t>Cash Available for Distribution</t>
        </is>
      </c>
      <c r="B98" s="6" t="inlineStr">
        <is>
          <t>$mm</t>
        </is>
      </c>
      <c r="C98" s="6" t="inlineStr">
        <is>
          <t>CFADS - Total DS - DSRA Fund</t>
        </is>
      </c>
      <c r="E98" s="16">
        <f>E68-(E72+E77)-E85</f>
        <v/>
      </c>
      <c r="F98" s="16">
        <f>F68-(F72+F77)-F85</f>
        <v/>
      </c>
      <c r="G98" s="16">
        <f>G68-(G72+G77)-G85</f>
        <v/>
      </c>
      <c r="H98" s="16">
        <f>H68-(H72+H77)-H85</f>
        <v/>
      </c>
      <c r="I98" s="16">
        <f>I68-(I72+I77)-I85</f>
        <v/>
      </c>
      <c r="J98" s="16">
        <f>J68-(J72+J77)-J85</f>
        <v/>
      </c>
      <c r="K98" s="16">
        <f>K68-(K72+K77)-K85</f>
        <v/>
      </c>
      <c r="L98" s="16">
        <f>L68-(L72+L77)-L85</f>
        <v/>
      </c>
      <c r="M98" s="16">
        <f>M68-(M72+M77)-M85</f>
        <v/>
      </c>
      <c r="N98" s="16">
        <f>N68-(N72+N77)-N85</f>
        <v/>
      </c>
    </row>
    <row r="99">
      <c r="A99" s="5" t="inlineStr">
        <is>
          <t>Lock-up Test</t>
        </is>
      </c>
      <c r="B99" s="6" t="inlineStr"/>
      <c r="C99" s="6" t="inlineStr">
        <is>
          <t>PASS if DSCR ≥ Lock-up</t>
        </is>
      </c>
      <c r="E99" s="20">
        <f>IF(E79&gt;=$D$42,"PASS","LOCKED")</f>
        <v/>
      </c>
      <c r="F99" s="20">
        <f>IF(F79&gt;=$D$42,"PASS","LOCKED")</f>
        <v/>
      </c>
      <c r="G99" s="20">
        <f>IF(G79&gt;=$D$42,"PASS","LOCKED")</f>
        <v/>
      </c>
      <c r="H99" s="20">
        <f>IF(H79&gt;=$D$42,"PASS","LOCKED")</f>
        <v/>
      </c>
      <c r="I99" s="20">
        <f>IF(I79&gt;=$D$42,"PASS","LOCKED")</f>
        <v/>
      </c>
      <c r="J99" s="20">
        <f>IF(J79&gt;=$D$42,"PASS","LOCKED")</f>
        <v/>
      </c>
      <c r="K99" s="20">
        <f>IF(K79&gt;=$D$42,"PASS","LOCKED")</f>
        <v/>
      </c>
      <c r="L99" s="20">
        <f>IF(L79&gt;=$D$42,"PASS","LOCKED")</f>
        <v/>
      </c>
      <c r="M99" s="20">
        <f>IF(M79&gt;=$D$42,"PASS","LOCKED")</f>
        <v/>
      </c>
      <c r="N99" s="20">
        <f>IF(N79&gt;=$D$42,"PASS","LOCKED")</f>
        <v/>
      </c>
    </row>
    <row r="100">
      <c r="A100" s="5" t="inlineStr">
        <is>
          <t>Distributable Cash</t>
        </is>
      </c>
      <c r="B100" s="6" t="inlineStr">
        <is>
          <t>$mm</t>
        </is>
      </c>
      <c r="C100" s="6" t="inlineStr">
        <is>
          <t>If PASS, MAX(0, Cash Avail)</t>
        </is>
      </c>
      <c r="E100" s="7">
        <f>IF(E89="PASS",MAX(0,E88),0)</f>
        <v/>
      </c>
      <c r="F100" s="7">
        <f>IF(F89="PASS",MAX(0,F88),0)</f>
        <v/>
      </c>
      <c r="G100" s="7">
        <f>IF(G89="PASS",MAX(0,G88),0)</f>
        <v/>
      </c>
      <c r="H100" s="7">
        <f>IF(H89="PASS",MAX(0,H88),0)</f>
        <v/>
      </c>
      <c r="I100" s="7">
        <f>IF(I89="PASS",MAX(0,I88),0)</f>
        <v/>
      </c>
      <c r="J100" s="7">
        <f>IF(J89="PASS",MAX(0,J88),0)</f>
        <v/>
      </c>
      <c r="K100" s="7">
        <f>IF(K89="PASS",MAX(0,K88),0)</f>
        <v/>
      </c>
      <c r="L100" s="7">
        <f>IF(L89="PASS",MAX(0,L88),0)</f>
        <v/>
      </c>
      <c r="M100" s="7">
        <f>IF(M89="PASS",MAX(0,M88),0)</f>
        <v/>
      </c>
      <c r="N100" s="7">
        <f>IF(N89="PASS",MAX(0,N88),0)</f>
        <v/>
      </c>
    </row>
    <row r="102">
      <c r="A102" s="3" t="inlineStr">
        <is>
          <t>SOURCES &amp; USES (Year 0)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1" t="inlineStr">
        <is>
          <t>USES</t>
        </is>
      </c>
      <c r="B103" s="6" t="inlineStr"/>
      <c r="C103" s="6" t="inlineStr"/>
    </row>
    <row r="104">
      <c r="A104" s="5" t="inlineStr">
        <is>
          <t xml:space="preserve">  Purchase Price</t>
        </is>
      </c>
      <c r="B104" s="6" t="inlineStr">
        <is>
          <t>$mm</t>
        </is>
      </c>
      <c r="C104" s="6" t="inlineStr"/>
      <c r="D104" s="16">
        <f>$D$17</f>
        <v/>
      </c>
    </row>
    <row r="105">
      <c r="A105" s="5" t="inlineStr">
        <is>
          <t xml:space="preserve">  Transaction Fees</t>
        </is>
      </c>
      <c r="B105" s="6" t="inlineStr">
        <is>
          <t>$mm</t>
        </is>
      </c>
      <c r="C105" s="6" t="inlineStr"/>
      <c r="D105" s="16">
        <f>$D$17*$D$18</f>
        <v/>
      </c>
    </row>
    <row r="106">
      <c r="A106" s="5" t="inlineStr">
        <is>
          <t xml:space="preserve">  DSRA Funding</t>
        </is>
      </c>
      <c r="B106" s="6" t="inlineStr">
        <is>
          <t>$mm</t>
        </is>
      </c>
      <c r="C106" s="6" t="inlineStr"/>
      <c r="D106" s="16">
        <f>D83</f>
        <v/>
      </c>
    </row>
    <row r="107">
      <c r="A107" s="5" t="inlineStr">
        <is>
          <t>Total Uses</t>
        </is>
      </c>
      <c r="B107" s="6" t="inlineStr">
        <is>
          <t>$mm</t>
        </is>
      </c>
      <c r="C107" s="6" t="inlineStr"/>
      <c r="D107" s="7">
        <f>D94+D95+D96</f>
        <v/>
      </c>
    </row>
    <row r="109">
      <c r="A109" s="21" t="inlineStr">
        <is>
          <t>SOURCES</t>
        </is>
      </c>
      <c r="B109" s="6" t="inlineStr"/>
      <c r="C109" s="6" t="inlineStr"/>
    </row>
    <row r="110">
      <c r="A110" s="5" t="inlineStr">
        <is>
          <t xml:space="preserve">  Debt</t>
        </is>
      </c>
      <c r="B110" s="6" t="inlineStr">
        <is>
          <t>$mm</t>
        </is>
      </c>
      <c r="C110" s="6" t="inlineStr"/>
      <c r="D110" s="16">
        <f>$D$50</f>
        <v/>
      </c>
    </row>
    <row r="111">
      <c r="A111" s="5" t="inlineStr">
        <is>
          <t xml:space="preserve">  Equity</t>
        </is>
      </c>
      <c r="B111" s="6" t="inlineStr">
        <is>
          <t>$mm</t>
        </is>
      </c>
      <c r="C111" s="6" t="inlineStr">
        <is>
          <t>Plug to balance</t>
        </is>
      </c>
      <c r="D111" s="16">
        <f>D97-D100</f>
        <v/>
      </c>
    </row>
    <row r="112">
      <c r="A112" s="5" t="inlineStr">
        <is>
          <t>Total Sources</t>
        </is>
      </c>
      <c r="B112" s="6" t="inlineStr">
        <is>
          <t>$mm</t>
        </is>
      </c>
      <c r="C112" s="6" t="inlineStr"/>
      <c r="D112" s="7">
        <f>D100+D101</f>
        <v/>
      </c>
    </row>
    <row r="113">
      <c r="A113" s="5" t="inlineStr">
        <is>
          <t>Balance Check</t>
        </is>
      </c>
      <c r="B113" s="6" t="inlineStr"/>
      <c r="C113" s="6" t="inlineStr"/>
      <c r="D113" s="10">
        <f>IF(ABS(D97-D102)&lt;0.01,"PASS","FAIL")</f>
        <v/>
      </c>
    </row>
    <row r="115">
      <c r="A115" s="3" t="inlineStr">
        <is>
          <t>EXIT CALCULATIONS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inlineStr">
        <is>
          <t>Exit EV</t>
        </is>
      </c>
      <c r="B116" s="6" t="inlineStr">
        <is>
          <t>$mm</t>
        </is>
      </c>
      <c r="C116" s="6" t="inlineStr">
        <is>
          <t>Exit Multiple × Exit Yr EBITDA</t>
        </is>
      </c>
      <c r="K116" s="16">
        <f>$D$19*K62</f>
        <v/>
      </c>
    </row>
    <row r="117">
      <c r="A117" s="5" t="inlineStr">
        <is>
          <t>Exit Debt Payoff</t>
        </is>
      </c>
      <c r="B117" s="6" t="inlineStr">
        <is>
          <t>$mm</t>
        </is>
      </c>
      <c r="C117" s="6" t="inlineStr">
        <is>
          <t>Ending Bal at Exit</t>
        </is>
      </c>
      <c r="K117" s="16">
        <f>K78</f>
        <v/>
      </c>
    </row>
    <row r="118">
      <c r="A118" s="5" t="inlineStr">
        <is>
          <t>DSRA Release</t>
        </is>
      </c>
      <c r="B118" s="6" t="inlineStr">
        <is>
          <t>$mm</t>
        </is>
      </c>
      <c r="C118" s="6" t="inlineStr">
        <is>
          <t>DSRA Ending at Exit</t>
        </is>
      </c>
      <c r="K118" s="16">
        <f>K86</f>
        <v/>
      </c>
    </row>
    <row r="119">
      <c r="A119" s="5" t="inlineStr">
        <is>
          <t>Exit Equity Proceeds</t>
        </is>
      </c>
      <c r="B119" s="6" t="inlineStr">
        <is>
          <t>$mm</t>
        </is>
      </c>
      <c r="C119" s="6" t="inlineStr">
        <is>
          <t>Exit EV - Debt + DSRA</t>
        </is>
      </c>
      <c r="K119" s="7">
        <f>K106-K107+K108</f>
        <v/>
      </c>
    </row>
    <row r="120">
      <c r="A120" s="36" t="inlineStr">
        <is>
          <t>─────────── PROJECT FINANCE COVERAGE ───────────</t>
        </is>
      </c>
    </row>
    <row r="121">
      <c r="A121" t="inlineStr">
        <is>
          <t>LLCR (Loan Life Coverage)</t>
        </is>
      </c>
      <c r="B121" t="inlineStr">
        <is>
          <t>x</t>
        </is>
      </c>
      <c r="C121" t="inlineStr">
        <is>
          <t>[WHAT] NPV(CFADS over loan life) / Debt; [WHY] Total debt capacity</t>
        </is>
      </c>
      <c r="D121" s="44">
        <f>NPV(D45,E82:K82)/D100</f>
        <v/>
      </c>
    </row>
    <row r="122">
      <c r="A122" t="inlineStr">
        <is>
          <t>PLCR (Project Life Coverage)</t>
        </is>
      </c>
      <c r="B122" t="inlineStr">
        <is>
          <t>x</t>
        </is>
      </c>
      <c r="C122" t="inlineStr">
        <is>
          <t>[WHAT] NPV(CFADS over project life) / Debt; [WHY] Full asset capacity</t>
        </is>
      </c>
      <c r="D122" s="44">
        <f>NPV(D45,E82:N82)/D100</f>
        <v/>
      </c>
    </row>
    <row r="123">
      <c r="A123" t="inlineStr">
        <is>
          <t>─────────────────────────────────────────────────</t>
        </is>
      </c>
    </row>
    <row r="127">
      <c r="A127" s="3" t="inlineStr">
        <is>
          <t>EQUITY RETURNS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5" t="inlineStr">
        <is>
          <t>Equity Cash Flow</t>
        </is>
      </c>
      <c r="B128" s="6" t="inlineStr">
        <is>
          <t>$mm</t>
        </is>
      </c>
      <c r="C128" s="6" t="inlineStr"/>
      <c r="D128" s="16">
        <f>-D101</f>
        <v/>
      </c>
      <c r="E128" s="16">
        <f>E90</f>
        <v/>
      </c>
      <c r="F128" s="16">
        <f>F90</f>
        <v/>
      </c>
      <c r="G128" s="16">
        <f>G90</f>
        <v/>
      </c>
      <c r="H128" s="16">
        <f>H90</f>
        <v/>
      </c>
      <c r="I128" s="16">
        <f>I90</f>
        <v/>
      </c>
      <c r="J128" s="16">
        <f>J90</f>
        <v/>
      </c>
      <c r="K128" s="16">
        <f>K90+K109</f>
        <v/>
      </c>
      <c r="L128" s="16">
        <f>0</f>
        <v/>
      </c>
      <c r="M128" s="16">
        <f>0</f>
        <v/>
      </c>
      <c r="N128" s="16">
        <f>0</f>
        <v/>
      </c>
    </row>
    <row r="129">
      <c r="A129" s="5" t="inlineStr">
        <is>
          <t>Levered IRR</t>
        </is>
      </c>
      <c r="B129" s="6" t="inlineStr">
        <is>
          <t>%</t>
        </is>
      </c>
      <c r="C129" s="6" t="inlineStr"/>
      <c r="D129" s="29">
        <f>IRR(D112:K112)</f>
        <v/>
      </c>
    </row>
    <row r="130">
      <c r="A130" s="5" t="inlineStr">
        <is>
          <t>MOIC</t>
        </is>
      </c>
      <c r="B130" s="6" t="inlineStr">
        <is>
          <t>x</t>
        </is>
      </c>
      <c r="C130" s="6" t="inlineStr">
        <is>
          <t>Sum inflows / outflow</t>
        </is>
      </c>
      <c r="D130" s="28">
        <f>SUMIF(D112:K112,"&gt;0")/ABS(D112)</f>
        <v/>
      </c>
    </row>
    <row r="132">
      <c r="A132" s="21" t="inlineStr">
        <is>
          <t>Unlevered Returns (for reference)</t>
        </is>
      </c>
      <c r="B132" s="6" t="inlineStr"/>
      <c r="C132" s="6" t="inlineStr"/>
    </row>
    <row r="133">
      <c r="A133" s="5" t="inlineStr">
        <is>
          <t>Unlevered Cash Flow</t>
        </is>
      </c>
      <c r="B133" s="6" t="inlineStr">
        <is>
          <t>$mm</t>
        </is>
      </c>
      <c r="C133" s="6" t="inlineStr"/>
      <c r="D133" s="16">
        <f>-$D$17-D95</f>
        <v/>
      </c>
      <c r="E133" s="16">
        <f>E68</f>
        <v/>
      </c>
      <c r="F133" s="16">
        <f>F68</f>
        <v/>
      </c>
      <c r="G133" s="16">
        <f>G68</f>
        <v/>
      </c>
      <c r="H133" s="16">
        <f>H68</f>
        <v/>
      </c>
      <c r="I133" s="16">
        <f>I68</f>
        <v/>
      </c>
      <c r="J133" s="16">
        <f>J68</f>
        <v/>
      </c>
      <c r="K133" s="16">
        <f>K68+K106</f>
        <v/>
      </c>
      <c r="L133" s="16">
        <f>0</f>
        <v/>
      </c>
      <c r="M133" s="16">
        <f>0</f>
        <v/>
      </c>
      <c r="N133" s="16">
        <f>0</f>
        <v/>
      </c>
    </row>
    <row r="134">
      <c r="A134" s="5" t="inlineStr">
        <is>
          <t>Unlevered IRR</t>
        </is>
      </c>
      <c r="B134" s="6" t="inlineStr">
        <is>
          <t>%</t>
        </is>
      </c>
      <c r="C134" s="6" t="inlineStr"/>
      <c r="D134" s="29">
        <f>IRR(D117:K117)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2026-01-20T03:00:03Z</dcterms:created>
  <dcterms:modified xmlns:dcterms="http://purl.org/dc/terms/" xmlns:xsi="http://www.w3.org/2001/XMLSchema-instance" xsi:type="dcterms:W3CDTF">2026-01-21T01:15:24Z</dcterms:modified>
</cp:coreProperties>
</file>